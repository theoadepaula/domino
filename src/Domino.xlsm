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91CCFB2C-F7FA-4857-B91F-8258531A1CB9}" xr6:coauthVersionLast="44" xr6:coauthVersionMax="44" xr10:uidLastSave="{00000000-0000-0000-0000-000000000000}"/>
  <bookViews>
    <workbookView xWindow="780" yWindow="2400" windowWidth="21600" windowHeight="11385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393" i="3" l="1"/>
  <c r="I4394" i="3"/>
  <c r="I4395" i="3"/>
  <c r="I4396" i="3"/>
  <c r="I4397" i="3"/>
  <c r="I4398" i="3"/>
  <c r="I4399" i="3"/>
  <c r="I4400" i="3"/>
  <c r="I4401" i="3"/>
  <c r="I4402" i="3"/>
  <c r="I4403" i="3"/>
  <c r="I4404" i="3"/>
  <c r="I4379" i="3" l="1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77" i="3" l="1"/>
  <c r="I4378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39" i="3" l="1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37" i="3" l="1"/>
  <c r="I4338" i="3"/>
  <c r="I4298" i="3"/>
  <c r="I4299" i="3"/>
  <c r="I4300" i="3"/>
  <c r="I4301" i="3"/>
  <c r="I4302" i="3"/>
  <c r="I4303" i="3"/>
  <c r="I4304" i="3"/>
  <c r="I4305" i="3"/>
  <c r="I4306" i="3"/>
  <c r="I4307" i="3"/>
  <c r="I4308" i="3"/>
  <c r="I4335" i="3" l="1"/>
  <c r="I433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309" i="3"/>
  <c r="I4310" i="3"/>
  <c r="I4311" i="3"/>
  <c r="I4312" i="3"/>
  <c r="I4313" i="3"/>
  <c r="I4314" i="3"/>
  <c r="I4315" i="3"/>
  <c r="I4316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<sst xmlns="http://schemas.openxmlformats.org/spreadsheetml/2006/main" count="17662" uniqueCount="64">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</sst>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404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404"/>
  <sheetViews>
    <sheetView tabSelected="1" topLeftCell="C1" zoomScaleNormal="100" workbookViewId="0">
      <pane ySplit="1" topLeftCell="A4374" activePane="bottomLeft" state="frozenSplit"/>
      <selection activeCell="D1" sqref="D1 D1"/>
      <selection pane="bottomLeft" activeCell="C4404" sqref="C4404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  <row r="4352" spans="1:9" ht="15" customHeight="1" x14ac:dyDescent="0.25">
      <c r="A4352" s="7">
        <v>4351</v>
      </c>
      <c r="B4352" s="1">
        <v>43718</v>
      </c>
      <c r="C4352" s="6" t="s">
        <v>9</v>
      </c>
      <c r="D4352" s="6" t="s">
        <v>27</v>
      </c>
      <c r="E4352" s="6">
        <v>5</v>
      </c>
      <c r="F4352" s="6">
        <v>0</v>
      </c>
      <c r="G4352" s="6" t="s">
        <v>11</v>
      </c>
      <c r="H4352" s="6" t="s">
        <v>13</v>
      </c>
      <c r="I4352" s="6">
        <f>TabJogos[[#This Row],[PontosTime1]]-TabJogos[[#This Row],[PontosTime2]]</f>
        <v>5</v>
      </c>
    </row>
    <row r="4353" spans="1:9" ht="15" customHeight="1" x14ac:dyDescent="0.25">
      <c r="A4353" s="7">
        <v>4352</v>
      </c>
      <c r="B4353" s="1">
        <v>43718</v>
      </c>
      <c r="C4353" s="6" t="s">
        <v>13</v>
      </c>
      <c r="D4353" s="6" t="s">
        <v>27</v>
      </c>
      <c r="E4353" s="6">
        <v>3</v>
      </c>
      <c r="F4353" s="6">
        <v>0</v>
      </c>
      <c r="G4353" s="6" t="s">
        <v>11</v>
      </c>
      <c r="H4353" s="6" t="s">
        <v>9</v>
      </c>
      <c r="I4353" s="6">
        <f>TabJogos[[#This Row],[PontosTime1]]-TabJogos[[#This Row],[PontosTime2]]</f>
        <v>3</v>
      </c>
    </row>
    <row r="4354" spans="1:9" ht="15" customHeight="1" x14ac:dyDescent="0.25">
      <c r="A4354" s="7">
        <v>4353</v>
      </c>
      <c r="B4354" s="1">
        <v>43718</v>
      </c>
      <c r="C4354" s="6" t="s">
        <v>27</v>
      </c>
      <c r="D4354" s="6" t="s">
        <v>12</v>
      </c>
      <c r="E4354" s="6">
        <v>3</v>
      </c>
      <c r="F4354" s="6">
        <v>1</v>
      </c>
      <c r="G4354" s="6" t="s">
        <v>9</v>
      </c>
      <c r="H4354" s="6" t="s">
        <v>13</v>
      </c>
      <c r="I4354" s="6">
        <f>TabJogos[[#This Row],[PontosTime1]]-TabJogos[[#This Row],[PontosTime2]]</f>
        <v>2</v>
      </c>
    </row>
    <row r="4355" spans="1:9" ht="15" customHeight="1" x14ac:dyDescent="0.25">
      <c r="A4355" s="7">
        <v>4354</v>
      </c>
      <c r="B4355" s="1">
        <v>43718</v>
      </c>
      <c r="C4355" s="6" t="s">
        <v>27</v>
      </c>
      <c r="D4355" s="6" t="s">
        <v>41</v>
      </c>
      <c r="E4355" s="6">
        <v>3</v>
      </c>
      <c r="F4355" s="6">
        <v>0</v>
      </c>
      <c r="G4355" s="6" t="s">
        <v>11</v>
      </c>
      <c r="H4355" s="6" t="s">
        <v>12</v>
      </c>
      <c r="I4355" s="6">
        <f>TabJogos[[#This Row],[PontosTime1]]-TabJogos[[#This Row],[PontosTime2]]</f>
        <v>3</v>
      </c>
    </row>
    <row r="4356" spans="1:9" ht="15" customHeight="1" x14ac:dyDescent="0.25">
      <c r="A4356" s="7">
        <v>4355</v>
      </c>
      <c r="B4356" s="1">
        <v>43718</v>
      </c>
      <c r="C4356" s="6" t="s">
        <v>9</v>
      </c>
      <c r="D4356" s="6" t="s">
        <v>27</v>
      </c>
      <c r="E4356" s="6">
        <v>3</v>
      </c>
      <c r="F4356" s="6">
        <v>0</v>
      </c>
      <c r="G4356" s="6" t="s">
        <v>41</v>
      </c>
      <c r="H4356" s="6" t="s">
        <v>13</v>
      </c>
      <c r="I4356" s="6">
        <f>TabJogos[[#This Row],[PontosTime1]]-TabJogos[[#This Row],[PontosTime2]]</f>
        <v>3</v>
      </c>
    </row>
    <row r="4357" spans="1:9" ht="15" customHeight="1" x14ac:dyDescent="0.25">
      <c r="A4357" s="7">
        <v>4356</v>
      </c>
      <c r="B4357" s="1">
        <v>43718</v>
      </c>
      <c r="C4357" s="6" t="s">
        <v>13</v>
      </c>
      <c r="D4357" s="6" t="s">
        <v>9</v>
      </c>
      <c r="E4357" s="6">
        <v>4</v>
      </c>
      <c r="F4357" s="6">
        <v>2</v>
      </c>
      <c r="G4357" s="6" t="s">
        <v>11</v>
      </c>
      <c r="H4357" s="6" t="s">
        <v>27</v>
      </c>
      <c r="I4357" s="6">
        <f>TabJogos[[#This Row],[PontosTime1]]-TabJogos[[#This Row],[PontosTime2]]</f>
        <v>2</v>
      </c>
    </row>
    <row r="4358" spans="1:9" ht="15" customHeight="1" x14ac:dyDescent="0.25">
      <c r="A4358" s="7">
        <v>4357</v>
      </c>
      <c r="B4358" s="1">
        <v>43718</v>
      </c>
      <c r="C4358" s="6" t="s">
        <v>41</v>
      </c>
      <c r="D4358" s="6" t="s">
        <v>13</v>
      </c>
      <c r="E4358" s="6">
        <v>2</v>
      </c>
      <c r="F4358" s="6">
        <v>3</v>
      </c>
      <c r="G4358" s="6" t="s">
        <v>17</v>
      </c>
      <c r="H4358" s="6" t="s">
        <v>9</v>
      </c>
      <c r="I4358" s="6">
        <f>TabJogos[[#This Row],[PontosTime1]]-TabJogos[[#This Row],[PontosTime2]]</f>
        <v>-1</v>
      </c>
    </row>
    <row r="4359" spans="1:9" ht="15" customHeight="1" x14ac:dyDescent="0.25">
      <c r="A4359" s="7">
        <v>4358</v>
      </c>
      <c r="B4359" s="1">
        <v>43718</v>
      </c>
      <c r="C4359" s="6" t="s">
        <v>9</v>
      </c>
      <c r="D4359" s="6" t="s">
        <v>27</v>
      </c>
      <c r="E4359" s="6">
        <v>2</v>
      </c>
      <c r="F4359" s="6">
        <v>4</v>
      </c>
      <c r="G4359" s="6" t="s">
        <v>17</v>
      </c>
      <c r="H4359" s="6" t="s">
        <v>11</v>
      </c>
      <c r="I4359" s="6">
        <f>TabJogos[[#This Row],[PontosTime1]]-TabJogos[[#This Row],[PontosTime2]]</f>
        <v>-2</v>
      </c>
    </row>
    <row r="4360" spans="1:9" ht="15" customHeight="1" x14ac:dyDescent="0.25">
      <c r="A4360" s="7">
        <v>4359</v>
      </c>
      <c r="B4360" s="1">
        <v>43718</v>
      </c>
      <c r="C4360" s="6" t="s">
        <v>11</v>
      </c>
      <c r="D4360" s="6" t="s">
        <v>41</v>
      </c>
      <c r="E4360" s="6">
        <v>3</v>
      </c>
      <c r="F4360" s="6">
        <v>0</v>
      </c>
      <c r="G4360" s="6" t="s">
        <v>13</v>
      </c>
      <c r="H4360" s="6" t="s">
        <v>17</v>
      </c>
      <c r="I4360" s="6">
        <f>TabJogos[[#This Row],[PontosTime1]]-TabJogos[[#This Row],[PontosTime2]]</f>
        <v>3</v>
      </c>
    </row>
    <row r="4361" spans="1:9" ht="15" customHeight="1" x14ac:dyDescent="0.25">
      <c r="A4361" s="7">
        <v>4360</v>
      </c>
      <c r="B4361" s="1">
        <v>43718</v>
      </c>
      <c r="C4361" s="6" t="s">
        <v>41</v>
      </c>
      <c r="D4361" s="6" t="s">
        <v>9</v>
      </c>
      <c r="E4361" s="6">
        <v>3</v>
      </c>
      <c r="F4361" s="6">
        <v>1</v>
      </c>
      <c r="G4361" s="6" t="s">
        <v>11</v>
      </c>
      <c r="H4361" s="6" t="s">
        <v>13</v>
      </c>
      <c r="I4361" s="6">
        <f>TabJogos[[#This Row],[PontosTime1]]-TabJogos[[#This Row],[PontosTime2]]</f>
        <v>2</v>
      </c>
    </row>
    <row r="4362" spans="1:9" ht="15" customHeight="1" x14ac:dyDescent="0.25">
      <c r="A4362" s="7">
        <v>4361</v>
      </c>
      <c r="B4362" s="1">
        <v>43718</v>
      </c>
      <c r="C4362" s="6" t="s">
        <v>11</v>
      </c>
      <c r="D4362" s="6" t="s">
        <v>17</v>
      </c>
      <c r="E4362" s="6">
        <v>2</v>
      </c>
      <c r="F4362" s="6">
        <v>3</v>
      </c>
      <c r="G4362" s="6" t="s">
        <v>9</v>
      </c>
      <c r="H4362" s="6" t="s">
        <v>13</v>
      </c>
      <c r="I4362" s="6">
        <f>TabJogos[[#This Row],[PontosTime1]]-TabJogos[[#This Row],[PontosTime2]]</f>
        <v>-1</v>
      </c>
    </row>
    <row r="4363" spans="1:9" ht="15" customHeight="1" x14ac:dyDescent="0.25">
      <c r="A4363" s="7">
        <v>4362</v>
      </c>
      <c r="B4363" s="1">
        <v>43719</v>
      </c>
      <c r="C4363" s="6" t="s">
        <v>13</v>
      </c>
      <c r="D4363" s="6" t="s">
        <v>10</v>
      </c>
      <c r="E4363" s="6">
        <v>3</v>
      </c>
      <c r="F4363" s="6">
        <v>2</v>
      </c>
      <c r="G4363" s="6" t="s">
        <v>18</v>
      </c>
      <c r="H4363" s="6" t="s">
        <v>11</v>
      </c>
      <c r="I4363" s="6">
        <f>TabJogos[[#This Row],[PontosTime1]]-TabJogos[[#This Row],[PontosTime2]]</f>
        <v>1</v>
      </c>
    </row>
    <row r="4364" spans="1:9" ht="15" customHeight="1" x14ac:dyDescent="0.25">
      <c r="A4364" s="7">
        <v>4363</v>
      </c>
      <c r="B4364" s="1">
        <v>43719</v>
      </c>
      <c r="C4364" s="6" t="s">
        <v>11</v>
      </c>
      <c r="D4364" s="6" t="s">
        <v>10</v>
      </c>
      <c r="E4364" s="6">
        <v>2</v>
      </c>
      <c r="F4364" s="6">
        <v>3</v>
      </c>
      <c r="G4364" s="6" t="s">
        <v>18</v>
      </c>
      <c r="H4364" s="6" t="s">
        <v>13</v>
      </c>
      <c r="I4364" s="6">
        <f>TabJogos[[#This Row],[PontosTime1]]-TabJogos[[#This Row],[PontosTime2]]</f>
        <v>-1</v>
      </c>
    </row>
    <row r="4365" spans="1:9" ht="15" customHeight="1" x14ac:dyDescent="0.25">
      <c r="A4365" s="7">
        <v>4364</v>
      </c>
      <c r="B4365" s="1">
        <v>43719</v>
      </c>
      <c r="C4365" s="6" t="s">
        <v>18</v>
      </c>
      <c r="D4365" s="6" t="s">
        <v>10</v>
      </c>
      <c r="E4365" s="6">
        <v>5</v>
      </c>
      <c r="F4365" s="6">
        <v>1</v>
      </c>
      <c r="G4365" s="6" t="s">
        <v>11</v>
      </c>
      <c r="H4365" s="6" t="s">
        <v>13</v>
      </c>
      <c r="I4365" s="6">
        <f>TabJogos[[#This Row],[PontosTime1]]-TabJogos[[#This Row],[PontosTime2]]</f>
        <v>4</v>
      </c>
    </row>
    <row r="4366" spans="1:9" ht="15" customHeight="1" x14ac:dyDescent="0.25">
      <c r="A4366" s="7">
        <v>4365</v>
      </c>
      <c r="B4366" s="1">
        <v>43719</v>
      </c>
      <c r="C4366" s="6" t="s">
        <v>41</v>
      </c>
      <c r="D4366" s="6" t="s">
        <v>10</v>
      </c>
      <c r="E4366" s="6">
        <v>0</v>
      </c>
      <c r="F4366" s="6">
        <v>3</v>
      </c>
      <c r="G4366" s="6" t="s">
        <v>18</v>
      </c>
      <c r="H4366" s="6" t="s">
        <v>13</v>
      </c>
      <c r="I4366" s="6">
        <f>TabJogos[[#This Row],[PontosTime1]]-TabJogos[[#This Row],[PontosTime2]]</f>
        <v>-3</v>
      </c>
    </row>
    <row r="4367" spans="1:9" ht="15" customHeight="1" x14ac:dyDescent="0.25">
      <c r="A4367" s="7">
        <v>4366</v>
      </c>
      <c r="B4367" s="1">
        <v>43719</v>
      </c>
      <c r="C4367" s="6" t="s">
        <v>41</v>
      </c>
      <c r="D4367" s="6" t="s">
        <v>13</v>
      </c>
      <c r="E4367" s="6">
        <v>3</v>
      </c>
      <c r="F4367" s="6">
        <v>0</v>
      </c>
      <c r="G4367" s="6" t="s">
        <v>18</v>
      </c>
      <c r="H4367" s="6" t="s">
        <v>11</v>
      </c>
      <c r="I4367" s="6">
        <f>TabJogos[[#This Row],[PontosTime1]]-TabJogos[[#This Row],[PontosTime2]]</f>
        <v>3</v>
      </c>
    </row>
    <row r="4368" spans="1:9" ht="15" customHeight="1" x14ac:dyDescent="0.25">
      <c r="A4368" s="7">
        <v>4367</v>
      </c>
      <c r="B4368" s="1">
        <v>43719</v>
      </c>
      <c r="C4368" s="6" t="s">
        <v>10</v>
      </c>
      <c r="D4368" s="6" t="s">
        <v>13</v>
      </c>
      <c r="E4368" s="6">
        <v>2</v>
      </c>
      <c r="F4368" s="6">
        <v>3</v>
      </c>
      <c r="G4368" s="6" t="s">
        <v>41</v>
      </c>
      <c r="H4368" s="6" t="s">
        <v>18</v>
      </c>
      <c r="I4368" s="6">
        <f>TabJogos[[#This Row],[PontosTime1]]-TabJogos[[#This Row],[PontosTime2]]</f>
        <v>-1</v>
      </c>
    </row>
    <row r="4369" spans="1:9" ht="15" customHeight="1" x14ac:dyDescent="0.25">
      <c r="A4369" s="7">
        <v>4368</v>
      </c>
      <c r="B4369" s="1">
        <v>43719</v>
      </c>
      <c r="C4369" s="6" t="s">
        <v>18</v>
      </c>
      <c r="D4369" s="6" t="s">
        <v>13</v>
      </c>
      <c r="E4369" s="6">
        <v>2</v>
      </c>
      <c r="F4369" s="6">
        <v>4</v>
      </c>
      <c r="G4369" s="6" t="s">
        <v>41</v>
      </c>
      <c r="H4369" s="6" t="s">
        <v>11</v>
      </c>
      <c r="I4369" s="6">
        <f>TabJogos[[#This Row],[PontosTime1]]-TabJogos[[#This Row],[PontosTime2]]</f>
        <v>-2</v>
      </c>
    </row>
    <row r="4370" spans="1:9" ht="15" customHeight="1" x14ac:dyDescent="0.25">
      <c r="A4370" s="7">
        <v>4369</v>
      </c>
      <c r="B4370" s="1">
        <v>43719</v>
      </c>
      <c r="C4370" s="6" t="s">
        <v>13</v>
      </c>
      <c r="D4370" s="6" t="s">
        <v>41</v>
      </c>
      <c r="E4370" s="6">
        <v>2</v>
      </c>
      <c r="F4370" s="6">
        <v>3</v>
      </c>
      <c r="G4370" s="6" t="s">
        <v>18</v>
      </c>
      <c r="H4370" s="6" t="s">
        <v>11</v>
      </c>
      <c r="I4370" s="6">
        <f>TabJogos[[#This Row],[PontosTime1]]-TabJogos[[#This Row],[PontosTime2]]</f>
        <v>-1</v>
      </c>
    </row>
    <row r="4371" spans="1:9" ht="15" customHeight="1" x14ac:dyDescent="0.25">
      <c r="A4371" s="7">
        <v>4370</v>
      </c>
      <c r="B4371" s="1">
        <v>43719</v>
      </c>
      <c r="C4371" s="6" t="s">
        <v>17</v>
      </c>
      <c r="D4371" s="6" t="s">
        <v>27</v>
      </c>
      <c r="E4371" s="6">
        <v>3</v>
      </c>
      <c r="F4371" s="6">
        <v>0</v>
      </c>
      <c r="G4371" s="6" t="s">
        <v>32</v>
      </c>
      <c r="H4371" s="6" t="s">
        <v>13</v>
      </c>
      <c r="I4371" s="6">
        <f>TabJogos[[#This Row],[PontosTime1]]-TabJogos[[#This Row],[PontosTime2]]</f>
        <v>3</v>
      </c>
    </row>
    <row r="4372" spans="1:9" ht="15" customHeight="1" x14ac:dyDescent="0.25">
      <c r="A4372" s="7">
        <v>4371</v>
      </c>
      <c r="B4372" s="1">
        <v>43719</v>
      </c>
      <c r="C4372" s="6" t="s">
        <v>27</v>
      </c>
      <c r="D4372" s="6" t="s">
        <v>9</v>
      </c>
      <c r="E4372" s="6">
        <v>3</v>
      </c>
      <c r="F4372" s="6">
        <v>0</v>
      </c>
      <c r="G4372" s="6" t="s">
        <v>17</v>
      </c>
      <c r="H4372" s="6" t="s">
        <v>41</v>
      </c>
      <c r="I4372" s="6">
        <f>TabJogos[[#This Row],[PontosTime1]]-TabJogos[[#This Row],[PontosTime2]]</f>
        <v>3</v>
      </c>
    </row>
    <row r="4373" spans="1:9" ht="15" customHeight="1" x14ac:dyDescent="0.25">
      <c r="A4373" s="7">
        <v>4372</v>
      </c>
      <c r="B4373" s="1">
        <v>43719</v>
      </c>
      <c r="C4373" s="6" t="s">
        <v>9</v>
      </c>
      <c r="D4373" s="6" t="s">
        <v>18</v>
      </c>
      <c r="E4373" s="6">
        <v>3</v>
      </c>
      <c r="F4373" s="6">
        <v>2</v>
      </c>
      <c r="G4373" s="6" t="s">
        <v>11</v>
      </c>
      <c r="H4373" s="6" t="s">
        <v>27</v>
      </c>
      <c r="I4373" s="6">
        <f>TabJogos[[#This Row],[PontosTime1]]-TabJogos[[#This Row],[PontosTime2]]</f>
        <v>1</v>
      </c>
    </row>
    <row r="4374" spans="1:9" ht="15" customHeight="1" x14ac:dyDescent="0.25">
      <c r="A4374" s="7">
        <v>4373</v>
      </c>
      <c r="B4374" s="1">
        <v>43719</v>
      </c>
      <c r="C4374" s="6" t="s">
        <v>9</v>
      </c>
      <c r="D4374" s="6" t="s">
        <v>13</v>
      </c>
      <c r="E4374" s="6">
        <v>3</v>
      </c>
      <c r="F4374" s="6">
        <v>0</v>
      </c>
      <c r="G4374" s="6" t="s">
        <v>17</v>
      </c>
      <c r="H4374" s="6" t="s">
        <v>18</v>
      </c>
      <c r="I4374" s="6">
        <f>TabJogos[[#This Row],[PontosTime1]]-TabJogos[[#This Row],[PontosTime2]]</f>
        <v>3</v>
      </c>
    </row>
    <row r="4375" spans="1:9" ht="15" customHeight="1" x14ac:dyDescent="0.25">
      <c r="A4375" s="7">
        <v>4374</v>
      </c>
      <c r="B4375" s="1">
        <v>43719</v>
      </c>
      <c r="C4375" s="6" t="s">
        <v>11</v>
      </c>
      <c r="D4375" s="6" t="s">
        <v>9</v>
      </c>
      <c r="E4375" s="6">
        <v>2</v>
      </c>
      <c r="F4375" s="6">
        <v>3</v>
      </c>
      <c r="G4375" s="6" t="s">
        <v>18</v>
      </c>
      <c r="H4375" s="6" t="s">
        <v>13</v>
      </c>
      <c r="I4375" s="6">
        <f>TabJogos[[#This Row],[PontosTime1]]-TabJogos[[#This Row],[PontosTime2]]</f>
        <v>-1</v>
      </c>
    </row>
    <row r="4376" spans="1:9" ht="15" customHeight="1" x14ac:dyDescent="0.25">
      <c r="A4376" s="7">
        <v>4375</v>
      </c>
      <c r="B4376" s="1">
        <v>43719</v>
      </c>
      <c r="C4376" s="6" t="s">
        <v>11</v>
      </c>
      <c r="D4376" s="6" t="s">
        <v>18</v>
      </c>
      <c r="E4376" s="6">
        <v>0</v>
      </c>
      <c r="F4376" s="6">
        <v>3</v>
      </c>
      <c r="G4376" s="6" t="s">
        <v>17</v>
      </c>
      <c r="H4376" s="6" t="s">
        <v>13</v>
      </c>
      <c r="I4376" s="6">
        <f>TabJogos[[#This Row],[PontosTime1]]-TabJogos[[#This Row],[PontosTime2]]</f>
        <v>-3</v>
      </c>
    </row>
    <row r="4377" spans="1:9" ht="15" customHeight="1" x14ac:dyDescent="0.25">
      <c r="A4377" s="7">
        <v>4376</v>
      </c>
      <c r="B4377" s="1">
        <v>43719</v>
      </c>
      <c r="C4377" s="6" t="s">
        <v>13</v>
      </c>
      <c r="D4377" s="6" t="s">
        <v>18</v>
      </c>
      <c r="E4377" s="6">
        <v>3</v>
      </c>
      <c r="F4377" s="6">
        <v>0</v>
      </c>
      <c r="G4377" s="6" t="s">
        <v>11</v>
      </c>
      <c r="H4377" s="6" t="s">
        <v>17</v>
      </c>
      <c r="I4377" s="6">
        <f>TabJogos[[#This Row],[PontosTime1]]-TabJogos[[#This Row],[PontosTime2]]</f>
        <v>3</v>
      </c>
    </row>
    <row r="4378" spans="1:9" ht="15" customHeight="1" x14ac:dyDescent="0.25">
      <c r="A4378" s="7">
        <v>4377</v>
      </c>
      <c r="B4378" s="1">
        <v>43719</v>
      </c>
      <c r="C4378" s="6" t="s">
        <v>18</v>
      </c>
      <c r="D4378" s="6" t="s">
        <v>17</v>
      </c>
      <c r="E4378" s="6">
        <v>3</v>
      </c>
      <c r="F4378" s="6">
        <v>2</v>
      </c>
      <c r="G4378" s="6" t="s">
        <v>13</v>
      </c>
      <c r="H4378" s="6" t="s">
        <v>11</v>
      </c>
      <c r="I4378" s="6">
        <f>TabJogos[[#This Row],[PontosTime1]]-TabJogos[[#This Row],[PontosTime2]]</f>
        <v>1</v>
      </c>
    </row>
    <row r="4379" spans="1:9" ht="15" customHeight="1" x14ac:dyDescent="0.25">
      <c r="A4379" s="7">
        <v>4378</v>
      </c>
      <c r="B4379" s="1">
        <v>43720</v>
      </c>
      <c r="C4379" s="6" t="s">
        <v>10</v>
      </c>
      <c r="D4379" s="6" t="s">
        <v>12</v>
      </c>
      <c r="E4379" s="6">
        <v>3</v>
      </c>
      <c r="F4379" s="6">
        <v>2</v>
      </c>
      <c r="G4379" s="6" t="s">
        <v>9</v>
      </c>
      <c r="H4379" s="6" t="s">
        <v>11</v>
      </c>
      <c r="I4379" s="6">
        <f>TabJogos[[#This Row],[PontosTime1]]-TabJogos[[#This Row],[PontosTime2]]</f>
        <v>1</v>
      </c>
    </row>
    <row r="4380" spans="1:9" ht="15" customHeight="1" x14ac:dyDescent="0.25">
      <c r="A4380" s="7">
        <v>4379</v>
      </c>
      <c r="B4380" s="1">
        <v>43720</v>
      </c>
      <c r="C4380" s="6" t="s">
        <v>10</v>
      </c>
      <c r="D4380" s="6" t="s">
        <v>27</v>
      </c>
      <c r="E4380" s="6">
        <v>1</v>
      </c>
      <c r="F4380" s="6">
        <v>3</v>
      </c>
      <c r="G4380" s="6" t="s">
        <v>13</v>
      </c>
      <c r="H4380" s="6" t="s">
        <v>12</v>
      </c>
      <c r="I4380" s="6">
        <f>TabJogos[[#This Row],[PontosTime1]]-TabJogos[[#This Row],[PontosTime2]]</f>
        <v>-2</v>
      </c>
    </row>
    <row r="4381" spans="1:9" ht="15" customHeight="1" x14ac:dyDescent="0.25">
      <c r="A4381" s="7">
        <v>4380</v>
      </c>
      <c r="B4381" s="1">
        <v>43720</v>
      </c>
      <c r="C4381" s="6" t="s">
        <v>41</v>
      </c>
      <c r="D4381" s="6" t="s">
        <v>13</v>
      </c>
      <c r="E4381" s="6">
        <v>0</v>
      </c>
      <c r="F4381" s="6">
        <v>3</v>
      </c>
      <c r="G4381" s="6" t="s">
        <v>18</v>
      </c>
      <c r="H4381" s="6" t="s">
        <v>12</v>
      </c>
      <c r="I4381" s="6">
        <f>TabJogos[[#This Row],[PontosTime1]]-TabJogos[[#This Row],[PontosTime2]]</f>
        <v>-3</v>
      </c>
    </row>
    <row r="4382" spans="1:9" ht="15" customHeight="1" x14ac:dyDescent="0.25">
      <c r="A4382" s="7">
        <v>4381</v>
      </c>
      <c r="B4382" s="1">
        <v>43720</v>
      </c>
      <c r="C4382" s="6" t="s">
        <v>11</v>
      </c>
      <c r="D4382" s="6" t="s">
        <v>18</v>
      </c>
      <c r="E4382" s="6">
        <v>3</v>
      </c>
      <c r="F4382" s="6">
        <v>0</v>
      </c>
      <c r="G4382" s="6" t="s">
        <v>9</v>
      </c>
      <c r="H4382" s="6" t="s">
        <v>12</v>
      </c>
      <c r="I4382" s="6">
        <f>TabJogos[[#This Row],[PontosTime1]]-TabJogos[[#This Row],[PontosTime2]]</f>
        <v>3</v>
      </c>
    </row>
    <row r="4383" spans="1:9" ht="15" customHeight="1" x14ac:dyDescent="0.25">
      <c r="A4383" s="7">
        <v>4382</v>
      </c>
      <c r="B4383" s="1">
        <v>43720</v>
      </c>
      <c r="C4383" s="6" t="s">
        <v>11</v>
      </c>
      <c r="D4383" s="6" t="s">
        <v>17</v>
      </c>
      <c r="E4383" s="6">
        <v>4</v>
      </c>
      <c r="F4383" s="6">
        <v>2</v>
      </c>
      <c r="G4383" s="6" t="s">
        <v>10</v>
      </c>
      <c r="H4383" s="6" t="s">
        <v>18</v>
      </c>
      <c r="I4383" s="6">
        <f>TabJogos[[#This Row],[PontosTime1]]-TabJogos[[#This Row],[PontosTime2]]</f>
        <v>2</v>
      </c>
    </row>
    <row r="4384" spans="1:9" ht="15" customHeight="1" x14ac:dyDescent="0.25">
      <c r="A4384" s="7">
        <v>4383</v>
      </c>
      <c r="B4384" s="1">
        <v>43720</v>
      </c>
      <c r="C4384" s="6" t="s">
        <v>11</v>
      </c>
      <c r="D4384" s="6" t="s">
        <v>41</v>
      </c>
      <c r="E4384" s="6">
        <v>3</v>
      </c>
      <c r="F4384" s="6">
        <v>0</v>
      </c>
      <c r="G4384" s="6" t="s">
        <v>17</v>
      </c>
      <c r="H4384" s="6" t="s">
        <v>27</v>
      </c>
      <c r="I4384" s="6">
        <f>TabJogos[[#This Row],[PontosTime1]]-TabJogos[[#This Row],[PontosTime2]]</f>
        <v>3</v>
      </c>
    </row>
    <row r="4385" spans="1:9" ht="15" customHeight="1" x14ac:dyDescent="0.25">
      <c r="A4385" s="7">
        <v>4384</v>
      </c>
      <c r="B4385" s="1">
        <v>43720</v>
      </c>
      <c r="C4385" s="6" t="s">
        <v>11</v>
      </c>
      <c r="D4385" s="6" t="s">
        <v>13</v>
      </c>
      <c r="E4385" s="6">
        <v>3</v>
      </c>
      <c r="F4385" s="6">
        <v>0</v>
      </c>
      <c r="G4385" s="6" t="s">
        <v>41</v>
      </c>
      <c r="H4385" s="6" t="s">
        <v>9</v>
      </c>
      <c r="I4385" s="6">
        <f>TabJogos[[#This Row],[PontosTime1]]-TabJogos[[#This Row],[PontosTime2]]</f>
        <v>3</v>
      </c>
    </row>
    <row r="4386" spans="1:9" ht="15" customHeight="1" x14ac:dyDescent="0.25">
      <c r="A4386" s="7">
        <v>4385</v>
      </c>
      <c r="B4386" s="1">
        <v>43720</v>
      </c>
      <c r="C4386" s="6" t="s">
        <v>13</v>
      </c>
      <c r="D4386" s="6" t="s">
        <v>17</v>
      </c>
      <c r="E4386" s="6">
        <v>3</v>
      </c>
      <c r="F4386" s="6">
        <v>1</v>
      </c>
      <c r="G4386" s="6" t="s">
        <v>11</v>
      </c>
      <c r="H4386" s="6" t="s">
        <v>18</v>
      </c>
      <c r="I4386" s="6">
        <f>TabJogos[[#This Row],[PontosTime1]]-TabJogos[[#This Row],[PontosTime2]]</f>
        <v>2</v>
      </c>
    </row>
    <row r="4387" spans="1:9" ht="15" customHeight="1" x14ac:dyDescent="0.25">
      <c r="A4387" s="7">
        <v>4386</v>
      </c>
      <c r="B4387" s="1">
        <v>43720</v>
      </c>
      <c r="C4387" s="6" t="s">
        <v>13</v>
      </c>
      <c r="D4387" s="6" t="s">
        <v>9</v>
      </c>
      <c r="E4387" s="6">
        <v>5</v>
      </c>
      <c r="F4387" s="6">
        <v>2</v>
      </c>
      <c r="G4387" s="6" t="s">
        <v>41</v>
      </c>
      <c r="H4387" s="6" t="s">
        <v>17</v>
      </c>
      <c r="I4387" s="6">
        <f>TabJogos[[#This Row],[PontosTime1]]-TabJogos[[#This Row],[PontosTime2]]</f>
        <v>3</v>
      </c>
    </row>
    <row r="4388" spans="1:9" ht="15" customHeight="1" x14ac:dyDescent="0.25">
      <c r="A4388" s="7">
        <v>4387</v>
      </c>
      <c r="B4388" s="1">
        <v>43720</v>
      </c>
      <c r="C4388" s="6" t="s">
        <v>11</v>
      </c>
      <c r="D4388" s="6" t="s">
        <v>9</v>
      </c>
      <c r="E4388" s="6">
        <v>3</v>
      </c>
      <c r="F4388" s="6">
        <v>1</v>
      </c>
      <c r="G4388" s="6" t="s">
        <v>13</v>
      </c>
      <c r="H4388" s="6" t="s">
        <v>18</v>
      </c>
      <c r="I4388" s="6">
        <f>TabJogos[[#This Row],[PontosTime1]]-TabJogos[[#This Row],[PontosTime2]]</f>
        <v>2</v>
      </c>
    </row>
    <row r="4389" spans="1:9" ht="15" customHeight="1" x14ac:dyDescent="0.25">
      <c r="A4389" s="7">
        <v>4388</v>
      </c>
      <c r="B4389" s="1">
        <v>43720</v>
      </c>
      <c r="C4389" s="6" t="s">
        <v>11</v>
      </c>
      <c r="D4389" s="6" t="s">
        <v>41</v>
      </c>
      <c r="E4389" s="6">
        <v>6</v>
      </c>
      <c r="F4389" s="6">
        <v>2</v>
      </c>
      <c r="G4389" s="6" t="s">
        <v>18</v>
      </c>
      <c r="H4389" s="6" t="s">
        <v>9</v>
      </c>
      <c r="I4389" s="6">
        <f>TabJogos[[#This Row],[PontosTime1]]-TabJogos[[#This Row],[PontosTime2]]</f>
        <v>4</v>
      </c>
    </row>
    <row r="4390" spans="1:9" ht="15" customHeight="1" x14ac:dyDescent="0.25">
      <c r="A4390" s="7">
        <v>4389</v>
      </c>
      <c r="B4390" s="1">
        <v>43720</v>
      </c>
      <c r="C4390" s="6" t="s">
        <v>11</v>
      </c>
      <c r="D4390" s="6" t="s">
        <v>18</v>
      </c>
      <c r="E4390" s="6">
        <v>1</v>
      </c>
      <c r="F4390" s="6">
        <v>4</v>
      </c>
      <c r="G4390" s="6" t="s">
        <v>13</v>
      </c>
      <c r="H4390" s="6" t="s">
        <v>9</v>
      </c>
      <c r="I4390" s="6">
        <f>TabJogos[[#This Row],[PontosTime1]]-TabJogos[[#This Row],[PontosTime2]]</f>
        <v>-3</v>
      </c>
    </row>
    <row r="4391" spans="1:9" ht="15" customHeight="1" x14ac:dyDescent="0.25">
      <c r="A4391" s="7">
        <v>4390</v>
      </c>
      <c r="B4391" s="1">
        <v>43720</v>
      </c>
      <c r="C4391" s="6" t="s">
        <v>11</v>
      </c>
      <c r="D4391" s="6" t="s">
        <v>9</v>
      </c>
      <c r="E4391" s="6">
        <v>0</v>
      </c>
      <c r="F4391" s="6">
        <v>3</v>
      </c>
      <c r="G4391" s="6" t="s">
        <v>13</v>
      </c>
      <c r="H4391" s="6" t="s">
        <v>18</v>
      </c>
      <c r="I4391" s="6">
        <f>TabJogos[[#This Row],[PontosTime1]]-TabJogos[[#This Row],[PontosTime2]]</f>
        <v>-3</v>
      </c>
    </row>
    <row r="4392" spans="1:9" ht="15" customHeight="1" x14ac:dyDescent="0.25">
      <c r="A4392" s="7">
        <v>4391</v>
      </c>
      <c r="B4392" s="1">
        <v>43720</v>
      </c>
      <c r="C4392" s="6" t="s">
        <v>11</v>
      </c>
      <c r="D4392" s="6" t="s">
        <v>13</v>
      </c>
      <c r="E4392" s="6">
        <v>0</v>
      </c>
      <c r="F4392" s="6">
        <v>3</v>
      </c>
      <c r="G4392" s="6" t="s">
        <v>9</v>
      </c>
      <c r="H4392" s="6" t="s">
        <v>18</v>
      </c>
      <c r="I4392" s="6">
        <f>TabJogos[[#This Row],[PontosTime1]]-TabJogos[[#This Row],[PontosTime2]]</f>
        <v>-3</v>
      </c>
    </row>
    <row r="4393" spans="1:9" ht="15" customHeight="1" x14ac:dyDescent="0.25">
      <c r="A4393" s="7">
        <v>4392</v>
      </c>
      <c r="B4393" s="1">
        <v>43721</v>
      </c>
      <c r="C4393" s="6" t="s">
        <v>32</v>
      </c>
      <c r="D4393" s="6" t="s">
        <v>9</v>
      </c>
      <c r="E4393" s="6">
        <v>2</v>
      </c>
      <c r="F4393" s="6">
        <v>4</v>
      </c>
      <c r="G4393" s="6" t="s">
        <v>11</v>
      </c>
      <c r="H4393" s="6" t="s">
        <v>18</v>
      </c>
      <c r="I4393" s="6">
        <f>TabJogos[[#This Row],[PontosTime1]]-TabJogos[[#This Row],[PontosTime2]]</f>
        <v>-2</v>
      </c>
    </row>
    <row r="4394" spans="1:9" ht="15" customHeight="1" x14ac:dyDescent="0.25">
      <c r="A4394" s="7">
        <v>4393</v>
      </c>
      <c r="B4394" s="1">
        <v>43721</v>
      </c>
      <c r="C4394" s="6" t="s">
        <v>11</v>
      </c>
      <c r="D4394" s="6" t="s">
        <v>13</v>
      </c>
      <c r="E4394" s="6">
        <v>2</v>
      </c>
      <c r="F4394" s="6">
        <v>3</v>
      </c>
      <c r="G4394" s="6" t="s">
        <v>41</v>
      </c>
      <c r="H4394" s="6" t="s">
        <v>18</v>
      </c>
      <c r="I4394" s="6">
        <f>TabJogos[[#This Row],[PontosTime1]]-TabJogos[[#This Row],[PontosTime2]]</f>
        <v>-1</v>
      </c>
    </row>
    <row r="4395" spans="1:9" ht="15" customHeight="1" x14ac:dyDescent="0.25">
      <c r="A4395" s="7">
        <v>4394</v>
      </c>
      <c r="B4395" s="1">
        <v>43721</v>
      </c>
      <c r="C4395" s="6" t="s">
        <v>32</v>
      </c>
      <c r="D4395" s="6" t="s">
        <v>41</v>
      </c>
      <c r="E4395" s="6">
        <v>4</v>
      </c>
      <c r="F4395" s="6">
        <v>0</v>
      </c>
      <c r="G4395" s="6" t="s">
        <v>17</v>
      </c>
      <c r="H4395" s="6" t="s">
        <v>18</v>
      </c>
      <c r="I4395" s="6">
        <f>TabJogos[[#This Row],[PontosTime1]]-TabJogos[[#This Row],[PontosTime2]]</f>
        <v>4</v>
      </c>
    </row>
    <row r="4396" spans="1:9" ht="15" customHeight="1" x14ac:dyDescent="0.25">
      <c r="A4396" s="7">
        <v>4395</v>
      </c>
      <c r="B4396" s="1">
        <v>43721</v>
      </c>
      <c r="C4396" s="6" t="s">
        <v>41</v>
      </c>
      <c r="D4396" s="6" t="s">
        <v>9</v>
      </c>
      <c r="E4396" s="6">
        <v>0</v>
      </c>
      <c r="F4396" s="6">
        <v>3</v>
      </c>
      <c r="G4396" s="6" t="s">
        <v>32</v>
      </c>
      <c r="H4396" s="6" t="s">
        <v>13</v>
      </c>
      <c r="I4396" s="6">
        <f>TabJogos[[#This Row],[PontosTime1]]-TabJogos[[#This Row],[PontosTime2]]</f>
        <v>-3</v>
      </c>
    </row>
    <row r="4397" spans="1:9" ht="15" customHeight="1" x14ac:dyDescent="0.25">
      <c r="A4397" s="7">
        <v>4396</v>
      </c>
      <c r="B4397" s="1">
        <v>43721</v>
      </c>
      <c r="C4397" s="6" t="s">
        <v>13</v>
      </c>
      <c r="D4397" s="6" t="s">
        <v>17</v>
      </c>
      <c r="E4397" s="6">
        <v>0</v>
      </c>
      <c r="F4397" s="6">
        <v>3</v>
      </c>
      <c r="G4397" s="6" t="s">
        <v>11</v>
      </c>
      <c r="H4397" s="6" t="s">
        <v>32</v>
      </c>
      <c r="I4397" s="6">
        <f>TabJogos[[#This Row],[PontosTime1]]-TabJogos[[#This Row],[PontosTime2]]</f>
        <v>-3</v>
      </c>
    </row>
    <row r="4398" spans="1:9" ht="15" customHeight="1" x14ac:dyDescent="0.25">
      <c r="A4398" s="7">
        <v>4397</v>
      </c>
      <c r="B4398" s="1">
        <v>43721</v>
      </c>
      <c r="C4398" s="6" t="s">
        <v>11</v>
      </c>
      <c r="D4398" s="6" t="s">
        <v>9</v>
      </c>
      <c r="E4398" s="6">
        <v>1</v>
      </c>
      <c r="F4398" s="6">
        <v>3</v>
      </c>
      <c r="G4398" s="6" t="s">
        <v>32</v>
      </c>
      <c r="H4398" s="6" t="s">
        <v>18</v>
      </c>
      <c r="I4398" s="6">
        <f>TabJogos[[#This Row],[PontosTime1]]-TabJogos[[#This Row],[PontosTime2]]</f>
        <v>-2</v>
      </c>
    </row>
    <row r="4399" spans="1:9" ht="15" customHeight="1" x14ac:dyDescent="0.25">
      <c r="A4399" s="7">
        <v>4398</v>
      </c>
      <c r="B4399" s="1">
        <v>43721</v>
      </c>
      <c r="C4399" s="6" t="s">
        <v>41</v>
      </c>
      <c r="D4399" s="6" t="s">
        <v>18</v>
      </c>
      <c r="E4399" s="6">
        <v>1</v>
      </c>
      <c r="F4399" s="6">
        <v>3</v>
      </c>
      <c r="G4399" s="6" t="s">
        <v>32</v>
      </c>
      <c r="H4399" s="6" t="s">
        <v>17</v>
      </c>
      <c r="I4399" s="6">
        <f>TabJogos[[#This Row],[PontosTime1]]-TabJogos[[#This Row],[PontosTime2]]</f>
        <v>-2</v>
      </c>
    </row>
    <row r="4400" spans="1:9" ht="15" customHeight="1" x14ac:dyDescent="0.25">
      <c r="A4400" s="7">
        <v>4399</v>
      </c>
      <c r="B4400" s="1">
        <v>43721</v>
      </c>
      <c r="C4400" s="6" t="s">
        <v>9</v>
      </c>
      <c r="D4400" s="6" t="s">
        <v>32</v>
      </c>
      <c r="E4400" s="6">
        <v>2</v>
      </c>
      <c r="F4400" s="6">
        <v>3</v>
      </c>
      <c r="G4400" s="6" t="s">
        <v>17</v>
      </c>
      <c r="H4400" s="6" t="s">
        <v>11</v>
      </c>
      <c r="I4400" s="6">
        <f>TabJogos[[#This Row],[PontosTime1]]-TabJogos[[#This Row],[PontosTime2]]</f>
        <v>-1</v>
      </c>
    </row>
    <row r="4401" spans="1:9" ht="15" customHeight="1" x14ac:dyDescent="0.25">
      <c r="A4401" s="7">
        <v>4400</v>
      </c>
      <c r="B4401" s="1">
        <v>43721</v>
      </c>
      <c r="C4401" s="6" t="s">
        <v>11</v>
      </c>
      <c r="D4401" s="6" t="s">
        <v>13</v>
      </c>
      <c r="E4401" s="6">
        <v>3</v>
      </c>
      <c r="F4401" s="6">
        <v>2</v>
      </c>
      <c r="G4401" s="6" t="s">
        <v>17</v>
      </c>
      <c r="H4401" s="6" t="s">
        <v>41</v>
      </c>
      <c r="I4401" s="6">
        <f>TabJogos[[#This Row],[PontosTime1]]-TabJogos[[#This Row],[PontosTime2]]</f>
        <v>1</v>
      </c>
    </row>
    <row r="4402" spans="1:9" ht="15" customHeight="1" x14ac:dyDescent="0.25">
      <c r="A4402" s="7">
        <v>4401</v>
      </c>
      <c r="B4402" s="1">
        <v>43721</v>
      </c>
      <c r="C4402" s="6" t="s">
        <v>11</v>
      </c>
      <c r="D4402" s="6" t="s">
        <v>18</v>
      </c>
      <c r="E4402" s="6">
        <v>3</v>
      </c>
      <c r="F4402" s="6">
        <v>0</v>
      </c>
      <c r="G4402" s="6" t="s">
        <v>17</v>
      </c>
      <c r="H4402" s="6" t="s">
        <v>13</v>
      </c>
      <c r="I4402" s="6">
        <f>TabJogos[[#This Row],[PontosTime1]]-TabJogos[[#This Row],[PontosTime2]]</f>
        <v>3</v>
      </c>
    </row>
    <row r="4403" spans="1:9" ht="15" customHeight="1" x14ac:dyDescent="0.25">
      <c r="A4403" s="7">
        <v>4402</v>
      </c>
      <c r="B4403" s="1">
        <v>43721</v>
      </c>
      <c r="C4403" s="6" t="s">
        <v>11</v>
      </c>
      <c r="D4403" s="6" t="s">
        <v>17</v>
      </c>
      <c r="E4403" s="6">
        <v>3</v>
      </c>
      <c r="F4403" s="6">
        <v>2</v>
      </c>
      <c r="G4403" s="6" t="s">
        <v>13</v>
      </c>
      <c r="H4403" s="6" t="s">
        <v>18</v>
      </c>
      <c r="I4403" s="6">
        <f>TabJogos[[#This Row],[PontosTime1]]-TabJogos[[#This Row],[PontosTime2]]</f>
        <v>1</v>
      </c>
    </row>
    <row r="4404" spans="1:9" ht="15" customHeight="1" x14ac:dyDescent="0.25">
      <c r="A4404" s="7">
        <v>4403</v>
      </c>
      <c r="B4404" s="1">
        <v>43721</v>
      </c>
      <c r="C4404" s="6" t="s">
        <v>11</v>
      </c>
      <c r="D4404" s="6" t="s">
        <v>13</v>
      </c>
      <c r="E4404" s="6">
        <v>2</v>
      </c>
      <c r="F4404" s="6">
        <v>3</v>
      </c>
      <c r="G4404" s="6" t="s">
        <v>17</v>
      </c>
      <c r="H4404" s="6" t="s">
        <v>18</v>
      </c>
      <c r="I4404" s="6">
        <f>TabJogos[[#This Row],[PontosTime1]]-TabJogos[[#This Row],[PontosTime2]]</f>
        <v>-1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830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445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385</v>
      </c>
      <c r="E3" s="3">
        <f t="shared" ca="1" si="0"/>
        <v>60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79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145</v>
      </c>
      <c r="H3" s="4">
        <f t="shared" ca="1" si="1"/>
        <v>0.53614457831325302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53.614457831325304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757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415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342</v>
      </c>
      <c r="E4" s="3">
        <f t="shared" ca="1" si="0"/>
        <v>73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101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202</v>
      </c>
      <c r="H4" s="4">
        <f t="shared" ca="1" si="1"/>
        <v>0.54821664464993392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54.82166446499339</v>
      </c>
      <c r="L4" s="12" t="s">
        <v>54</v>
      </c>
      <c r="M4" s="14">
        <f ca="1">EOMONTH(TODAY(),0)</f>
        <v>43738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1396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728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668</v>
      </c>
      <c r="E6" s="3">
        <f t="shared" ca="1" si="0"/>
        <v>60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136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111</v>
      </c>
      <c r="H6" s="4">
        <f t="shared" ca="1" si="1"/>
        <v>0.52148997134670483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52.148997134670481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195</v>
      </c>
      <c r="E7" s="3">
        <f t="shared" ca="1" si="0"/>
        <v>4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21</v>
      </c>
      <c r="H7" s="4">
        <f t="shared" ca="1" si="1"/>
        <v>0.50507614213197971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50.507614213197968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2816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1477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1339</v>
      </c>
      <c r="E8" s="3">
        <f t="shared" ca="1" si="0"/>
        <v>138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291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470</v>
      </c>
      <c r="H8" s="4">
        <f t="shared" ca="1" si="1"/>
        <v>0.52450284090909094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52.450284090909093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2353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1197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1156</v>
      </c>
      <c r="E9" s="3">
        <f t="shared" ca="1" si="0"/>
        <v>41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237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146</v>
      </c>
      <c r="H9" s="4">
        <f t="shared" ca="1" si="1"/>
        <v>0.50871228219294518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50.871228219294515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1024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500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524</v>
      </c>
      <c r="E10" s="3">
        <f t="shared" ca="1" si="0"/>
        <v>-24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83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-78</v>
      </c>
      <c r="H10" s="4">
        <f t="shared" ca="1" si="1"/>
        <v>0.48828125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48.828125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1208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597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611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131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-24</v>
      </c>
      <c r="H12" s="4">
        <f t="shared" ca="1" si="1"/>
        <v>0.49420529801324503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49.420529801324506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808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398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410</v>
      </c>
      <c r="E14" s="3">
        <f t="shared" ca="1" si="0"/>
        <v>-12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106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-34</v>
      </c>
      <c r="H14" s="4">
        <f t="shared" ca="1" si="1"/>
        <v>0.49257425742574257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49.257425742574256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2557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1122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1435</v>
      </c>
      <c r="E17" s="3">
        <f t="shared" ca="1" si="0"/>
        <v>-313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227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-1064</v>
      </c>
      <c r="H17" s="4">
        <f t="shared" ca="1" si="1"/>
        <v>0.4387954634337114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43.879546343371139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545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240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305</v>
      </c>
      <c r="E18" s="3">
        <f t="shared" ca="1" si="0"/>
        <v>-65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44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-195</v>
      </c>
      <c r="H18" s="4">
        <f t="shared" ca="1" si="1"/>
        <v>0.44036697247706424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44.036697247706428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2019-09-13T20:58:52Z</dcterms:modified>
  <cp:category/>
  <cp:contentStatus/>
</cp:coreProperties>
</file>
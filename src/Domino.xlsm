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367B55DB-D430-4912-964D-8EBFDE1953B4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<sst xmlns="http://schemas.openxmlformats.org/spreadsheetml/2006/main" count="13634" uniqueCount="61">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</sst>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39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397"/>
  <sheetViews>
    <sheetView tabSelected="1" zoomScale="80" zoomScaleNormal="80" workbookViewId="0">
      <pane ySplit="1" topLeftCell="A3365" activePane="bottomLeft" state="frozenSplit"/>
      <selection activeCell="D1" sqref="D1 D1"/>
      <selection pane="bottomLeft" activeCell="I3398" sqref="I339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18</v>
      </c>
      <c r="E3376" s="6">
        <v>3</v>
      </c>
      <c r="F3376" s="6">
        <v>2</v>
      </c>
      <c r="G3376" s="6" t="s">
        <v>11</v>
      </c>
      <c r="H3376" s="6" t="s">
        <v>9</v>
      </c>
      <c r="I3376" s="6">
        <f>TabJogos[[#This Row],[PontosTime1]]-TabJogos[[#This Row],[PontosTime2]]</f>
        <v>1</v>
      </c>
    </row>
    <row r="3377" spans="1:9" ht="15" customHeight="1" x14ac:dyDescent="0.25">
      <c r="A3377" s="7">
        <v>3376</v>
      </c>
      <c r="B3377" s="1">
        <v>43587</v>
      </c>
      <c r="C3377" s="6" t="s">
        <v>13</v>
      </c>
      <c r="D3377" s="6" t="s">
        <v>9</v>
      </c>
      <c r="E3377" s="6">
        <v>1</v>
      </c>
      <c r="F3377" s="6">
        <v>3</v>
      </c>
      <c r="G3377" s="6" t="s">
        <v>11</v>
      </c>
      <c r="H3377" s="6" t="s">
        <v>18</v>
      </c>
      <c r="I3377" s="6">
        <f>TabJogos[[#This Row],[PontosTime1]]-TabJogos[[#This Row],[PontosTime2]]</f>
        <v>-2</v>
      </c>
    </row>
    <row r="3378" spans="1:9" ht="15" customHeight="1" x14ac:dyDescent="0.25">
      <c r="A3378" s="7">
        <v>3377</v>
      </c>
      <c r="B3378" s="1">
        <v>43587</v>
      </c>
      <c r="C3378" s="6" t="s">
        <v>18</v>
      </c>
      <c r="D3378" s="6" t="s">
        <v>9</v>
      </c>
      <c r="E3378" s="6">
        <v>3</v>
      </c>
      <c r="F3378" s="6">
        <v>0</v>
      </c>
      <c r="G3378" s="6" t="s">
        <v>13</v>
      </c>
      <c r="H3378" s="6" t="s">
        <v>11</v>
      </c>
      <c r="I3378" s="6">
        <f>TabJogos[[#This Row],[PontosTime1]]-TabJogos[[#This Row],[PontosTime2]]</f>
        <v>3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9</v>
      </c>
      <c r="E3379" s="6">
        <v>3</v>
      </c>
      <c r="F3379" s="6">
        <v>1</v>
      </c>
      <c r="G3379" s="6" t="s">
        <v>13</v>
      </c>
      <c r="H3379" s="6" t="s">
        <v>18</v>
      </c>
      <c r="I3379" s="6">
        <f>TabJogos[[#This Row],[PontosTime1]]-TabJogos[[#This Row],[PontosTime2]]</f>
        <v>2</v>
      </c>
    </row>
    <row r="3380" spans="1:9" ht="15" customHeight="1" x14ac:dyDescent="0.25">
      <c r="A3380" s="7">
        <v>3379</v>
      </c>
      <c r="B3380" s="1">
        <v>43587</v>
      </c>
      <c r="C3380" s="6" t="s">
        <v>9</v>
      </c>
      <c r="D3380" s="6" t="s">
        <v>57</v>
      </c>
      <c r="E3380" s="6">
        <v>2</v>
      </c>
      <c r="F3380" s="6">
        <v>4</v>
      </c>
      <c r="G3380" s="6" t="s">
        <v>11</v>
      </c>
      <c r="H3380" s="6" t="s">
        <v>18</v>
      </c>
      <c r="I3380" s="6">
        <f>TabJogos[[#This Row],[PontosTime1]]-TabJogos[[#This Row],[PontosTime2]]</f>
        <v>-2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13</v>
      </c>
      <c r="E3381" s="6">
        <v>0</v>
      </c>
      <c r="F3381" s="6">
        <v>3</v>
      </c>
      <c r="G3381" s="6" t="s">
        <v>28</v>
      </c>
      <c r="H3381" s="6" t="s">
        <v>18</v>
      </c>
      <c r="I3381" s="6">
        <f>TabJogos[[#This Row],[PontosTime1]]-TabJogos[[#This Row],[PontosTime2]]</f>
        <v>-3</v>
      </c>
    </row>
    <row r="3382" spans="1:9" ht="15" customHeight="1" x14ac:dyDescent="0.25">
      <c r="A3382" s="7">
        <v>3381</v>
      </c>
      <c r="B3382" s="1">
        <v>43587</v>
      </c>
      <c r="C3382" s="6" t="s">
        <v>28</v>
      </c>
      <c r="D3382" s="6" t="s">
        <v>57</v>
      </c>
      <c r="E3382" s="6">
        <v>4</v>
      </c>
      <c r="F3382" s="6">
        <v>1</v>
      </c>
      <c r="G3382" s="6" t="s">
        <v>60</v>
      </c>
      <c r="H3382" s="6" t="s">
        <v>18</v>
      </c>
      <c r="I3382" s="6">
        <f>TabJogos[[#This Row],[PontosTime1]]-TabJogos[[#This Row],[PontosTime2]]</f>
        <v>3</v>
      </c>
    </row>
    <row r="3383" spans="1:9" ht="15" customHeight="1" x14ac:dyDescent="0.25">
      <c r="A3383" s="7">
        <v>3382</v>
      </c>
      <c r="B3383" s="1">
        <v>43587</v>
      </c>
      <c r="C3383" s="6" t="s">
        <v>57</v>
      </c>
      <c r="D3383" s="6" t="s">
        <v>13</v>
      </c>
      <c r="E3383" s="6">
        <v>3</v>
      </c>
      <c r="F3383" s="6">
        <v>0</v>
      </c>
      <c r="G3383" s="6" t="s">
        <v>28</v>
      </c>
      <c r="H3383" s="6" t="s">
        <v>9</v>
      </c>
      <c r="I3383" s="6">
        <f>TabJogos[[#This Row],[PontosTime1]]-TabJogos[[#This Row],[PontosTime2]]</f>
        <v>3</v>
      </c>
    </row>
    <row r="3384" spans="1:9" ht="15" customHeight="1" x14ac:dyDescent="0.25">
      <c r="A3384" s="7">
        <v>3383</v>
      </c>
      <c r="B3384" s="1">
        <v>43587</v>
      </c>
      <c r="C3384" s="6" t="s">
        <v>57</v>
      </c>
      <c r="D3384" s="6" t="s">
        <v>11</v>
      </c>
      <c r="E3384" s="6">
        <v>2</v>
      </c>
      <c r="F3384" s="6">
        <v>3</v>
      </c>
      <c r="G3384" s="6" t="s">
        <v>60</v>
      </c>
      <c r="H3384" s="6" t="s">
        <v>13</v>
      </c>
      <c r="I3384" s="6">
        <f>TabJogos[[#This Row],[PontosTime1]]-TabJogos[[#This Row],[PontosTime2]]</f>
        <v>-1</v>
      </c>
    </row>
    <row r="3385" spans="1:9" ht="15" customHeight="1" x14ac:dyDescent="0.25">
      <c r="A3385" s="7">
        <v>3384</v>
      </c>
      <c r="B3385" s="1">
        <v>43587</v>
      </c>
      <c r="C3385" s="6" t="s">
        <v>18</v>
      </c>
      <c r="D3385" s="6" t="s">
        <v>13</v>
      </c>
      <c r="E3385" s="6">
        <v>0</v>
      </c>
      <c r="F3385" s="6">
        <v>3</v>
      </c>
      <c r="G3385" s="6" t="s">
        <v>60</v>
      </c>
      <c r="H3385" s="6" t="s">
        <v>28</v>
      </c>
      <c r="I3385" s="6">
        <f>TabJogos[[#This Row],[PontosTime1]]-TabJogos[[#This Row],[PontosTime2]]</f>
        <v>-3</v>
      </c>
    </row>
    <row r="3386" spans="1:9" ht="15" customHeight="1" x14ac:dyDescent="0.25">
      <c r="A3386" s="7">
        <v>3385</v>
      </c>
      <c r="B3386" s="1">
        <v>43587</v>
      </c>
      <c r="C3386" s="6" t="s">
        <v>11</v>
      </c>
      <c r="D3386" s="6" t="s">
        <v>28</v>
      </c>
      <c r="E3386" s="6">
        <v>3</v>
      </c>
      <c r="F3386" s="6">
        <v>1</v>
      </c>
      <c r="G3386" s="6" t="s">
        <v>60</v>
      </c>
      <c r="H3386" s="6" t="s">
        <v>9</v>
      </c>
      <c r="I3386" s="6">
        <f>TabJogos[[#This Row],[PontosTime1]]-TabJogos[[#This Row],[PontosTime2]]</f>
        <v>2</v>
      </c>
    </row>
    <row r="3387" spans="1:9" ht="15" customHeight="1" x14ac:dyDescent="0.25">
      <c r="A3387" s="7">
        <v>3386</v>
      </c>
      <c r="B3387" s="1">
        <v>43587</v>
      </c>
      <c r="C3387" s="6" t="s">
        <v>41</v>
      </c>
      <c r="D3387" s="6" t="s">
        <v>60</v>
      </c>
      <c r="E3387" s="6">
        <v>3</v>
      </c>
      <c r="F3387" s="6">
        <v>0</v>
      </c>
      <c r="G3387" s="6" t="s">
        <v>9</v>
      </c>
      <c r="H3387" s="6" t="s">
        <v>18</v>
      </c>
      <c r="I3387" s="6">
        <f>TabJogos[[#This Row],[PontosTime1]]-TabJogos[[#This Row],[PontosTime2]]</f>
        <v>3</v>
      </c>
    </row>
    <row r="3388" spans="1:9" ht="15" customHeight="1" x14ac:dyDescent="0.25">
      <c r="A3388" s="7">
        <v>3387</v>
      </c>
      <c r="B3388" s="1">
        <v>43587</v>
      </c>
      <c r="C3388" s="6" t="s">
        <v>11</v>
      </c>
      <c r="D3388" s="6" t="s">
        <v>60</v>
      </c>
      <c r="E3388" s="6">
        <v>3</v>
      </c>
      <c r="F3388" s="6">
        <v>2</v>
      </c>
      <c r="G3388" s="6" t="s">
        <v>41</v>
      </c>
      <c r="H3388" s="6" t="s">
        <v>13</v>
      </c>
      <c r="I3388" s="6">
        <f>TabJogos[[#This Row],[PontosTime1]]-TabJogos[[#This Row],[PontosTime2]]</f>
        <v>1</v>
      </c>
    </row>
    <row r="3389" spans="1:9" ht="15" customHeight="1" x14ac:dyDescent="0.25">
      <c r="A3389" s="7">
        <v>3388</v>
      </c>
      <c r="B3389" s="1">
        <v>43587</v>
      </c>
      <c r="C3389" s="6" t="s">
        <v>11</v>
      </c>
      <c r="D3389" s="6" t="s">
        <v>18</v>
      </c>
      <c r="E3389" s="6">
        <v>3</v>
      </c>
      <c r="F3389" s="6">
        <v>1</v>
      </c>
      <c r="G3389" s="6" t="s">
        <v>9</v>
      </c>
      <c r="H3389" s="6" t="s">
        <v>13</v>
      </c>
      <c r="I3389" s="6">
        <f>TabJogos[[#This Row],[PontosTime1]]-TabJogos[[#This Row],[PontosTime2]]</f>
        <v>2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18</v>
      </c>
      <c r="E3390" s="6">
        <v>3</v>
      </c>
      <c r="F3390" s="6">
        <v>0</v>
      </c>
      <c r="G3390" s="6" t="s">
        <v>11</v>
      </c>
      <c r="H3390" s="6" t="s">
        <v>9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13</v>
      </c>
      <c r="E3391" s="6">
        <v>3</v>
      </c>
      <c r="F3391" s="6">
        <v>1</v>
      </c>
      <c r="G3391" s="6" t="s">
        <v>18</v>
      </c>
      <c r="H3391" s="6" t="s">
        <v>9</v>
      </c>
      <c r="I3391" s="6">
        <f>TabJogos[[#This Row],[PontosTime1]]-TabJogos[[#This Row],[PontosTime2]]</f>
        <v>2</v>
      </c>
    </row>
    <row r="3392" spans="1:9" ht="15" customHeight="1" x14ac:dyDescent="0.25">
      <c r="A3392" s="7">
        <v>3391</v>
      </c>
      <c r="B3392" s="1">
        <v>43587</v>
      </c>
      <c r="C3392" s="6" t="s">
        <v>9</v>
      </c>
      <c r="D3392" s="6" t="s">
        <v>13</v>
      </c>
      <c r="E3392" s="6">
        <v>3</v>
      </c>
      <c r="F3392" s="6">
        <v>2</v>
      </c>
      <c r="G3392" s="6" t="s">
        <v>18</v>
      </c>
      <c r="H3392" s="6" t="s">
        <v>11</v>
      </c>
      <c r="I3392" s="6">
        <f>TabJogos[[#This Row],[PontosTime1]]-TabJogos[[#This Row],[PontosTime2]]</f>
        <v>1</v>
      </c>
    </row>
    <row r="3393" spans="1:9" ht="15" customHeight="1" x14ac:dyDescent="0.25">
      <c r="A3393" s="7">
        <v>3392</v>
      </c>
      <c r="B3393" s="1">
        <v>43587</v>
      </c>
      <c r="C3393" s="6" t="s">
        <v>11</v>
      </c>
      <c r="D3393" s="6" t="s">
        <v>9</v>
      </c>
      <c r="E3393" s="6">
        <v>2</v>
      </c>
      <c r="F3393" s="6">
        <v>3</v>
      </c>
      <c r="G3393" s="6" t="s">
        <v>13</v>
      </c>
      <c r="H3393" s="6" t="s">
        <v>18</v>
      </c>
      <c r="I3393" s="6">
        <f>TabJogos[[#This Row],[PontosTime1]]-TabJogos[[#This Row],[PontosTime2]]</f>
        <v>-1</v>
      </c>
    </row>
    <row r="3394" spans="1:9" ht="15" customHeight="1" x14ac:dyDescent="0.25">
      <c r="A3394" s="7">
        <v>3393</v>
      </c>
      <c r="B3394" s="1">
        <v>43587</v>
      </c>
      <c r="C3394" s="6" t="s">
        <v>11</v>
      </c>
      <c r="D3394" s="6" t="s">
        <v>13</v>
      </c>
      <c r="E3394" s="6">
        <v>2</v>
      </c>
      <c r="F3394" s="6">
        <v>3</v>
      </c>
      <c r="G3394" s="6" t="s">
        <v>18</v>
      </c>
      <c r="H3394" s="6" t="s">
        <v>9</v>
      </c>
      <c r="I3394" s="6">
        <f>TabJogos[[#This Row],[PontosTime1]]-TabJogos[[#This Row],[PontosTime2]]</f>
        <v>-1</v>
      </c>
    </row>
    <row r="3395" spans="1:9" ht="15" customHeight="1" x14ac:dyDescent="0.25">
      <c r="A3395" s="7">
        <v>3394</v>
      </c>
      <c r="B3395" s="1">
        <v>43587</v>
      </c>
      <c r="C3395" s="6" t="s">
        <v>11</v>
      </c>
      <c r="D3395" s="6" t="s">
        <v>18</v>
      </c>
      <c r="E3395" s="6">
        <v>3</v>
      </c>
      <c r="F3395" s="6">
        <v>2</v>
      </c>
      <c r="G3395" s="6" t="s">
        <v>13</v>
      </c>
      <c r="H3395" s="6" t="s">
        <v>9</v>
      </c>
      <c r="I3395" s="6">
        <f>TabJogos[[#This Row],[PontosTime1]]-TabJogos[[#This Row],[PontosTime2]]</f>
        <v>1</v>
      </c>
    </row>
    <row r="3396" spans="1:9" ht="15" customHeight="1" x14ac:dyDescent="0.25">
      <c r="A3396" s="7">
        <v>3395</v>
      </c>
      <c r="B3396" s="1">
        <v>43587</v>
      </c>
      <c r="C3396" s="6" t="s">
        <v>11</v>
      </c>
      <c r="D3396" s="6" t="s">
        <v>9</v>
      </c>
      <c r="E3396" s="6">
        <v>3</v>
      </c>
      <c r="F3396" s="6">
        <v>0</v>
      </c>
      <c r="G3396" s="6" t="s">
        <v>13</v>
      </c>
      <c r="H3396" s="6" t="s">
        <v>18</v>
      </c>
      <c r="I3396" s="6">
        <f>TabJogos[[#This Row],[PontosTime1]]-TabJogos[[#This Row],[PontosTime2]]</f>
        <v>3</v>
      </c>
    </row>
    <row r="3397" spans="1:9" ht="15" customHeight="1" x14ac:dyDescent="0.25">
      <c r="A3397" s="7">
        <v>3396</v>
      </c>
      <c r="B3397" s="1">
        <v>43587</v>
      </c>
      <c r="C3397" s="6" t="s">
        <v>11</v>
      </c>
      <c r="D3397" s="6" t="s">
        <v>13</v>
      </c>
      <c r="E3397" s="6">
        <v>0</v>
      </c>
      <c r="F3397" s="6">
        <v>3</v>
      </c>
      <c r="G3397" s="6" t="s">
        <v>18</v>
      </c>
      <c r="H3397" s="6" t="s">
        <v>9</v>
      </c>
      <c r="I3397" s="6">
        <f>TabJogos[[#This Row],[PontosTime1]]-TabJogos[[#This Row],[PontosTime2]]</f>
        <v>-3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674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364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310</v>
      </c>
      <c r="E3" s="3">
        <f t="shared" ca="1" si="0"/>
        <v>54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146</v>
      </c>
      <c r="H3" s="4">
        <f t="shared" ca="1" si="1"/>
        <v>0.5400593471810089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54.005934718100889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547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283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264</v>
      </c>
      <c r="E4" s="3">
        <f t="shared" ca="1" si="0"/>
        <v>19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59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82</v>
      </c>
      <c r="H4" s="4">
        <f t="shared" ca="1" si="1"/>
        <v>0.51736745886654478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51.736745886654475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177</v>
      </c>
      <c r="E7" s="3">
        <f t="shared" ca="1" si="0"/>
        <v>10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38</v>
      </c>
      <c r="H7" s="4">
        <f t="shared" ca="1" si="1"/>
        <v>0.51373626373626369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51.373626373626365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2111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1115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996</v>
      </c>
      <c r="E8" s="3">
        <f t="shared" ca="1" si="0"/>
        <v>119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167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447</v>
      </c>
      <c r="H8" s="4">
        <f t="shared" ca="1" si="1"/>
        <v>0.52818569398389392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52.818569398389393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1779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902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877</v>
      </c>
      <c r="E9" s="3">
        <f t="shared" ca="1" si="0"/>
        <v>25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138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53</v>
      </c>
      <c r="H9" s="4">
        <f t="shared" ca="1" si="1"/>
        <v>0.507026419336706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50.702641933670598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773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395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-60</v>
      </c>
      <c r="H10" s="4">
        <f t="shared" ca="1" si="1"/>
        <v>0.48900388098318243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48.900388098318246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817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397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420</v>
      </c>
      <c r="E12" s="3">
        <f t="shared" ca="1" si="0"/>
        <v>-23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62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-61</v>
      </c>
      <c r="H12" s="4">
        <f t="shared" ca="1" si="1"/>
        <v>0.48592411260709917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48.592411260709916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466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233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233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-25</v>
      </c>
      <c r="H14" s="4">
        <f t="shared" ca="1" si="1"/>
        <v>0.5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559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258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301</v>
      </c>
      <c r="E15" s="3">
        <f t="shared" ca="1" si="0"/>
        <v>-43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56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-104</v>
      </c>
      <c r="H15" s="4">
        <f t="shared" ca="1" si="1"/>
        <v>0.46153846153846156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46.153846153846153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1909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823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1086</v>
      </c>
      <c r="E17" s="3">
        <f t="shared" ca="1" si="0"/>
        <v>-263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135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-915</v>
      </c>
      <c r="H17" s="4">
        <f t="shared" ca="1" si="1"/>
        <v>0.43111576741749608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43.111576741749609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371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151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220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19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-209</v>
      </c>
      <c r="H18" s="4">
        <f t="shared" ca="1" si="1"/>
        <v>0.40700808625336926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40.700808625336926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2019-05-03T19:22:49Z</dcterms:modified>
  <cp:category/>
  <cp:contentStatus/>
</cp:coreProperties>
</file>
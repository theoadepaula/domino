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8726EE8E-D7EB-493F-ACF2-DB9FCA5470B5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010" i="3" l="1"/>
  <c r="I2011" i="3"/>
  <c r="I2012" i="3"/>
  <c r="I2013" i="3"/>
  <c r="I2014" i="3"/>
  <c r="I2015" i="3"/>
  <c r="I2016" i="3"/>
  <c r="I2017" i="3"/>
  <c r="I2018" i="3"/>
  <c r="I2019" i="3"/>
  <c r="I1996" i="3" l="1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 l="1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 l="1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 l="1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 l="1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 l="1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 l="1"/>
  <c r="I1916" i="3"/>
  <c r="I1917" i="3"/>
  <c r="I1918" i="3"/>
  <c r="I1919" i="3"/>
  <c r="I1920" i="3"/>
  <c r="I1921" i="3"/>
  <c r="I1922" i="3"/>
  <c r="I1923" i="3"/>
  <c r="I1905" i="3" l="1"/>
  <c r="I1906" i="3"/>
  <c r="I1907" i="3"/>
  <c r="I1908" i="3"/>
  <c r="I1909" i="3"/>
  <c r="I1910" i="3"/>
  <c r="I1911" i="3"/>
  <c r="I1912" i="3"/>
  <c r="I1913" i="3"/>
  <c r="I1914" i="3"/>
  <c r="I1889" i="3" l="1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 l="1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 l="1"/>
  <c r="I1856" i="3"/>
  <c r="I1857" i="3"/>
  <c r="I1858" i="3"/>
  <c r="I1859" i="3"/>
  <c r="I1860" i="3"/>
  <c r="I1861" i="3"/>
  <c r="I1862" i="3"/>
  <c r="I1863" i="3"/>
  <c r="I1864" i="3"/>
  <c r="I1865" i="3"/>
  <c r="I1866" i="3"/>
  <c r="I1844" i="3" l="1"/>
  <c r="I1845" i="3"/>
  <c r="I1846" i="3"/>
  <c r="I1847" i="3"/>
  <c r="I1848" i="3"/>
  <c r="I1849" i="3"/>
  <c r="I1850" i="3"/>
  <c r="I1851" i="3"/>
  <c r="I1852" i="3"/>
  <c r="I1853" i="3"/>
  <c r="I1854" i="3"/>
  <c r="I1833" i="3" l="1"/>
  <c r="I1834" i="3"/>
  <c r="I1835" i="3"/>
  <c r="I1836" i="3"/>
  <c r="I1837" i="3"/>
  <c r="I1838" i="3"/>
  <c r="I1839" i="3"/>
  <c r="I1840" i="3"/>
  <c r="I1841" i="3"/>
  <c r="I1842" i="3"/>
  <c r="I1843" i="3"/>
  <c r="I1817" i="3" l="1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 l="1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 l="1"/>
  <c r="I1791" i="3"/>
  <c r="I1792" i="3"/>
  <c r="I1793" i="3"/>
  <c r="I1794" i="3"/>
  <c r="I1795" i="3"/>
  <c r="I1796" i="3"/>
  <c r="I1797" i="3"/>
  <c r="I1798" i="3"/>
  <c r="I1799" i="3"/>
  <c r="I1800" i="3"/>
  <c r="I1801" i="3"/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<sst xmlns="http://schemas.openxmlformats.org/spreadsheetml/2006/main" count="8120" uniqueCount="56">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</sst>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2019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2019"/>
  <sheetViews>
    <sheetView tabSelected="1" zoomScale="80" zoomScaleNormal="80" workbookViewId="0">
      <pane ySplit="1" topLeftCell="A1974" activePane="bottomLeft" state="frozenSplit"/>
      <selection activeCell="D1" sqref="D1 D1"/>
      <selection pane="bottomLeft" activeCell="A2019" sqref="A2019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12</v>
      </c>
      <c r="D1790" s="6" t="s">
        <v>14</v>
      </c>
      <c r="E1790" s="6">
        <v>5</v>
      </c>
      <c r="F1790" s="6">
        <v>3</v>
      </c>
      <c r="G1790" s="6" t="s">
        <v>10</v>
      </c>
      <c r="H1790" s="6" t="s">
        <v>17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10</v>
      </c>
      <c r="D1791" s="6" t="s">
        <v>41</v>
      </c>
      <c r="E1791" s="6">
        <v>5</v>
      </c>
      <c r="F1791" s="6">
        <v>1</v>
      </c>
      <c r="G1791" s="6" t="s">
        <v>14</v>
      </c>
      <c r="H1791" s="6" t="s">
        <v>17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12</v>
      </c>
      <c r="D1792" s="6" t="s">
        <v>41</v>
      </c>
      <c r="E1792" s="6">
        <v>5</v>
      </c>
      <c r="F1792" s="6">
        <v>3</v>
      </c>
      <c r="G1792" s="6" t="s">
        <v>10</v>
      </c>
      <c r="H1792" s="6" t="s">
        <v>17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12</v>
      </c>
      <c r="D1793" s="6" t="s">
        <v>10</v>
      </c>
      <c r="E1793" s="6">
        <v>0</v>
      </c>
      <c r="F1793" s="6">
        <v>5</v>
      </c>
      <c r="G1793" s="6" t="s">
        <v>14</v>
      </c>
      <c r="H1793" s="6" t="s">
        <v>41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11</v>
      </c>
      <c r="D1794" s="6" t="s">
        <v>14</v>
      </c>
      <c r="E1794" s="6">
        <v>3</v>
      </c>
      <c r="F1794" s="6">
        <v>5</v>
      </c>
      <c r="G1794" s="6" t="s">
        <v>17</v>
      </c>
      <c r="H1794" s="6" t="s">
        <v>41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10</v>
      </c>
      <c r="D1795" s="6" t="s">
        <v>41</v>
      </c>
      <c r="E1795" s="6">
        <v>4</v>
      </c>
      <c r="F1795" s="6">
        <v>5</v>
      </c>
      <c r="G1795" s="6" t="s">
        <v>17</v>
      </c>
      <c r="H1795" s="6" t="s">
        <v>12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14</v>
      </c>
      <c r="D1796" s="6" t="s">
        <v>12</v>
      </c>
      <c r="E1796" s="6">
        <v>5</v>
      </c>
      <c r="F1796" s="6">
        <v>1</v>
      </c>
      <c r="G1796" s="6" t="s">
        <v>11</v>
      </c>
      <c r="H1796" s="6" t="s">
        <v>17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14</v>
      </c>
      <c r="D1797" s="6" t="s">
        <v>10</v>
      </c>
      <c r="E1797" s="6">
        <v>0</v>
      </c>
      <c r="F1797" s="6">
        <v>5</v>
      </c>
      <c r="G1797" s="6" t="s">
        <v>41</v>
      </c>
      <c r="H1797" s="6" t="s">
        <v>12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26</v>
      </c>
      <c r="D1798" s="6" t="s">
        <v>41</v>
      </c>
      <c r="E1798" s="6">
        <v>3</v>
      </c>
      <c r="F1798" s="6">
        <v>5</v>
      </c>
      <c r="G1798" s="6" t="s">
        <v>17</v>
      </c>
      <c r="H1798" s="6" t="s">
        <v>12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17</v>
      </c>
      <c r="D1799" s="6" t="s">
        <v>14</v>
      </c>
      <c r="E1799" s="6">
        <v>5</v>
      </c>
      <c r="F1799" s="6">
        <v>2</v>
      </c>
      <c r="G1799" s="6" t="s">
        <v>10</v>
      </c>
      <c r="H1799" s="6" t="s">
        <v>12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14</v>
      </c>
      <c r="D1800" s="6" t="s">
        <v>26</v>
      </c>
      <c r="E1800" s="6">
        <v>5</v>
      </c>
      <c r="F1800" s="6">
        <v>1</v>
      </c>
      <c r="G1800" s="6" t="s">
        <v>17</v>
      </c>
      <c r="H1800" s="6" t="s">
        <v>41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26</v>
      </c>
      <c r="D1801" s="6" t="s">
        <v>12</v>
      </c>
      <c r="E1801" s="6">
        <v>2</v>
      </c>
      <c r="F1801" s="6">
        <v>7</v>
      </c>
      <c r="G1801" s="6" t="s">
        <v>10</v>
      </c>
      <c r="H1801" s="6" t="s">
        <v>14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10</v>
      </c>
      <c r="D1802" s="6" t="s">
        <v>41</v>
      </c>
      <c r="E1802" s="6">
        <v>4</v>
      </c>
      <c r="F1802" s="6">
        <v>5</v>
      </c>
      <c r="G1802" s="6" t="s">
        <v>17</v>
      </c>
      <c r="H1802" s="6" t="s">
        <v>14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12</v>
      </c>
      <c r="D1803" s="6" t="s">
        <v>14</v>
      </c>
      <c r="E1803" s="6">
        <v>3</v>
      </c>
      <c r="F1803" s="6">
        <v>5</v>
      </c>
      <c r="G1803" s="6" t="s">
        <v>10</v>
      </c>
      <c r="H1803" s="6" t="s">
        <v>41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10</v>
      </c>
      <c r="D1804" s="6" t="s">
        <v>11</v>
      </c>
      <c r="E1804" s="6">
        <v>5</v>
      </c>
      <c r="F1804" s="6">
        <v>3</v>
      </c>
      <c r="G1804" s="6" t="s">
        <v>14</v>
      </c>
      <c r="H1804" s="6" t="s">
        <v>41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14</v>
      </c>
      <c r="D1805" s="6" t="s">
        <v>10</v>
      </c>
      <c r="E1805" s="6">
        <v>1</v>
      </c>
      <c r="F1805" s="6">
        <v>6</v>
      </c>
      <c r="G1805" s="6" t="s">
        <v>12</v>
      </c>
      <c r="H1805" s="6" t="s">
        <v>11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41</v>
      </c>
      <c r="D1806" s="6" t="s">
        <v>10</v>
      </c>
      <c r="E1806" s="6">
        <v>5</v>
      </c>
      <c r="F1806" s="6">
        <v>4</v>
      </c>
      <c r="G1806" s="6" t="s">
        <v>54</v>
      </c>
      <c r="H1806" s="6" t="s">
        <v>14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41</v>
      </c>
      <c r="D1807" s="6" t="s">
        <v>14</v>
      </c>
      <c r="E1807" s="6">
        <v>5</v>
      </c>
      <c r="F1807" s="6">
        <v>1</v>
      </c>
      <c r="G1807" s="6" t="s">
        <v>54</v>
      </c>
      <c r="H1807" s="6" t="s">
        <v>10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11</v>
      </c>
      <c r="D1808" s="6" t="s">
        <v>26</v>
      </c>
      <c r="E1808" s="6">
        <v>6</v>
      </c>
      <c r="F1808" s="6">
        <v>4</v>
      </c>
      <c r="G1808" s="6" t="s">
        <v>12</v>
      </c>
      <c r="H1808" s="6" t="s">
        <v>27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41</v>
      </c>
      <c r="D1809" s="6" t="s">
        <v>54</v>
      </c>
      <c r="E1809" s="6">
        <v>4</v>
      </c>
      <c r="F1809" s="6">
        <v>5</v>
      </c>
      <c r="G1809" s="6" t="s">
        <v>10</v>
      </c>
      <c r="H1809" s="6" t="s">
        <v>14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14</v>
      </c>
      <c r="D1810" s="6" t="s">
        <v>54</v>
      </c>
      <c r="E1810" s="6">
        <v>7</v>
      </c>
      <c r="F1810" s="6">
        <v>0</v>
      </c>
      <c r="G1810" s="6" t="s">
        <v>10</v>
      </c>
      <c r="H1810" s="6" t="s">
        <v>41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27</v>
      </c>
      <c r="D1811" s="6" t="s">
        <v>11</v>
      </c>
      <c r="E1811" s="6">
        <v>6</v>
      </c>
      <c r="F1811" s="6">
        <v>3</v>
      </c>
      <c r="G1811" s="6" t="s">
        <v>12</v>
      </c>
      <c r="H1811" s="6" t="s">
        <v>26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10</v>
      </c>
      <c r="D1812" s="6" t="s">
        <v>26</v>
      </c>
      <c r="E1812" s="6">
        <v>5</v>
      </c>
      <c r="F1812" s="6">
        <v>4</v>
      </c>
      <c r="G1812" s="6" t="s">
        <v>54</v>
      </c>
      <c r="H1812" s="6" t="s">
        <v>14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26</v>
      </c>
      <c r="D1813" s="6" t="s">
        <v>27</v>
      </c>
      <c r="E1813" s="6">
        <v>5</v>
      </c>
      <c r="F1813" s="6">
        <v>3</v>
      </c>
      <c r="G1813" s="6" t="s">
        <v>10</v>
      </c>
      <c r="H1813" s="6" t="s">
        <v>12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41</v>
      </c>
      <c r="D1814" s="6" t="s">
        <v>14</v>
      </c>
      <c r="E1814" s="6">
        <v>8</v>
      </c>
      <c r="F1814" s="6">
        <v>2</v>
      </c>
      <c r="G1814" s="6" t="s">
        <v>10</v>
      </c>
      <c r="H1814" s="6" t="s">
        <v>54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41</v>
      </c>
      <c r="D1815" s="6" t="s">
        <v>10</v>
      </c>
      <c r="E1815" s="6">
        <v>5</v>
      </c>
      <c r="F1815" s="6">
        <v>1</v>
      </c>
      <c r="G1815" s="6" t="s">
        <v>12</v>
      </c>
      <c r="H1815" s="6" t="s">
        <v>14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10</v>
      </c>
      <c r="D1816" s="6" t="s">
        <v>14</v>
      </c>
      <c r="E1816" s="6">
        <v>0</v>
      </c>
      <c r="F1816" s="6">
        <v>5</v>
      </c>
      <c r="G1816" s="6" t="s">
        <v>41</v>
      </c>
      <c r="H1816" s="6" t="s">
        <v>12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14</v>
      </c>
      <c r="D1817" s="6" t="s">
        <v>10</v>
      </c>
      <c r="E1817" s="6">
        <v>5</v>
      </c>
      <c r="F1817" s="6">
        <v>3</v>
      </c>
      <c r="G1817" s="6" t="s">
        <v>41</v>
      </c>
      <c r="H1817" s="6" t="s">
        <v>12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12</v>
      </c>
      <c r="D1818" s="6" t="s">
        <v>10</v>
      </c>
      <c r="E1818" s="6">
        <v>5</v>
      </c>
      <c r="F1818" s="6">
        <v>4</v>
      </c>
      <c r="G1818" s="6" t="s">
        <v>41</v>
      </c>
      <c r="H1818" s="6" t="s">
        <v>14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10</v>
      </c>
      <c r="D1819" s="6" t="s">
        <v>54</v>
      </c>
      <c r="E1819" s="6">
        <v>0</v>
      </c>
      <c r="F1819" s="6">
        <v>5</v>
      </c>
      <c r="G1819" s="6" t="s">
        <v>11</v>
      </c>
      <c r="H1819" s="6" t="s">
        <v>12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41</v>
      </c>
      <c r="D1820" s="6" t="s">
        <v>54</v>
      </c>
      <c r="E1820" s="6">
        <v>5</v>
      </c>
      <c r="F1820" s="6">
        <v>0</v>
      </c>
      <c r="G1820" s="6" t="s">
        <v>12</v>
      </c>
      <c r="H1820" s="6" t="s">
        <v>14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41</v>
      </c>
      <c r="D1821" s="6" t="s">
        <v>10</v>
      </c>
      <c r="E1821" s="6">
        <v>5</v>
      </c>
      <c r="F1821" s="6">
        <v>3</v>
      </c>
      <c r="G1821" s="6" t="s">
        <v>26</v>
      </c>
      <c r="H1821" s="6" t="s">
        <v>54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10</v>
      </c>
      <c r="D1822" s="6" t="s">
        <v>14</v>
      </c>
      <c r="E1822" s="6">
        <v>5</v>
      </c>
      <c r="F1822" s="6">
        <v>0</v>
      </c>
      <c r="G1822" s="6" t="s">
        <v>41</v>
      </c>
      <c r="H1822" s="6" t="s">
        <v>12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10</v>
      </c>
      <c r="D1823" s="6" t="s">
        <v>26</v>
      </c>
      <c r="E1823" s="6">
        <v>6</v>
      </c>
      <c r="F1823" s="6">
        <v>0</v>
      </c>
      <c r="G1823" s="6" t="s">
        <v>14</v>
      </c>
      <c r="H1823" s="6" t="s">
        <v>54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26</v>
      </c>
      <c r="D1824" s="6" t="s">
        <v>41</v>
      </c>
      <c r="E1824" s="6">
        <v>6</v>
      </c>
      <c r="F1824" s="6">
        <v>2</v>
      </c>
      <c r="G1824" s="6" t="s">
        <v>10</v>
      </c>
      <c r="H1824" s="6" t="s">
        <v>17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27</v>
      </c>
      <c r="D1825" s="6" t="s">
        <v>54</v>
      </c>
      <c r="E1825" s="6">
        <v>5</v>
      </c>
      <c r="F1825" s="6">
        <v>2</v>
      </c>
      <c r="G1825" s="6" t="s">
        <v>14</v>
      </c>
      <c r="H1825" s="6" t="s">
        <v>12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26</v>
      </c>
      <c r="D1826" s="6" t="s">
        <v>17</v>
      </c>
      <c r="E1826" s="6">
        <v>5</v>
      </c>
      <c r="F1826" s="6">
        <v>2</v>
      </c>
      <c r="G1826" s="6" t="s">
        <v>41</v>
      </c>
      <c r="H1826" s="6" t="s">
        <v>10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14</v>
      </c>
      <c r="D1827" s="6" t="s">
        <v>27</v>
      </c>
      <c r="E1827" s="6">
        <v>5</v>
      </c>
      <c r="F1827" s="6">
        <v>2</v>
      </c>
      <c r="G1827" s="6" t="s">
        <v>54</v>
      </c>
      <c r="H1827" s="6" t="s">
        <v>12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10</v>
      </c>
      <c r="D1828" s="6" t="s">
        <v>26</v>
      </c>
      <c r="E1828" s="6">
        <v>5</v>
      </c>
      <c r="F1828" s="6">
        <v>4</v>
      </c>
      <c r="G1828" s="6" t="s">
        <v>41</v>
      </c>
      <c r="H1828" s="6" t="s">
        <v>17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26</v>
      </c>
      <c r="D1829" s="6" t="s">
        <v>41</v>
      </c>
      <c r="E1829" s="6">
        <v>5</v>
      </c>
      <c r="F1829" s="6">
        <v>0</v>
      </c>
      <c r="G1829" s="6" t="s">
        <v>17</v>
      </c>
      <c r="H1829" s="6" t="s">
        <v>10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12</v>
      </c>
      <c r="D1830" s="6" t="s">
        <v>14</v>
      </c>
      <c r="E1830" s="6">
        <v>5</v>
      </c>
      <c r="F1830" s="6">
        <v>3</v>
      </c>
      <c r="G1830" s="6" t="s">
        <v>8</v>
      </c>
      <c r="H1830" s="6" t="s">
        <v>27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12</v>
      </c>
      <c r="D1831" s="6" t="s">
        <v>27</v>
      </c>
      <c r="E1831" s="6">
        <v>5</v>
      </c>
      <c r="F1831" s="6">
        <v>1</v>
      </c>
      <c r="G1831" s="6" t="s">
        <v>8</v>
      </c>
      <c r="H1831" s="6" t="s">
        <v>10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10</v>
      </c>
      <c r="D1832" s="6" t="s">
        <v>27</v>
      </c>
      <c r="E1832" s="6">
        <v>5</v>
      </c>
      <c r="F1832" s="6">
        <v>4</v>
      </c>
      <c r="G1832" s="6" t="s">
        <v>12</v>
      </c>
      <c r="H1832" s="6" t="s">
        <v>8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12</v>
      </c>
      <c r="D1833" s="6" t="s">
        <v>11</v>
      </c>
      <c r="E1833" s="6">
        <v>0</v>
      </c>
      <c r="F1833" s="6">
        <v>6</v>
      </c>
      <c r="G1833" s="6" t="s">
        <v>14</v>
      </c>
      <c r="H1833" s="6" t="s">
        <v>26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12</v>
      </c>
      <c r="D1834" s="6" t="s">
        <v>26</v>
      </c>
      <c r="E1834" s="6">
        <v>5</v>
      </c>
      <c r="F1834" s="6">
        <v>2</v>
      </c>
      <c r="G1834" s="6" t="s">
        <v>14</v>
      </c>
      <c r="H1834" s="6" t="s">
        <v>11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11</v>
      </c>
      <c r="D1835" s="6" t="s">
        <v>26</v>
      </c>
      <c r="E1835" s="6">
        <v>6</v>
      </c>
      <c r="F1835" s="6">
        <v>1</v>
      </c>
      <c r="G1835" s="6" t="s">
        <v>14</v>
      </c>
      <c r="H1835" s="6" t="s">
        <v>12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11</v>
      </c>
      <c r="D1836" s="6" t="s">
        <v>12</v>
      </c>
      <c r="E1836" s="6">
        <v>5</v>
      </c>
      <c r="F1836" s="6">
        <v>3</v>
      </c>
      <c r="G1836" s="6" t="s">
        <v>14</v>
      </c>
      <c r="H1836" s="6" t="s">
        <v>26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12</v>
      </c>
      <c r="D1837" s="6" t="s">
        <v>26</v>
      </c>
      <c r="E1837" s="6">
        <v>5</v>
      </c>
      <c r="F1837" s="6">
        <v>1</v>
      </c>
      <c r="G1837" s="6" t="s">
        <v>14</v>
      </c>
      <c r="H1837" s="6" t="s">
        <v>11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11</v>
      </c>
      <c r="D1838" s="6" t="s">
        <v>26</v>
      </c>
      <c r="E1838" s="6">
        <v>5</v>
      </c>
      <c r="F1838" s="6">
        <v>4</v>
      </c>
      <c r="G1838" s="6" t="s">
        <v>14</v>
      </c>
      <c r="H1838" s="6" t="s">
        <v>12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12</v>
      </c>
      <c r="D1839" s="6" t="s">
        <v>26</v>
      </c>
      <c r="E1839" s="6">
        <v>5</v>
      </c>
      <c r="F1839" s="6">
        <v>4</v>
      </c>
      <c r="G1839" s="6" t="s">
        <v>14</v>
      </c>
      <c r="H1839" s="6" t="s">
        <v>27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26</v>
      </c>
      <c r="D1840" s="6" t="s">
        <v>27</v>
      </c>
      <c r="E1840" s="6">
        <v>5</v>
      </c>
      <c r="F1840" s="6">
        <v>1</v>
      </c>
      <c r="G1840" s="6" t="s">
        <v>12</v>
      </c>
      <c r="H1840" s="6" t="s">
        <v>14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12</v>
      </c>
      <c r="D1841" s="6" t="s">
        <v>27</v>
      </c>
      <c r="E1841" s="6">
        <v>5</v>
      </c>
      <c r="F1841" s="6">
        <v>1</v>
      </c>
      <c r="G1841" s="6" t="s">
        <v>14</v>
      </c>
      <c r="H1841" s="6" t="s">
        <v>26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10</v>
      </c>
      <c r="D1842" s="6" t="s">
        <v>14</v>
      </c>
      <c r="E1842" s="6">
        <v>5</v>
      </c>
      <c r="F1842" s="6">
        <v>3</v>
      </c>
      <c r="G1842" s="6" t="s">
        <v>27</v>
      </c>
      <c r="H1842" s="6" t="s">
        <v>12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10</v>
      </c>
      <c r="D1843" s="6" t="s">
        <v>12</v>
      </c>
      <c r="E1843" s="6">
        <v>5</v>
      </c>
      <c r="F1843" s="6">
        <v>1</v>
      </c>
      <c r="G1843" s="6" t="s">
        <v>27</v>
      </c>
      <c r="H1843" s="6" t="s">
        <v>14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10</v>
      </c>
      <c r="D1844" s="6" t="s">
        <v>26</v>
      </c>
      <c r="E1844" s="6">
        <v>4</v>
      </c>
      <c r="F1844" s="6">
        <v>5</v>
      </c>
      <c r="G1844" s="6" t="s">
        <v>14</v>
      </c>
      <c r="H1844" s="6" t="s">
        <v>41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12</v>
      </c>
      <c r="D1845" s="6" t="s">
        <v>14</v>
      </c>
      <c r="E1845" s="6">
        <v>5</v>
      </c>
      <c r="F1845" s="6">
        <v>3</v>
      </c>
      <c r="G1845" s="6" t="s">
        <v>11</v>
      </c>
      <c r="H1845" s="6" t="s">
        <v>26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12</v>
      </c>
      <c r="D1846" s="6" t="s">
        <v>11</v>
      </c>
      <c r="E1846" s="6">
        <v>2</v>
      </c>
      <c r="F1846" s="6">
        <v>5</v>
      </c>
      <c r="G1846" s="6" t="s">
        <v>14</v>
      </c>
      <c r="H1846" s="6" t="s">
        <v>10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10</v>
      </c>
      <c r="D1847" s="6" t="s">
        <v>12</v>
      </c>
      <c r="E1847" s="6">
        <v>3</v>
      </c>
      <c r="F1847" s="6">
        <v>5</v>
      </c>
      <c r="G1847" s="6" t="s">
        <v>17</v>
      </c>
      <c r="H1847" s="6" t="s">
        <v>14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12</v>
      </c>
      <c r="D1848" s="6" t="s">
        <v>14</v>
      </c>
      <c r="E1848" s="6">
        <v>5</v>
      </c>
      <c r="F1848" s="6">
        <v>0</v>
      </c>
      <c r="G1848" s="6" t="s">
        <v>17</v>
      </c>
      <c r="H1848" s="6" t="s">
        <v>41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12</v>
      </c>
      <c r="D1849" s="6" t="s">
        <v>17</v>
      </c>
      <c r="E1849" s="6">
        <v>2</v>
      </c>
      <c r="F1849" s="6">
        <v>6</v>
      </c>
      <c r="G1849" s="6" t="s">
        <v>14</v>
      </c>
      <c r="H1849" s="6" t="s">
        <v>10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27</v>
      </c>
      <c r="D1850" s="6" t="s">
        <v>10</v>
      </c>
      <c r="E1850" s="6">
        <v>5</v>
      </c>
      <c r="F1850" s="6">
        <v>3</v>
      </c>
      <c r="G1850" s="6" t="s">
        <v>14</v>
      </c>
      <c r="H1850" s="6" t="s">
        <v>55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10</v>
      </c>
      <c r="D1851" s="6" t="s">
        <v>17</v>
      </c>
      <c r="E1851" s="6">
        <v>5</v>
      </c>
      <c r="F1851" s="6">
        <v>3</v>
      </c>
      <c r="G1851" s="6" t="s">
        <v>8</v>
      </c>
      <c r="H1851" s="6" t="s">
        <v>27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10</v>
      </c>
      <c r="D1852" s="6" t="s">
        <v>12</v>
      </c>
      <c r="E1852" s="6">
        <v>5</v>
      </c>
      <c r="F1852" s="6">
        <v>3</v>
      </c>
      <c r="G1852" s="6" t="s">
        <v>17</v>
      </c>
      <c r="H1852" s="6" t="s">
        <v>8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10</v>
      </c>
      <c r="D1853" s="6" t="s">
        <v>8</v>
      </c>
      <c r="E1853" s="6">
        <v>5</v>
      </c>
      <c r="F1853" s="6">
        <v>4</v>
      </c>
      <c r="G1853" s="6" t="s">
        <v>17</v>
      </c>
      <c r="H1853" s="6" t="s">
        <v>12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10</v>
      </c>
      <c r="D1854" s="6" t="s">
        <v>17</v>
      </c>
      <c r="E1854" s="6">
        <v>5</v>
      </c>
      <c r="F1854" s="6">
        <v>2</v>
      </c>
      <c r="G1854" s="6" t="s">
        <v>8</v>
      </c>
      <c r="H1854" s="6" t="s">
        <v>12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10</v>
      </c>
      <c r="D1855" s="6" t="s">
        <v>14</v>
      </c>
      <c r="E1855" s="6">
        <v>5</v>
      </c>
      <c r="F1855" s="6">
        <v>2</v>
      </c>
      <c r="G1855" s="6" t="s">
        <v>12</v>
      </c>
      <c r="H1855" s="6" t="s">
        <v>41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10</v>
      </c>
      <c r="D1856" s="6" t="s">
        <v>11</v>
      </c>
      <c r="E1856" s="6">
        <v>2</v>
      </c>
      <c r="F1856" s="6">
        <v>5</v>
      </c>
      <c r="G1856" s="6" t="s">
        <v>14</v>
      </c>
      <c r="H1856" s="6" t="s">
        <v>9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12</v>
      </c>
      <c r="D1857" s="6" t="s">
        <v>14</v>
      </c>
      <c r="E1857" s="6">
        <v>3</v>
      </c>
      <c r="F1857" s="6">
        <v>6</v>
      </c>
      <c r="G1857" s="6" t="s">
        <v>9</v>
      </c>
      <c r="H1857" s="6" t="s">
        <v>41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11</v>
      </c>
      <c r="D1858" s="6" t="s">
        <v>9</v>
      </c>
      <c r="E1858" s="6">
        <v>3</v>
      </c>
      <c r="F1858" s="6">
        <v>5</v>
      </c>
      <c r="G1858" s="6" t="s">
        <v>10</v>
      </c>
      <c r="H1858" s="6" t="s">
        <v>41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14</v>
      </c>
      <c r="D1859" s="6" t="s">
        <v>41</v>
      </c>
      <c r="E1859" s="6">
        <v>5</v>
      </c>
      <c r="F1859" s="6">
        <v>1</v>
      </c>
      <c r="G1859" s="6" t="s">
        <v>10</v>
      </c>
      <c r="H1859" s="6" t="s">
        <v>54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14</v>
      </c>
      <c r="D1860" s="6" t="s">
        <v>10</v>
      </c>
      <c r="E1860" s="6">
        <v>6</v>
      </c>
      <c r="F1860" s="6">
        <v>2</v>
      </c>
      <c r="G1860" s="6" t="s">
        <v>12</v>
      </c>
      <c r="H1860" s="6" t="s">
        <v>41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10</v>
      </c>
      <c r="D1861" s="6" t="s">
        <v>26</v>
      </c>
      <c r="E1861" s="6">
        <v>5</v>
      </c>
      <c r="F1861" s="6">
        <v>1</v>
      </c>
      <c r="G1861" s="6" t="s">
        <v>54</v>
      </c>
      <c r="H1861" s="6" t="s">
        <v>14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26</v>
      </c>
      <c r="D1862" s="6" t="s">
        <v>54</v>
      </c>
      <c r="E1862" s="6">
        <v>5</v>
      </c>
      <c r="F1862" s="6">
        <v>0</v>
      </c>
      <c r="G1862" s="6" t="s">
        <v>10</v>
      </c>
      <c r="H1862" s="6" t="s">
        <v>41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14</v>
      </c>
      <c r="D1863" s="6" t="s">
        <v>26</v>
      </c>
      <c r="E1863" s="6">
        <v>5</v>
      </c>
      <c r="F1863" s="6">
        <v>2</v>
      </c>
      <c r="G1863" s="6" t="s">
        <v>54</v>
      </c>
      <c r="H1863" s="6" t="s">
        <v>41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10</v>
      </c>
      <c r="D1864" s="6" t="s">
        <v>14</v>
      </c>
      <c r="E1864" s="6">
        <v>3</v>
      </c>
      <c r="F1864" s="6">
        <v>5</v>
      </c>
      <c r="G1864" s="6" t="s">
        <v>12</v>
      </c>
      <c r="H1864" s="6" t="s">
        <v>26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12</v>
      </c>
      <c r="D1865" s="6" t="s">
        <v>14</v>
      </c>
      <c r="E1865" s="6">
        <v>3</v>
      </c>
      <c r="F1865" s="6">
        <v>5</v>
      </c>
      <c r="G1865" s="6" t="s">
        <v>26</v>
      </c>
      <c r="H1865" s="6" t="s">
        <v>41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10</v>
      </c>
      <c r="D1866" s="6" t="s">
        <v>12</v>
      </c>
      <c r="E1866" s="6">
        <v>5</v>
      </c>
      <c r="F1866" s="6">
        <v>3</v>
      </c>
      <c r="G1866" s="6" t="s">
        <v>14</v>
      </c>
      <c r="H1866" s="6" t="s">
        <v>41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10</v>
      </c>
      <c r="D1867" s="6" t="s">
        <v>41</v>
      </c>
      <c r="E1867" s="6">
        <v>5</v>
      </c>
      <c r="F1867" s="6">
        <v>0</v>
      </c>
      <c r="G1867" s="6" t="s">
        <v>14</v>
      </c>
      <c r="H1867" s="6" t="s">
        <v>9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10</v>
      </c>
      <c r="D1868" s="6" t="s">
        <v>17</v>
      </c>
      <c r="E1868" s="6">
        <v>5</v>
      </c>
      <c r="F1868" s="6">
        <v>1</v>
      </c>
      <c r="G1868" s="6" t="s">
        <v>12</v>
      </c>
      <c r="H1868" s="6" t="s">
        <v>41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12</v>
      </c>
      <c r="D1869" s="6" t="s">
        <v>14</v>
      </c>
      <c r="E1869" s="6">
        <v>7</v>
      </c>
      <c r="F1869" s="6">
        <v>3</v>
      </c>
      <c r="G1869" s="6" t="s">
        <v>11</v>
      </c>
      <c r="H1869" s="6" t="s">
        <v>41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10</v>
      </c>
      <c r="D1870" s="6" t="s">
        <v>50</v>
      </c>
      <c r="E1870" s="6">
        <v>5</v>
      </c>
      <c r="F1870" s="6">
        <v>3</v>
      </c>
      <c r="G1870" s="6" t="s">
        <v>9</v>
      </c>
      <c r="H1870" s="6" t="s">
        <v>17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10</v>
      </c>
      <c r="D1871" s="6" t="s">
        <v>9</v>
      </c>
      <c r="E1871" s="6">
        <v>5</v>
      </c>
      <c r="F1871" s="6">
        <v>0</v>
      </c>
      <c r="G1871" s="6" t="s">
        <v>17</v>
      </c>
      <c r="H1871" s="6" t="s">
        <v>50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12</v>
      </c>
      <c r="D1872" s="6" t="s">
        <v>11</v>
      </c>
      <c r="E1872" s="6">
        <v>4</v>
      </c>
      <c r="F1872" s="6">
        <v>6</v>
      </c>
      <c r="G1872" s="6" t="s">
        <v>14</v>
      </c>
      <c r="H1872" s="6" t="s">
        <v>41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10</v>
      </c>
      <c r="D1873" s="6" t="s">
        <v>17</v>
      </c>
      <c r="E1873" s="6">
        <v>5</v>
      </c>
      <c r="F1873" s="6">
        <v>3</v>
      </c>
      <c r="G1873" s="6" t="s">
        <v>9</v>
      </c>
      <c r="H1873" s="6" t="s">
        <v>50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26</v>
      </c>
      <c r="D1874" s="6" t="s">
        <v>41</v>
      </c>
      <c r="E1874" s="6">
        <v>2</v>
      </c>
      <c r="F1874" s="6">
        <v>6</v>
      </c>
      <c r="G1874" s="6" t="s">
        <v>14</v>
      </c>
      <c r="H1874" s="6" t="s">
        <v>27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10</v>
      </c>
      <c r="D1875" s="6" t="s">
        <v>12</v>
      </c>
      <c r="E1875" s="6">
        <v>5</v>
      </c>
      <c r="F1875" s="6">
        <v>3</v>
      </c>
      <c r="G1875" s="6" t="s">
        <v>11</v>
      </c>
      <c r="H1875" s="6" t="s">
        <v>17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27</v>
      </c>
      <c r="D1876" s="6" t="s">
        <v>41</v>
      </c>
      <c r="E1876" s="6">
        <v>5</v>
      </c>
      <c r="F1876" s="6">
        <v>2</v>
      </c>
      <c r="G1876" s="6" t="s">
        <v>14</v>
      </c>
      <c r="H1876" s="6" t="s">
        <v>9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9</v>
      </c>
      <c r="D1877" s="6" t="s">
        <v>41</v>
      </c>
      <c r="E1877" s="6">
        <v>0</v>
      </c>
      <c r="F1877" s="6">
        <v>6</v>
      </c>
      <c r="G1877" s="6" t="s">
        <v>14</v>
      </c>
      <c r="H1877" s="6" t="s">
        <v>27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12</v>
      </c>
      <c r="D1878" s="6" t="s">
        <v>17</v>
      </c>
      <c r="E1878" s="6">
        <v>5</v>
      </c>
      <c r="F1878" s="6">
        <v>2</v>
      </c>
      <c r="G1878" s="6" t="s">
        <v>10</v>
      </c>
      <c r="H1878" s="6" t="s">
        <v>26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41</v>
      </c>
      <c r="D1879" s="6" t="s">
        <v>10</v>
      </c>
      <c r="E1879" s="6">
        <v>1</v>
      </c>
      <c r="F1879" s="6">
        <v>6</v>
      </c>
      <c r="G1879" s="6" t="s">
        <v>26</v>
      </c>
      <c r="H1879" s="6" t="s">
        <v>50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12</v>
      </c>
      <c r="D1880" s="6" t="s">
        <v>27</v>
      </c>
      <c r="E1880" s="6">
        <v>2</v>
      </c>
      <c r="F1880" s="6">
        <v>5</v>
      </c>
      <c r="G1880" s="6" t="s">
        <v>14</v>
      </c>
      <c r="H1880" s="6" t="s">
        <v>17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26</v>
      </c>
      <c r="D1881" s="6" t="s">
        <v>41</v>
      </c>
      <c r="E1881" s="6">
        <v>6</v>
      </c>
      <c r="F1881" s="6">
        <v>0</v>
      </c>
      <c r="G1881" s="6" t="s">
        <v>10</v>
      </c>
      <c r="H1881" s="6" t="s">
        <v>50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10</v>
      </c>
      <c r="D1882" s="6" t="s">
        <v>26</v>
      </c>
      <c r="E1882" s="6">
        <v>5</v>
      </c>
      <c r="F1882" s="6">
        <v>4</v>
      </c>
      <c r="G1882" s="6" t="s">
        <v>41</v>
      </c>
      <c r="H1882" s="6" t="s">
        <v>50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12</v>
      </c>
      <c r="D1883" s="6" t="s">
        <v>14</v>
      </c>
      <c r="E1883" s="6">
        <v>5</v>
      </c>
      <c r="F1883" s="6">
        <v>3</v>
      </c>
      <c r="G1883" s="6" t="s">
        <v>17</v>
      </c>
      <c r="H1883" s="6" t="s">
        <v>27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26</v>
      </c>
      <c r="D1884" s="6" t="s">
        <v>50</v>
      </c>
      <c r="E1884" s="6">
        <v>5</v>
      </c>
      <c r="F1884" s="6">
        <v>0</v>
      </c>
      <c r="G1884" s="6" t="s">
        <v>41</v>
      </c>
      <c r="H1884" s="6" t="s">
        <v>10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12</v>
      </c>
      <c r="D1885" s="6" t="s">
        <v>17</v>
      </c>
      <c r="E1885" s="6">
        <v>2</v>
      </c>
      <c r="F1885" s="6">
        <v>6</v>
      </c>
      <c r="G1885" s="6" t="s">
        <v>27</v>
      </c>
      <c r="H1885" s="6" t="s">
        <v>14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10</v>
      </c>
      <c r="D1886" s="6" t="s">
        <v>50</v>
      </c>
      <c r="E1886" s="6">
        <v>5</v>
      </c>
      <c r="F1886" s="6">
        <v>1</v>
      </c>
      <c r="G1886" s="6" t="s">
        <v>26</v>
      </c>
      <c r="H1886" s="6" t="s">
        <v>41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12</v>
      </c>
      <c r="D1887" s="6" t="s">
        <v>27</v>
      </c>
      <c r="E1887" s="6">
        <v>7</v>
      </c>
      <c r="F1887" s="6">
        <v>4</v>
      </c>
      <c r="G1887" s="6" t="s">
        <v>17</v>
      </c>
      <c r="H1887" s="6" t="s">
        <v>14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10</v>
      </c>
      <c r="D1888" s="6" t="s">
        <v>27</v>
      </c>
      <c r="E1888" s="6">
        <v>5</v>
      </c>
      <c r="F1888" s="6">
        <v>3</v>
      </c>
      <c r="G1888" s="6" t="s">
        <v>17</v>
      </c>
      <c r="H1888" s="6" t="s">
        <v>12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41</v>
      </c>
      <c r="D1889" s="6" t="s">
        <v>11</v>
      </c>
      <c r="E1889" s="6">
        <v>7</v>
      </c>
      <c r="F1889" s="6">
        <v>3</v>
      </c>
      <c r="G1889" s="6" t="s">
        <v>50</v>
      </c>
      <c r="H1889" s="6" t="s">
        <v>14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10</v>
      </c>
      <c r="D1890" s="6" t="s">
        <v>11</v>
      </c>
      <c r="E1890" s="6">
        <v>5</v>
      </c>
      <c r="F1890" s="6">
        <v>0</v>
      </c>
      <c r="G1890" s="6" t="s">
        <v>12</v>
      </c>
      <c r="H1890" s="6" t="s">
        <v>41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41</v>
      </c>
      <c r="D1891" s="6" t="s">
        <v>26</v>
      </c>
      <c r="E1891" s="6">
        <v>5</v>
      </c>
      <c r="F1891" s="6">
        <v>3</v>
      </c>
      <c r="G1891" s="6" t="s">
        <v>50</v>
      </c>
      <c r="H1891" s="6" t="s">
        <v>12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10</v>
      </c>
      <c r="D1892" s="6" t="s">
        <v>27</v>
      </c>
      <c r="E1892" s="6">
        <v>6</v>
      </c>
      <c r="F1892" s="6">
        <v>4</v>
      </c>
      <c r="G1892" s="6" t="s">
        <v>14</v>
      </c>
      <c r="H1892" s="6" t="s">
        <v>11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12</v>
      </c>
      <c r="D1893" s="6" t="s">
        <v>26</v>
      </c>
      <c r="E1893" s="6">
        <v>4</v>
      </c>
      <c r="F1893" s="6">
        <v>5</v>
      </c>
      <c r="G1893" s="6" t="s">
        <v>41</v>
      </c>
      <c r="H1893" s="6" t="s">
        <v>54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14</v>
      </c>
      <c r="D1894" s="6" t="s">
        <v>27</v>
      </c>
      <c r="E1894" s="6">
        <v>5</v>
      </c>
      <c r="F1894" s="6">
        <v>4</v>
      </c>
      <c r="G1894" s="6" t="s">
        <v>50</v>
      </c>
      <c r="H1894" s="6" t="s">
        <v>10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27</v>
      </c>
      <c r="D1895" s="6" t="s">
        <v>50</v>
      </c>
      <c r="E1895" s="6">
        <v>5</v>
      </c>
      <c r="F1895" s="6">
        <v>4</v>
      </c>
      <c r="G1895" s="6" t="s">
        <v>14</v>
      </c>
      <c r="H1895" s="6" t="s">
        <v>10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26</v>
      </c>
      <c r="D1896" s="6" t="s">
        <v>54</v>
      </c>
      <c r="E1896" s="6">
        <v>6</v>
      </c>
      <c r="F1896" s="6">
        <v>4</v>
      </c>
      <c r="G1896" s="6" t="s">
        <v>12</v>
      </c>
      <c r="H1896" s="6" t="s">
        <v>41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12</v>
      </c>
      <c r="D1897" s="6" t="s">
        <v>54</v>
      </c>
      <c r="E1897" s="6">
        <v>3</v>
      </c>
      <c r="F1897" s="6">
        <v>5</v>
      </c>
      <c r="G1897" s="6" t="s">
        <v>41</v>
      </c>
      <c r="H1897" s="6" t="s">
        <v>26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10</v>
      </c>
      <c r="D1898" s="6" t="s">
        <v>27</v>
      </c>
      <c r="E1898" s="6">
        <v>5</v>
      </c>
      <c r="F1898" s="6">
        <v>4</v>
      </c>
      <c r="G1898" s="6" t="s">
        <v>14</v>
      </c>
      <c r="H1898" s="6" t="s">
        <v>50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26</v>
      </c>
      <c r="D1899" s="6" t="s">
        <v>12</v>
      </c>
      <c r="E1899" s="6">
        <v>5</v>
      </c>
      <c r="F1899" s="6">
        <v>0</v>
      </c>
      <c r="G1899" s="6" t="s">
        <v>41</v>
      </c>
      <c r="H1899" s="6" t="s">
        <v>54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10</v>
      </c>
      <c r="D1900" s="6" t="s">
        <v>50</v>
      </c>
      <c r="E1900" s="6">
        <v>5</v>
      </c>
      <c r="F1900" s="6">
        <v>1</v>
      </c>
      <c r="G1900" s="6" t="s">
        <v>14</v>
      </c>
      <c r="H1900" s="6" t="s">
        <v>27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26</v>
      </c>
      <c r="D1901" s="6" t="s">
        <v>54</v>
      </c>
      <c r="E1901" s="6">
        <v>6</v>
      </c>
      <c r="F1901" s="6">
        <v>3</v>
      </c>
      <c r="G1901" s="6" t="s">
        <v>12</v>
      </c>
      <c r="H1901" s="6" t="s">
        <v>41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10</v>
      </c>
      <c r="D1902" s="6" t="s">
        <v>14</v>
      </c>
      <c r="E1902" s="6">
        <v>5</v>
      </c>
      <c r="F1902" s="6">
        <v>1</v>
      </c>
      <c r="G1902" s="6" t="s">
        <v>27</v>
      </c>
      <c r="H1902" s="6" t="s">
        <v>50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26</v>
      </c>
      <c r="D1903" s="6" t="s">
        <v>41</v>
      </c>
      <c r="E1903" s="6">
        <v>5</v>
      </c>
      <c r="F1903" s="6">
        <v>3</v>
      </c>
      <c r="G1903" s="6" t="s">
        <v>12</v>
      </c>
      <c r="H1903" s="6" t="s">
        <v>54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26</v>
      </c>
      <c r="D1904" s="6" t="s">
        <v>12</v>
      </c>
      <c r="E1904" s="6">
        <v>5</v>
      </c>
      <c r="F1904" s="6">
        <v>3</v>
      </c>
      <c r="G1904" s="6" t="s">
        <v>41</v>
      </c>
      <c r="H1904" s="6" t="s">
        <v>10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41</v>
      </c>
      <c r="D1905" s="6" t="s">
        <v>17</v>
      </c>
      <c r="E1905" s="6">
        <v>6</v>
      </c>
      <c r="F1905" s="6">
        <v>3</v>
      </c>
      <c r="G1905" s="6" t="s">
        <v>12</v>
      </c>
      <c r="H1905" s="6" t="s">
        <v>27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41</v>
      </c>
      <c r="D1906" s="6" t="s">
        <v>14</v>
      </c>
      <c r="E1906" s="6">
        <v>1</v>
      </c>
      <c r="F1906" s="6">
        <v>5</v>
      </c>
      <c r="G1906" s="6" t="s">
        <v>17</v>
      </c>
      <c r="H1906" s="6" t="s">
        <v>11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54</v>
      </c>
      <c r="D1907" s="6" t="s">
        <v>17</v>
      </c>
      <c r="E1907" s="6">
        <v>5</v>
      </c>
      <c r="F1907" s="6">
        <v>1</v>
      </c>
      <c r="G1907" s="6" t="s">
        <v>27</v>
      </c>
      <c r="H1907" s="6" t="s">
        <v>11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12</v>
      </c>
      <c r="D1908" s="6" t="s">
        <v>14</v>
      </c>
      <c r="E1908" s="6">
        <v>5</v>
      </c>
      <c r="F1908" s="6">
        <v>4</v>
      </c>
      <c r="G1908" s="6" t="s">
        <v>41</v>
      </c>
      <c r="H1908" s="6" t="s">
        <v>26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12</v>
      </c>
      <c r="D1909" s="6" t="s">
        <v>17</v>
      </c>
      <c r="E1909" s="6">
        <v>7</v>
      </c>
      <c r="F1909" s="6">
        <v>3</v>
      </c>
      <c r="G1909" s="6" t="s">
        <v>14</v>
      </c>
      <c r="H1909" s="6" t="s">
        <v>54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41</v>
      </c>
      <c r="D1910" s="6" t="s">
        <v>12</v>
      </c>
      <c r="E1910" s="6">
        <v>5</v>
      </c>
      <c r="F1910" s="6">
        <v>0</v>
      </c>
      <c r="G1910" s="6" t="s">
        <v>26</v>
      </c>
      <c r="H1910" s="6" t="s">
        <v>17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12</v>
      </c>
      <c r="D1911" s="6" t="s">
        <v>54</v>
      </c>
      <c r="E1911" s="6">
        <v>3</v>
      </c>
      <c r="F1911" s="6">
        <v>5</v>
      </c>
      <c r="G1911" s="6" t="s">
        <v>41</v>
      </c>
      <c r="H1911" s="6" t="s">
        <v>14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41</v>
      </c>
      <c r="D1912" s="6" t="s">
        <v>12</v>
      </c>
      <c r="E1912" s="6">
        <v>5</v>
      </c>
      <c r="F1912" s="6">
        <v>3</v>
      </c>
      <c r="G1912" s="6" t="s">
        <v>14</v>
      </c>
      <c r="H1912" s="6" t="s">
        <v>26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14</v>
      </c>
      <c r="D1913" s="6" t="s">
        <v>17</v>
      </c>
      <c r="E1913" s="6">
        <v>6</v>
      </c>
      <c r="F1913" s="6">
        <v>0</v>
      </c>
      <c r="G1913" s="6" t="s">
        <v>54</v>
      </c>
      <c r="H1913" s="6" t="s">
        <v>12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10</v>
      </c>
      <c r="D1914" s="6" t="s">
        <v>14</v>
      </c>
      <c r="E1914" s="6">
        <v>5</v>
      </c>
      <c r="F1914" s="6">
        <v>1</v>
      </c>
      <c r="G1914" s="6" t="s">
        <v>17</v>
      </c>
      <c r="H1914" s="6" t="s">
        <v>12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12</v>
      </c>
      <c r="D1915" s="6" t="s">
        <v>11</v>
      </c>
      <c r="E1915" s="6">
        <v>1</v>
      </c>
      <c r="F1915" s="6">
        <v>5</v>
      </c>
      <c r="G1915" s="6" t="s">
        <v>10</v>
      </c>
      <c r="H1915" s="6" t="s">
        <v>17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14</v>
      </c>
      <c r="D1916" s="6" t="s">
        <v>17</v>
      </c>
      <c r="E1916" s="6">
        <v>6</v>
      </c>
      <c r="F1916" s="6">
        <v>3</v>
      </c>
      <c r="G1916" s="6" t="s">
        <v>10</v>
      </c>
      <c r="H1916" s="6" t="s">
        <v>41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17</v>
      </c>
      <c r="D1917" s="6" t="s">
        <v>12</v>
      </c>
      <c r="E1917" s="6">
        <v>5</v>
      </c>
      <c r="F1917" s="6">
        <v>1</v>
      </c>
      <c r="G1917" s="6" t="s">
        <v>14</v>
      </c>
      <c r="H1917" s="6" t="s">
        <v>11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12</v>
      </c>
      <c r="D1918" s="6" t="s">
        <v>10</v>
      </c>
      <c r="E1918" s="6">
        <v>1</v>
      </c>
      <c r="F1918" s="6">
        <v>5</v>
      </c>
      <c r="G1918" s="6" t="s">
        <v>17</v>
      </c>
      <c r="H1918" s="6" t="s">
        <v>41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14</v>
      </c>
      <c r="D1919" s="6" t="s">
        <v>41</v>
      </c>
      <c r="E1919" s="6">
        <v>1</v>
      </c>
      <c r="F1919" s="6">
        <v>5</v>
      </c>
      <c r="G1919" s="6" t="s">
        <v>17</v>
      </c>
      <c r="H1919" s="6" t="s">
        <v>11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12</v>
      </c>
      <c r="D1920" s="6" t="s">
        <v>17</v>
      </c>
      <c r="E1920" s="6">
        <v>1</v>
      </c>
      <c r="F1920" s="6">
        <v>5</v>
      </c>
      <c r="G1920" s="6" t="s">
        <v>10</v>
      </c>
      <c r="H1920" s="6" t="s">
        <v>11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27</v>
      </c>
      <c r="D1921" s="6" t="s">
        <v>14</v>
      </c>
      <c r="E1921" s="6">
        <v>5</v>
      </c>
      <c r="F1921" s="6">
        <v>2</v>
      </c>
      <c r="G1921" s="6" t="s">
        <v>10</v>
      </c>
      <c r="H1921" s="6" t="s">
        <v>12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12</v>
      </c>
      <c r="D1922" s="6" t="s">
        <v>14</v>
      </c>
      <c r="E1922" s="6">
        <v>5</v>
      </c>
      <c r="F1922" s="6">
        <v>3</v>
      </c>
      <c r="G1922" s="6" t="s">
        <v>10</v>
      </c>
      <c r="H1922" s="6" t="s">
        <v>27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10</v>
      </c>
      <c r="D1923" s="6" t="s">
        <v>14</v>
      </c>
      <c r="E1923" s="6">
        <v>5</v>
      </c>
      <c r="F1923" s="6">
        <v>2</v>
      </c>
      <c r="G1923" s="6" t="s">
        <v>12</v>
      </c>
      <c r="H1923" s="6" t="s">
        <v>27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9</v>
      </c>
      <c r="D1924" s="6" t="s">
        <v>14</v>
      </c>
      <c r="E1924" s="6">
        <v>5</v>
      </c>
      <c r="F1924" s="6">
        <v>2</v>
      </c>
      <c r="G1924" s="6" t="s">
        <v>41</v>
      </c>
      <c r="H1924" s="6" t="s">
        <v>10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9</v>
      </c>
      <c r="D1925" s="6" t="s">
        <v>12</v>
      </c>
      <c r="E1925" s="6">
        <v>3</v>
      </c>
      <c r="F1925" s="6">
        <v>5</v>
      </c>
      <c r="G1925" s="6" t="s">
        <v>14</v>
      </c>
      <c r="H1925" s="6" t="s">
        <v>41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14</v>
      </c>
      <c r="D1926" s="6" t="s">
        <v>10</v>
      </c>
      <c r="E1926" s="6">
        <v>5</v>
      </c>
      <c r="F1926" s="6">
        <v>0</v>
      </c>
      <c r="G1926" s="6" t="s">
        <v>41</v>
      </c>
      <c r="H1926" s="6" t="s">
        <v>12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9</v>
      </c>
      <c r="D1927" s="6" t="s">
        <v>10</v>
      </c>
      <c r="E1927" s="6">
        <v>3</v>
      </c>
      <c r="F1927" s="6">
        <v>5</v>
      </c>
      <c r="G1927" s="6" t="s">
        <v>14</v>
      </c>
      <c r="H1927" s="6" t="s">
        <v>27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14</v>
      </c>
      <c r="D1928" s="6" t="s">
        <v>12</v>
      </c>
      <c r="E1928" s="6">
        <v>5</v>
      </c>
      <c r="F1928" s="6">
        <v>0</v>
      </c>
      <c r="G1928" s="6" t="s">
        <v>41</v>
      </c>
      <c r="H1928" s="6" t="s">
        <v>27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54</v>
      </c>
      <c r="D1929" s="6" t="s">
        <v>14</v>
      </c>
      <c r="E1929" s="6">
        <v>3</v>
      </c>
      <c r="F1929" s="6">
        <v>5</v>
      </c>
      <c r="G1929" s="6" t="s">
        <v>12</v>
      </c>
      <c r="H1929" s="6" t="s">
        <v>10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9</v>
      </c>
      <c r="D1930" s="6" t="s">
        <v>12</v>
      </c>
      <c r="E1930" s="6">
        <v>5</v>
      </c>
      <c r="F1930" s="6">
        <v>1</v>
      </c>
      <c r="G1930" s="6" t="s">
        <v>41</v>
      </c>
      <c r="H1930" s="6" t="s">
        <v>10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9</v>
      </c>
      <c r="D1931" s="6" t="s">
        <v>14</v>
      </c>
      <c r="E1931" s="6">
        <v>0</v>
      </c>
      <c r="F1931" s="6">
        <v>5</v>
      </c>
      <c r="G1931" s="6" t="s">
        <v>12</v>
      </c>
      <c r="H1931" s="6" t="s">
        <v>54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12</v>
      </c>
      <c r="D1932" s="6" t="s">
        <v>41</v>
      </c>
      <c r="E1932" s="6">
        <v>4</v>
      </c>
      <c r="F1932" s="6">
        <v>6</v>
      </c>
      <c r="G1932" s="6" t="s">
        <v>10</v>
      </c>
      <c r="H1932" s="6" t="s">
        <v>54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10</v>
      </c>
      <c r="D1933" s="6" t="s">
        <v>14</v>
      </c>
      <c r="E1933" s="6">
        <v>6</v>
      </c>
      <c r="F1933" s="6">
        <v>3</v>
      </c>
      <c r="G1933" s="6" t="s">
        <v>26</v>
      </c>
      <c r="H1933" s="6" t="s">
        <v>54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12</v>
      </c>
      <c r="D1934" s="6" t="s">
        <v>10</v>
      </c>
      <c r="E1934" s="6">
        <v>4</v>
      </c>
      <c r="F1934" s="6">
        <v>8</v>
      </c>
      <c r="G1934" s="6" t="s">
        <v>14</v>
      </c>
      <c r="H1934" s="6" t="s">
        <v>26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14</v>
      </c>
      <c r="D1935" s="6" t="s">
        <v>54</v>
      </c>
      <c r="E1935" s="6">
        <v>5</v>
      </c>
      <c r="F1935" s="6">
        <v>4</v>
      </c>
      <c r="G1935" s="6" t="s">
        <v>17</v>
      </c>
      <c r="H1935" s="6" t="s">
        <v>26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10</v>
      </c>
      <c r="D1936" s="6" t="s">
        <v>17</v>
      </c>
      <c r="E1936" s="6">
        <v>5</v>
      </c>
      <c r="F1936" s="6">
        <v>2</v>
      </c>
      <c r="G1936" s="6" t="s">
        <v>14</v>
      </c>
      <c r="H1936" s="6" t="s">
        <v>12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10</v>
      </c>
      <c r="D1937" s="6" t="s">
        <v>14</v>
      </c>
      <c r="E1937" s="6">
        <v>0</v>
      </c>
      <c r="F1937" s="6">
        <v>5</v>
      </c>
      <c r="G1937" s="6" t="s">
        <v>12</v>
      </c>
      <c r="H1937" s="6" t="s">
        <v>17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14</v>
      </c>
      <c r="D1938" s="6" t="s">
        <v>10</v>
      </c>
      <c r="E1938" s="6">
        <v>3</v>
      </c>
      <c r="F1938" s="6">
        <v>5</v>
      </c>
      <c r="G1938" s="6" t="s">
        <v>12</v>
      </c>
      <c r="H1938" s="6" t="s">
        <v>17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10</v>
      </c>
      <c r="D1939" s="6" t="s">
        <v>17</v>
      </c>
      <c r="E1939" s="6">
        <v>2</v>
      </c>
      <c r="F1939" s="6">
        <v>5</v>
      </c>
      <c r="G1939" s="6" t="s">
        <v>11</v>
      </c>
      <c r="H1939" s="6" t="s">
        <v>12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11</v>
      </c>
      <c r="D1940" s="6" t="s">
        <v>26</v>
      </c>
      <c r="E1940" s="6">
        <v>3</v>
      </c>
      <c r="F1940" s="6">
        <v>5</v>
      </c>
      <c r="G1940" s="6" t="s">
        <v>14</v>
      </c>
      <c r="H1940" s="6" t="s">
        <v>12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10</v>
      </c>
      <c r="D1941" s="6" t="s">
        <v>12</v>
      </c>
      <c r="E1941" s="6">
        <v>1</v>
      </c>
      <c r="F1941" s="6">
        <v>5</v>
      </c>
      <c r="G1941" s="6" t="s">
        <v>14</v>
      </c>
      <c r="H1941" s="6" t="s">
        <v>17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26</v>
      </c>
      <c r="D1942" s="6" t="s">
        <v>14</v>
      </c>
      <c r="E1942" s="6">
        <v>3</v>
      </c>
      <c r="F1942" s="6">
        <v>5</v>
      </c>
      <c r="G1942" s="6" t="s">
        <v>27</v>
      </c>
      <c r="H1942" s="6" t="s">
        <v>17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12</v>
      </c>
      <c r="D1943" s="6" t="s">
        <v>17</v>
      </c>
      <c r="E1943" s="6">
        <v>2</v>
      </c>
      <c r="F1943" s="6">
        <v>5</v>
      </c>
      <c r="G1943" s="6" t="s">
        <v>10</v>
      </c>
      <c r="H1943" s="6" t="s">
        <v>27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26</v>
      </c>
      <c r="D1944" s="6" t="s">
        <v>10</v>
      </c>
      <c r="E1944" s="6">
        <v>3</v>
      </c>
      <c r="F1944" s="6">
        <v>5</v>
      </c>
      <c r="G1944" s="6" t="s">
        <v>14</v>
      </c>
      <c r="H1944" s="6" t="s">
        <v>27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27</v>
      </c>
      <c r="D1945" s="6" t="s">
        <v>12</v>
      </c>
      <c r="E1945" s="6">
        <v>5</v>
      </c>
      <c r="F1945" s="6">
        <v>2</v>
      </c>
      <c r="G1945" s="6" t="s">
        <v>17</v>
      </c>
      <c r="H1945" s="6" t="s">
        <v>14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27</v>
      </c>
      <c r="D1946" s="6" t="s">
        <v>17</v>
      </c>
      <c r="E1946" s="6">
        <v>6</v>
      </c>
      <c r="F1946" s="6">
        <v>0</v>
      </c>
      <c r="G1946" s="6" t="s">
        <v>10</v>
      </c>
      <c r="H1946" s="6" t="s">
        <v>12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10</v>
      </c>
      <c r="D1947" s="6" t="s">
        <v>17</v>
      </c>
      <c r="E1947" s="6">
        <v>3</v>
      </c>
      <c r="F1947" s="6">
        <v>8</v>
      </c>
      <c r="G1947" s="6" t="s">
        <v>41</v>
      </c>
      <c r="H1947" s="6" t="s">
        <v>27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12</v>
      </c>
      <c r="D1948" s="6" t="s">
        <v>17</v>
      </c>
      <c r="E1948" s="6">
        <v>6</v>
      </c>
      <c r="F1948" s="6">
        <v>0</v>
      </c>
      <c r="G1948" s="6" t="s">
        <v>41</v>
      </c>
      <c r="H1948" s="6" t="s">
        <v>10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10</v>
      </c>
      <c r="D1949" s="6" t="s">
        <v>12</v>
      </c>
      <c r="E1949" s="6">
        <v>5</v>
      </c>
      <c r="F1949" s="6">
        <v>2</v>
      </c>
      <c r="G1949" s="6" t="s">
        <v>41</v>
      </c>
      <c r="H1949" s="6" t="s">
        <v>17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10</v>
      </c>
      <c r="D1950" s="6" t="s">
        <v>17</v>
      </c>
      <c r="E1950" s="6">
        <v>4</v>
      </c>
      <c r="F1950" s="6">
        <v>6</v>
      </c>
      <c r="G1950" s="6" t="s">
        <v>12</v>
      </c>
      <c r="H1950" s="6" t="s">
        <v>41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41</v>
      </c>
      <c r="D1951" s="6" t="s">
        <v>9</v>
      </c>
      <c r="E1951" s="6">
        <v>3</v>
      </c>
      <c r="F1951" s="6">
        <v>5</v>
      </c>
      <c r="G1951" s="6" t="s">
        <v>12</v>
      </c>
      <c r="H1951" s="6" t="s">
        <v>14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14</v>
      </c>
      <c r="D1952" s="6" t="s">
        <v>10</v>
      </c>
      <c r="E1952" s="6">
        <v>6</v>
      </c>
      <c r="F1952" s="6">
        <v>3</v>
      </c>
      <c r="G1952" s="6" t="s">
        <v>12</v>
      </c>
      <c r="H1952" s="6" t="s">
        <v>9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11</v>
      </c>
      <c r="D1953" s="6" t="s">
        <v>14</v>
      </c>
      <c r="E1953" s="6">
        <v>1</v>
      </c>
      <c r="F1953" s="6">
        <v>5</v>
      </c>
      <c r="G1953" s="6" t="s">
        <v>10</v>
      </c>
      <c r="H1953" s="6" t="s">
        <v>17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10</v>
      </c>
      <c r="D1954" s="6" t="s">
        <v>41</v>
      </c>
      <c r="E1954" s="6">
        <v>1</v>
      </c>
      <c r="F1954" s="6">
        <v>6</v>
      </c>
      <c r="G1954" s="6" t="s">
        <v>17</v>
      </c>
      <c r="H1954" s="6" t="s">
        <v>9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17</v>
      </c>
      <c r="D1955" s="6" t="s">
        <v>12</v>
      </c>
      <c r="E1955" s="6">
        <v>6</v>
      </c>
      <c r="F1955" s="6">
        <v>3</v>
      </c>
      <c r="G1955" s="6" t="s">
        <v>9</v>
      </c>
      <c r="H1955" s="6" t="s">
        <v>14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12</v>
      </c>
      <c r="D1956" s="6" t="s">
        <v>10</v>
      </c>
      <c r="E1956" s="6">
        <v>5</v>
      </c>
      <c r="F1956" s="6">
        <v>3</v>
      </c>
      <c r="G1956" s="6" t="s">
        <v>11</v>
      </c>
      <c r="H1956" s="6" t="s">
        <v>17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9</v>
      </c>
      <c r="D1957" s="6" t="s">
        <v>26</v>
      </c>
      <c r="E1957" s="6">
        <v>2</v>
      </c>
      <c r="F1957" s="6">
        <v>5</v>
      </c>
      <c r="G1957" s="6" t="s">
        <v>14</v>
      </c>
      <c r="H1957" s="6" t="s">
        <v>41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9</v>
      </c>
      <c r="D1958" s="6" t="s">
        <v>41</v>
      </c>
      <c r="E1958" s="6">
        <v>2</v>
      </c>
      <c r="F1958" s="6">
        <v>5</v>
      </c>
      <c r="G1958" s="6" t="s">
        <v>26</v>
      </c>
      <c r="H1958" s="6" t="s">
        <v>10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9</v>
      </c>
      <c r="D1959" s="6" t="s">
        <v>14</v>
      </c>
      <c r="E1959" s="6">
        <v>5</v>
      </c>
      <c r="F1959" s="6">
        <v>4</v>
      </c>
      <c r="G1959" s="6" t="s">
        <v>26</v>
      </c>
      <c r="H1959" s="6" t="s">
        <v>17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12</v>
      </c>
      <c r="D1960" s="6" t="s">
        <v>11</v>
      </c>
      <c r="E1960" s="6">
        <v>5</v>
      </c>
      <c r="F1960" s="6">
        <v>2</v>
      </c>
      <c r="G1960" s="6" t="s">
        <v>10</v>
      </c>
      <c r="H1960" s="6" t="s">
        <v>27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41</v>
      </c>
      <c r="D1961" s="6" t="s">
        <v>26</v>
      </c>
      <c r="E1961" s="6">
        <v>5</v>
      </c>
      <c r="F1961" s="6">
        <v>0</v>
      </c>
      <c r="G1961" s="6" t="s">
        <v>14</v>
      </c>
      <c r="H1961" s="6" t="s">
        <v>17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10</v>
      </c>
      <c r="D1962" s="6" t="s">
        <v>26</v>
      </c>
      <c r="E1962" s="6">
        <v>2</v>
      </c>
      <c r="F1962" s="6">
        <v>6</v>
      </c>
      <c r="G1962" s="6" t="s">
        <v>12</v>
      </c>
      <c r="H1962" s="6" t="s">
        <v>41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12</v>
      </c>
      <c r="D1963" s="6" t="s">
        <v>17</v>
      </c>
      <c r="E1963" s="6">
        <v>0</v>
      </c>
      <c r="F1963" s="6">
        <v>6</v>
      </c>
      <c r="G1963" s="6" t="s">
        <v>41</v>
      </c>
      <c r="H1963" s="6" t="s">
        <v>27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10</v>
      </c>
      <c r="D1964" s="6" t="s">
        <v>41</v>
      </c>
      <c r="E1964" s="6">
        <v>3</v>
      </c>
      <c r="F1964" s="6">
        <v>5</v>
      </c>
      <c r="G1964" s="6" t="s">
        <v>14</v>
      </c>
      <c r="H1964" s="6" t="s">
        <v>27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27</v>
      </c>
      <c r="D1965" s="6" t="s">
        <v>17</v>
      </c>
      <c r="E1965" s="6">
        <v>5</v>
      </c>
      <c r="F1965" s="6">
        <v>0</v>
      </c>
      <c r="G1965" s="6" t="s">
        <v>12</v>
      </c>
      <c r="H1965" s="6" t="s">
        <v>14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27</v>
      </c>
      <c r="D1966" s="6" t="s">
        <v>12</v>
      </c>
      <c r="E1966" s="6">
        <v>5</v>
      </c>
      <c r="F1966" s="6">
        <v>3</v>
      </c>
      <c r="G1966" s="6" t="s">
        <v>10</v>
      </c>
      <c r="H1966" s="6" t="s">
        <v>17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41</v>
      </c>
      <c r="D1967" s="6" t="s">
        <v>14</v>
      </c>
      <c r="E1967" s="6">
        <v>5</v>
      </c>
      <c r="F1967" s="6">
        <v>4</v>
      </c>
      <c r="G1967" s="6" t="s">
        <v>10</v>
      </c>
      <c r="H1967" s="6" t="s">
        <v>17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41</v>
      </c>
      <c r="D1968" s="6" t="s">
        <v>12</v>
      </c>
      <c r="E1968" s="6">
        <v>4</v>
      </c>
      <c r="F1968" s="6">
        <v>5</v>
      </c>
      <c r="G1968" s="6" t="s">
        <v>14</v>
      </c>
      <c r="H1968" s="6" t="s">
        <v>9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14</v>
      </c>
      <c r="D1969" s="6" t="s">
        <v>17</v>
      </c>
      <c r="E1969" s="6">
        <v>5</v>
      </c>
      <c r="F1969" s="6">
        <v>2</v>
      </c>
      <c r="G1969" s="6" t="s">
        <v>9</v>
      </c>
      <c r="H1969" s="6" t="s">
        <v>11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14</v>
      </c>
      <c r="D1970" s="6" t="s">
        <v>10</v>
      </c>
      <c r="E1970" s="6">
        <v>3</v>
      </c>
      <c r="F1970" s="6">
        <v>6</v>
      </c>
      <c r="G1970" s="6" t="s">
        <v>26</v>
      </c>
      <c r="H1970" s="6" t="s">
        <v>17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12</v>
      </c>
      <c r="D1971" s="6" t="s">
        <v>26</v>
      </c>
      <c r="E1971" s="6">
        <v>5</v>
      </c>
      <c r="F1971" s="6">
        <v>4</v>
      </c>
      <c r="G1971" s="6" t="s">
        <v>27</v>
      </c>
      <c r="H1971" s="6" t="s">
        <v>17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26</v>
      </c>
      <c r="D1972" s="6" t="s">
        <v>41</v>
      </c>
      <c r="E1972" s="6">
        <v>5</v>
      </c>
      <c r="F1972" s="6">
        <v>1</v>
      </c>
      <c r="G1972" s="6" t="s">
        <v>12</v>
      </c>
      <c r="H1972" s="6" t="s">
        <v>11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9</v>
      </c>
      <c r="D1973" s="6" t="s">
        <v>26</v>
      </c>
      <c r="E1973" s="6">
        <v>2</v>
      </c>
      <c r="F1973" s="6">
        <v>5</v>
      </c>
      <c r="G1973" s="6" t="s">
        <v>10</v>
      </c>
      <c r="H1973" s="6" t="s">
        <v>41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10</v>
      </c>
      <c r="D1974" s="6" t="s">
        <v>14</v>
      </c>
      <c r="E1974" s="6">
        <v>2</v>
      </c>
      <c r="F1974" s="6">
        <v>5</v>
      </c>
      <c r="G1974" s="6" t="s">
        <v>41</v>
      </c>
      <c r="H1974" s="6" t="s">
        <v>17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17</v>
      </c>
      <c r="D1975" s="6" t="s">
        <v>12</v>
      </c>
      <c r="E1975" s="6">
        <v>5</v>
      </c>
      <c r="F1975" s="6">
        <v>1</v>
      </c>
      <c r="G1975" s="6" t="s">
        <v>14</v>
      </c>
      <c r="H1975" s="6" t="s">
        <v>41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10</v>
      </c>
      <c r="D1976" s="6" t="s">
        <v>17</v>
      </c>
      <c r="E1976" s="6">
        <v>5</v>
      </c>
      <c r="F1976" s="6">
        <v>0</v>
      </c>
      <c r="G1976" s="6" t="s">
        <v>27</v>
      </c>
      <c r="H1976" s="6" t="s">
        <v>12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12</v>
      </c>
      <c r="D1977" s="6" t="s">
        <v>17</v>
      </c>
      <c r="E1977" s="6">
        <v>8</v>
      </c>
      <c r="F1977" s="6">
        <v>0</v>
      </c>
      <c r="G1977" s="6" t="s">
        <v>41</v>
      </c>
      <c r="H1977" s="6" t="s">
        <v>10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12</v>
      </c>
      <c r="D1978" s="6" t="s">
        <v>41</v>
      </c>
      <c r="E1978" s="6">
        <v>5</v>
      </c>
      <c r="F1978" s="6">
        <v>1</v>
      </c>
      <c r="G1978" s="6" t="s">
        <v>17</v>
      </c>
      <c r="H1978" s="6" t="s">
        <v>27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12</v>
      </c>
      <c r="D1979" s="6" t="s">
        <v>10</v>
      </c>
      <c r="E1979" s="6">
        <v>1</v>
      </c>
      <c r="F1979" s="6">
        <v>5</v>
      </c>
      <c r="G1979" s="6" t="s">
        <v>41</v>
      </c>
      <c r="H1979" s="6" t="s">
        <v>27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17</v>
      </c>
      <c r="D1980" s="6" t="s">
        <v>41</v>
      </c>
      <c r="E1980" s="6">
        <v>5</v>
      </c>
      <c r="F1980" s="6">
        <v>3</v>
      </c>
      <c r="G1980" s="6" t="s">
        <v>27</v>
      </c>
      <c r="H1980" s="6" t="s">
        <v>12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12</v>
      </c>
      <c r="D1981" s="6" t="s">
        <v>17</v>
      </c>
      <c r="E1981" s="6">
        <v>5</v>
      </c>
      <c r="F1981" s="6">
        <v>3</v>
      </c>
      <c r="G1981" s="6" t="s">
        <v>10</v>
      </c>
      <c r="H1981" s="6" t="s">
        <v>41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27</v>
      </c>
      <c r="D1982" s="6" t="s">
        <v>41</v>
      </c>
      <c r="E1982" s="6">
        <v>5</v>
      </c>
      <c r="F1982" s="6">
        <v>3</v>
      </c>
      <c r="G1982" s="6" t="s">
        <v>14</v>
      </c>
      <c r="H1982" s="6" t="s">
        <v>17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27</v>
      </c>
      <c r="D1983" s="6" t="s">
        <v>10</v>
      </c>
      <c r="E1983" s="6">
        <v>2</v>
      </c>
      <c r="F1983" s="6">
        <v>5</v>
      </c>
      <c r="G1983" s="6" t="s">
        <v>41</v>
      </c>
      <c r="H1983" s="6" t="s">
        <v>17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14</v>
      </c>
      <c r="D1984" s="6" t="s">
        <v>41</v>
      </c>
      <c r="E1984" s="6">
        <v>5</v>
      </c>
      <c r="F1984" s="6">
        <v>4</v>
      </c>
      <c r="G1984" s="6" t="s">
        <v>17</v>
      </c>
      <c r="H1984" s="6" t="s">
        <v>11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12</v>
      </c>
      <c r="D1985" s="6" t="s">
        <v>41</v>
      </c>
      <c r="E1985" s="6">
        <v>1</v>
      </c>
      <c r="F1985" s="6">
        <v>6</v>
      </c>
      <c r="G1985" s="6" t="s">
        <v>17</v>
      </c>
      <c r="H1985" s="6" t="s">
        <v>14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10</v>
      </c>
      <c r="D1986" s="6" t="s">
        <v>41</v>
      </c>
      <c r="E1986" s="6">
        <v>3</v>
      </c>
      <c r="F1986" s="6">
        <v>5</v>
      </c>
      <c r="G1986" s="6" t="s">
        <v>12</v>
      </c>
      <c r="H1986" s="6" t="s">
        <v>14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10</v>
      </c>
      <c r="D1987" s="6" t="s">
        <v>14</v>
      </c>
      <c r="E1987" s="6">
        <v>4</v>
      </c>
      <c r="F1987" s="6">
        <v>5</v>
      </c>
      <c r="G1987" s="6" t="s">
        <v>17</v>
      </c>
      <c r="H1987" s="6" t="s">
        <v>41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12</v>
      </c>
      <c r="D1988" s="6" t="s">
        <v>17</v>
      </c>
      <c r="E1988" s="6">
        <v>0</v>
      </c>
      <c r="F1988" s="6">
        <v>5</v>
      </c>
      <c r="G1988" s="6" t="s">
        <v>14</v>
      </c>
      <c r="H1988" s="6" t="s">
        <v>41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10</v>
      </c>
      <c r="D1989" s="6" t="s">
        <v>41</v>
      </c>
      <c r="E1989" s="6">
        <v>5</v>
      </c>
      <c r="F1989" s="6">
        <v>2</v>
      </c>
      <c r="G1989" s="6" t="s">
        <v>14</v>
      </c>
      <c r="H1989" s="6" t="s">
        <v>12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26</v>
      </c>
      <c r="D1990" s="6" t="s">
        <v>41</v>
      </c>
      <c r="E1990" s="6">
        <v>3</v>
      </c>
      <c r="F1990" s="6">
        <v>7</v>
      </c>
      <c r="G1990" s="6" t="s">
        <v>17</v>
      </c>
      <c r="H1990" s="6" t="s">
        <v>10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10</v>
      </c>
      <c r="D1991" s="6" t="s">
        <v>12</v>
      </c>
      <c r="E1991" s="6">
        <v>5</v>
      </c>
      <c r="F1991" s="6">
        <v>4</v>
      </c>
      <c r="G1991" s="6" t="s">
        <v>14</v>
      </c>
      <c r="H1991" s="6" t="s">
        <v>17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26</v>
      </c>
      <c r="D1992" s="6" t="s">
        <v>14</v>
      </c>
      <c r="E1992" s="6">
        <v>6</v>
      </c>
      <c r="F1992" s="6">
        <v>0</v>
      </c>
      <c r="G1992" s="6" t="s">
        <v>17</v>
      </c>
      <c r="H1992" s="6" t="s">
        <v>41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12</v>
      </c>
      <c r="D1993" s="6" t="s">
        <v>14</v>
      </c>
      <c r="E1993" s="6">
        <v>2</v>
      </c>
      <c r="F1993" s="6">
        <v>5</v>
      </c>
      <c r="G1993" s="6" t="s">
        <v>10</v>
      </c>
      <c r="H1993" s="6" t="s">
        <v>26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12</v>
      </c>
      <c r="D1994" s="6" t="s">
        <v>26</v>
      </c>
      <c r="E1994" s="6">
        <v>6</v>
      </c>
      <c r="F1994" s="6">
        <v>1</v>
      </c>
      <c r="G1994" s="6" t="s">
        <v>10</v>
      </c>
      <c r="H1994" s="6" t="s">
        <v>14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12</v>
      </c>
      <c r="D1995" s="6" t="s">
        <v>10</v>
      </c>
      <c r="E1995" s="6">
        <v>1</v>
      </c>
      <c r="F1995" s="6">
        <v>6</v>
      </c>
      <c r="G1995" s="6" t="s">
        <v>26</v>
      </c>
      <c r="H1995" s="6" t="s">
        <v>14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10</v>
      </c>
      <c r="D1996" s="6" t="s">
        <v>41</v>
      </c>
      <c r="E1996" s="6">
        <v>5</v>
      </c>
      <c r="F1996" s="6">
        <v>2</v>
      </c>
      <c r="G1996" s="6" t="s">
        <v>9</v>
      </c>
      <c r="H1996" s="6" t="s">
        <v>14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10</v>
      </c>
      <c r="D1997" s="6" t="s">
        <v>17</v>
      </c>
      <c r="E1997" s="6">
        <v>5</v>
      </c>
      <c r="F1997" s="6">
        <v>4</v>
      </c>
      <c r="G1997" s="6" t="s">
        <v>11</v>
      </c>
      <c r="H1997" s="6" t="s">
        <v>41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10</v>
      </c>
      <c r="D1998" s="6" t="s">
        <v>12</v>
      </c>
      <c r="E1998" s="6">
        <v>4</v>
      </c>
      <c r="F1998" s="6">
        <v>5</v>
      </c>
      <c r="G1998" s="6" t="s">
        <v>14</v>
      </c>
      <c r="H1998" s="6" t="s">
        <v>17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9</v>
      </c>
      <c r="D1999" s="6" t="s">
        <v>17</v>
      </c>
      <c r="E1999" s="6">
        <v>2</v>
      </c>
      <c r="F1999" s="6">
        <v>5</v>
      </c>
      <c r="G1999" s="6" t="s">
        <v>41</v>
      </c>
      <c r="H1999" s="6" t="s">
        <v>14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10</v>
      </c>
      <c r="D2000" s="6" t="s">
        <v>11</v>
      </c>
      <c r="E2000" s="6">
        <v>5</v>
      </c>
      <c r="F2000" s="6">
        <v>2</v>
      </c>
      <c r="G2000" s="6" t="s">
        <v>26</v>
      </c>
      <c r="H2000" s="6" t="s">
        <v>12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41</v>
      </c>
      <c r="D2001" s="6" t="s">
        <v>17</v>
      </c>
      <c r="E2001" s="6">
        <v>5</v>
      </c>
      <c r="F2001" s="6">
        <v>2</v>
      </c>
      <c r="G2001" s="6" t="s">
        <v>9</v>
      </c>
      <c r="H2001" s="6" t="s">
        <v>14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10</v>
      </c>
      <c r="D2002" s="6" t="s">
        <v>26</v>
      </c>
      <c r="E2002" s="6">
        <v>5</v>
      </c>
      <c r="F2002" s="6">
        <v>0</v>
      </c>
      <c r="G2002" s="6" t="s">
        <v>11</v>
      </c>
      <c r="H2002" s="6" t="s">
        <v>12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9</v>
      </c>
      <c r="D2003" s="6" t="s">
        <v>41</v>
      </c>
      <c r="E2003" s="6">
        <v>8</v>
      </c>
      <c r="F2003" s="6">
        <v>2</v>
      </c>
      <c r="G2003" s="6" t="s">
        <v>14</v>
      </c>
      <c r="H2003" s="6" t="s">
        <v>17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26</v>
      </c>
      <c r="D2004" s="6" t="s">
        <v>11</v>
      </c>
      <c r="E2004" s="6">
        <v>5</v>
      </c>
      <c r="F2004" s="6">
        <v>1</v>
      </c>
      <c r="G2004" s="6" t="s">
        <v>10</v>
      </c>
      <c r="H2004" s="6" t="s">
        <v>12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41</v>
      </c>
      <c r="D2005" s="6" t="s">
        <v>26</v>
      </c>
      <c r="E2005" s="6">
        <v>5</v>
      </c>
      <c r="F2005" s="6">
        <v>3</v>
      </c>
      <c r="G2005" s="6" t="s">
        <v>12</v>
      </c>
      <c r="H2005" s="6" t="s">
        <v>14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17</v>
      </c>
      <c r="D2006" s="6" t="s">
        <v>26</v>
      </c>
      <c r="E2006" s="6">
        <v>3</v>
      </c>
      <c r="F2006" s="6">
        <v>5</v>
      </c>
      <c r="G2006" s="6" t="s">
        <v>41</v>
      </c>
      <c r="H2006" s="6" t="s">
        <v>10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41</v>
      </c>
      <c r="D2007" s="6" t="s">
        <v>12</v>
      </c>
      <c r="E2007" s="6">
        <v>7</v>
      </c>
      <c r="F2007" s="6">
        <v>2</v>
      </c>
      <c r="G2007" s="6" t="s">
        <v>15</v>
      </c>
      <c r="H2007" s="6" t="s">
        <v>10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41</v>
      </c>
      <c r="D2008" s="6" t="s">
        <v>14</v>
      </c>
      <c r="E2008" s="6">
        <v>5</v>
      </c>
      <c r="F2008" s="6">
        <v>0</v>
      </c>
      <c r="G2008" s="6" t="s">
        <v>17</v>
      </c>
      <c r="H2008" s="6" t="s">
        <v>12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41</v>
      </c>
      <c r="D2009" s="6" t="s">
        <v>17</v>
      </c>
      <c r="E2009" s="6">
        <v>1</v>
      </c>
      <c r="F2009" s="6">
        <v>5</v>
      </c>
      <c r="G2009" s="6" t="s">
        <v>10</v>
      </c>
      <c r="H2009" s="6" t="s">
        <v>14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9</v>
      </c>
      <c r="D2010" s="6" t="s">
        <v>17</v>
      </c>
      <c r="E2010" s="6">
        <v>5</v>
      </c>
      <c r="F2010" s="6">
        <v>0</v>
      </c>
      <c r="G2010" s="6" t="s">
        <v>14</v>
      </c>
      <c r="H2010" s="6" t="s">
        <v>41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9</v>
      </c>
      <c r="D2011" s="6" t="s">
        <v>10</v>
      </c>
      <c r="E2011" s="6">
        <v>4</v>
      </c>
      <c r="F2011" s="6">
        <v>5</v>
      </c>
      <c r="G2011" s="6" t="s">
        <v>17</v>
      </c>
      <c r="H2011" s="6" t="s">
        <v>12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17</v>
      </c>
      <c r="D2012" s="6" t="s">
        <v>41</v>
      </c>
      <c r="E2012" s="6">
        <v>5</v>
      </c>
      <c r="F2012" s="6">
        <v>0</v>
      </c>
      <c r="G2012" s="6" t="s">
        <v>12</v>
      </c>
      <c r="H2012" s="6" t="s">
        <v>11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41</v>
      </c>
      <c r="D2013" s="6" t="s">
        <v>9</v>
      </c>
      <c r="E2013" s="6">
        <v>4</v>
      </c>
      <c r="F2013" s="6">
        <v>5</v>
      </c>
      <c r="G2013" s="6" t="s">
        <v>14</v>
      </c>
      <c r="H2013" s="6" t="s">
        <v>17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14</v>
      </c>
      <c r="D2014" s="6" t="s">
        <v>27</v>
      </c>
      <c r="E2014" s="6">
        <v>5</v>
      </c>
      <c r="F2014" s="6">
        <v>1</v>
      </c>
      <c r="G2014" s="6" t="s">
        <v>17</v>
      </c>
      <c r="H2014" s="6" t="s">
        <v>10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9</v>
      </c>
      <c r="D2015" s="6" t="s">
        <v>27</v>
      </c>
      <c r="E2015" s="6">
        <v>7</v>
      </c>
      <c r="F2015" s="6">
        <v>2</v>
      </c>
      <c r="G2015" s="6" t="s">
        <v>14</v>
      </c>
      <c r="H2015" s="6" t="s">
        <v>12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9</v>
      </c>
      <c r="D2016" s="6" t="s">
        <v>10</v>
      </c>
      <c r="E2016" s="6">
        <v>5</v>
      </c>
      <c r="F2016" s="6">
        <v>3</v>
      </c>
      <c r="G2016" s="6" t="s">
        <v>27</v>
      </c>
      <c r="H2016" s="6" t="s">
        <v>14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12</v>
      </c>
      <c r="D2017" s="6" t="s">
        <v>41</v>
      </c>
      <c r="E2017" s="6">
        <v>5</v>
      </c>
      <c r="F2017" s="6">
        <v>2</v>
      </c>
      <c r="G2017" s="6" t="s">
        <v>10</v>
      </c>
      <c r="H2017" s="6" t="s">
        <v>14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12</v>
      </c>
      <c r="D2018" s="6" t="s">
        <v>14</v>
      </c>
      <c r="E2018" s="6">
        <v>5</v>
      </c>
      <c r="F2018" s="6">
        <v>4</v>
      </c>
      <c r="G2018" s="6" t="s">
        <v>41</v>
      </c>
      <c r="H2018" s="6" t="s">
        <v>10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12</v>
      </c>
      <c r="D2019" s="6" t="s">
        <v>41</v>
      </c>
      <c r="E2019" s="6">
        <v>5</v>
      </c>
      <c r="F2019" s="6">
        <v>4</v>
      </c>
      <c r="G2019" s="6" t="s">
        <v>10</v>
      </c>
      <c r="H2019" s="6" t="s">
        <v>14</v>
      </c>
      <c r="I2019" s="6">
        <f>TabJogos[[#This Row],[PontosTime1]]-TabJogos[[#This Row],[PontosTime2]]</f>
        <v>1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56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30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26</v>
      </c>
      <c r="E2" s="3">
        <f t="shared" ref="E2:E28" ca="1" si="0">C2-D2</f>
        <v>4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8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24</v>
      </c>
      <c r="H2" s="4">
        <f t="shared" ref="H2:H28" ca="1" si="1">IFERROR(C2/B2,-0.000001)</f>
        <v>0.5357142857142857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53.571428571428569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61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24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37</v>
      </c>
      <c r="E3" s="3">
        <f t="shared" ca="1" si="0"/>
        <v>-13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3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-49</v>
      </c>
      <c r="H3" s="4">
        <f t="shared" ca="1" si="1"/>
        <v>0.39344262295081966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39.344262295081968</v>
      </c>
      <c r="L3" s="12" t="s">
        <v>36</v>
      </c>
      <c r="M3" s="14">
        <f ca="1">IF(DAY(TODAY())&lt;=3,DATE(YEAR(TODAY()),MONTH(TODAY())-1,1),DATE(YEAR(TODAY()),MONTH(TODAY()),1))</f>
        <v>43374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43404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61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32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29</v>
      </c>
      <c r="E5" s="3">
        <f t="shared" ca="1" si="0"/>
        <v>3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5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-2</v>
      </c>
      <c r="H5" s="4">
        <f t="shared" ca="1" si="1"/>
        <v>0.52459016393442626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52.459016393442624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0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0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0</v>
      </c>
      <c r="E6" s="3">
        <f t="shared" ca="1" si="0"/>
        <v>0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0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0</v>
      </c>
      <c r="H6" s="4">
        <f t="shared" ca="1" si="1"/>
        <v>-9.9999999999999995E-7</v>
      </c>
      <c r="I6" s="29">
        <f ca="1">IF(TabResultados3[[#This Row],[Jogos]]&lt;20,0,IF(TabResultados3[[#This Row],[Jogos]]&lt;=40,0.9+0.1*(TabResultados3[[#This Row],[Jogos]]-20)/20,1))</f>
        <v>0</v>
      </c>
      <c r="J6" s="22">
        <f ca="1">100*TabResultados3[[#This Row],[Aprov]]*TabResultados3[[#This Row],[KJogos]]</f>
        <v>0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60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31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29</v>
      </c>
      <c r="E7" s="3">
        <f t="shared" ca="1" si="0"/>
        <v>2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5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-14</v>
      </c>
      <c r="H7" s="4">
        <f t="shared" ca="1" si="1"/>
        <v>0.51666666666666672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51.666666666666671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23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15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8</v>
      </c>
      <c r="E8" s="3">
        <f t="shared" ca="1" si="0"/>
        <v>7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3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28</v>
      </c>
      <c r="H8" s="4">
        <f t="shared" ca="1" si="1"/>
        <v>0.65217391304347827</v>
      </c>
      <c r="I8" s="29">
        <f ca="1">IF(TabResultados3[[#This Row],[Jogos]]&lt;20,0,IF(TabResultados3[[#This Row],[Jogos]]&lt;=40,0.9+0.1*(TabResultados3[[#This Row],[Jogos]]-20)/20,1))</f>
        <v>0.91500000000000004</v>
      </c>
      <c r="J8" s="22">
        <f ca="1">100*TabResultados3[[#This Row],[Aprov]]*TabResultados3[[#This Row],[KJogos]]</f>
        <v>59.673913043478265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0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0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0</v>
      </c>
      <c r="E10" s="3">
        <f t="shared" ca="1" si="0"/>
        <v>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0</v>
      </c>
      <c r="H10" s="4">
        <f t="shared" ca="1" si="1"/>
        <v>-9.9999999999999995E-7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24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9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15</v>
      </c>
      <c r="E11" s="3">
        <f t="shared" ca="1" si="0"/>
        <v>-6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1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-8</v>
      </c>
      <c r="H11" s="4">
        <f t="shared" ca="1" si="1"/>
        <v>0.375</v>
      </c>
      <c r="I11" s="29">
        <f ca="1">IF(TabResultados3[[#This Row],[Jogos]]&lt;20,0,IF(TabResultados3[[#This Row],[Jogos]]&lt;=40,0.9+0.1*(TabResultados3[[#This Row],[Jogos]]-20)/20,1))</f>
        <v>0.92</v>
      </c>
      <c r="J11" s="22">
        <f ca="1">100*TabResultados3[[#This Row],[Aprov]]*TabResultados3[[#This Row],[KJogos]]</f>
        <v>34.5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1</v>
      </c>
      <c r="E12" s="3">
        <f t="shared" ca="1" si="0"/>
        <v>-1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-5</v>
      </c>
      <c r="H12" s="4">
        <f t="shared" ca="1" si="1"/>
        <v>0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13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4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9</v>
      </c>
      <c r="E13" s="3">
        <f t="shared" ca="1" si="0"/>
        <v>-5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0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-14</v>
      </c>
      <c r="H13" s="4">
        <f t="shared" ca="1" si="1"/>
        <v>0.30769230769230771</v>
      </c>
      <c r="I13" s="29">
        <f ca="1">IF(TabResultados3[[#This Row],[Jogos]]&lt;20,0,IF(TabResultados3[[#This Row],[Jogos]]&lt;=40,0.9+0.1*(TabResultados3[[#This Row],[Jogos]]-20)/20,1))</f>
        <v>0</v>
      </c>
      <c r="J13" s="22">
        <f ca="1">100*TabResultados3[[#This Row],[Aprov]]*TabResultados3[[#This Row],[KJogos]]</f>
        <v>0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25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13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12</v>
      </c>
      <c r="E14" s="3">
        <f t="shared" ca="1" si="0"/>
        <v>1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3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20</v>
      </c>
      <c r="H14" s="4">
        <f t="shared" ca="1" si="1"/>
        <v>0.52</v>
      </c>
      <c r="I14" s="29">
        <f ca="1">IF(TabResultados3[[#This Row],[Jogos]]&lt;20,0,IF(TabResultados3[[#This Row],[Jogos]]&lt;=40,0.9+0.1*(TabResultados3[[#This Row],[Jogos]]-20)/20,1))</f>
        <v>0.92500000000000004</v>
      </c>
      <c r="J14" s="22">
        <f ca="1">100*TabResultados3[[#This Row],[Aprov]]*TabResultados3[[#This Row],[KJogos]]</f>
        <v>48.1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55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31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24</v>
      </c>
      <c r="E19" s="3">
        <f t="shared" ca="1" si="0"/>
        <v>7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5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17</v>
      </c>
      <c r="H19" s="4">
        <f t="shared" ca="1" si="1"/>
        <v>0.5636363636363636</v>
      </c>
      <c r="I19" s="29">
        <f ca="1">IF(TabResultados3[[#This Row],[Jogos]]&lt;20,0,IF(TabResultados3[[#This Row],[Jogos]]&lt;=40,0.9+0.1*(TabResultados3[[#This Row],[Jogos]]-20)/20,1))</f>
        <v>1</v>
      </c>
      <c r="J19" s="22">
        <f ca="1">100*TabResultados3[[#This Row],[Aprov]]*TabResultados3[[#This Row],[KJogos]]</f>
        <v>56.36363636363636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2018-10-09T18:18:41Z</dcterms:modified>
</cp:coreProperties>
</file>
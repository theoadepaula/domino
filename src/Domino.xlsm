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27C6217C-75FA-426F-865D-F01A7739117B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<sst xmlns="http://schemas.openxmlformats.org/spreadsheetml/2006/main" count="7072" uniqueCount="55">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</sst>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1757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758"/>
  <sheetViews>
    <sheetView tabSelected="1" zoomScale="80" zoomScaleNormal="80" workbookViewId="0">
      <pane ySplit="1" topLeftCell="A1719" activePane="bottomLeft" state="frozenSplit"/>
      <selection activeCell="D1" sqref="D1 D1"/>
      <selection pane="bottomLeft" activeCell="C1746" sqref="C1746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I1758" s="6"/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41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20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21</v>
      </c>
      <c r="E2" s="3">
        <f t="shared" ref="E2:E28" ca="1" si="0">C2-D2</f>
        <v>-1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2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-10</v>
      </c>
      <c r="H2" s="4">
        <f t="shared" ref="H2:H28" ca="1" si="1">IFERROR(C2/B2,-0.000001)</f>
        <v>0.48780487804878048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48.780487804878049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54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34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20</v>
      </c>
      <c r="E3" s="3">
        <f t="shared" ca="1" si="0"/>
        <v>14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5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42</v>
      </c>
      <c r="H3" s="4">
        <f t="shared" ca="1" si="1"/>
        <v>0.62962962962962965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62.962962962962962</v>
      </c>
      <c r="L3" s="12" t="s">
        <v>36</v>
      </c>
      <c r="M3" s="14">
        <f ca="1">IF(DAY(TODAY())&lt;=3,DATE(YEAR(TODAY()),MONTH(TODAY())-1,1),DATE(YEAR(TODAY()),MONTH(TODAY()),1))</f>
        <v>43344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43373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31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20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11</v>
      </c>
      <c r="E5" s="3">
        <f t="shared" ca="1" si="0"/>
        <v>9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3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21</v>
      </c>
      <c r="H5" s="4">
        <f t="shared" ca="1" si="1"/>
        <v>0.64516129032258063</v>
      </c>
      <c r="I5" s="29">
        <f ca="1">IF(TabResultados3[[#This Row],[Jogos]]&lt;20,0,IF(TabResultados3[[#This Row],[Jogos]]&lt;=40,0.9+0.1*(TabResultados3[[#This Row],[Jogos]]-20)/20,1))</f>
        <v>0.95500000000000007</v>
      </c>
      <c r="J5" s="22">
        <f ca="1">100*TabResultados3[[#This Row],[Aprov]]*TabResultados3[[#This Row],[KJogos]]</f>
        <v>61.612903225806456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3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2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1</v>
      </c>
      <c r="E6" s="3">
        <f t="shared" ca="1" si="0"/>
        <v>1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3</v>
      </c>
      <c r="H6" s="4">
        <f t="shared" ca="1" si="1"/>
        <v>0.66666666666666663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16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22</v>
      </c>
      <c r="E7" s="3">
        <f t="shared" ca="1" si="0"/>
        <v>-6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2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-22</v>
      </c>
      <c r="H7" s="4">
        <f t="shared" ca="1" si="1"/>
        <v>0.42105263157894735</v>
      </c>
      <c r="I7" s="29">
        <f ca="1">IF(TabResultados3[[#This Row],[Jogos]]&lt;20,0,IF(TabResultados3[[#This Row],[Jogos]]&lt;=40,0.9+0.1*(TabResultados3[[#This Row],[Jogos]]-20)/20,1))</f>
        <v>0.99</v>
      </c>
      <c r="J7" s="22">
        <f ca="1">100*TabResultados3[[#This Row],[Aprov]]*TabResultados3[[#This Row],[KJogos]]</f>
        <v>41.684210526315788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17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5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12</v>
      </c>
      <c r="E8" s="3">
        <f t="shared" ca="1" si="0"/>
        <v>-7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-11</v>
      </c>
      <c r="H8" s="4">
        <f t="shared" ca="1" si="1"/>
        <v>0.29411764705882354</v>
      </c>
      <c r="I8" s="29">
        <f ca="1">IF(TabResultados3[[#This Row],[Jogos]]&lt;20,0,IF(TabResultados3[[#This Row],[Jogos]]&lt;=40,0.9+0.1*(TabResultados3[[#This Row],[Jogos]]-20)/20,1))</f>
        <v>0</v>
      </c>
      <c r="J8" s="22">
        <f ca="1">100*TabResultados3[[#This Row],[Aprov]]*TabResultados3[[#This Row],[KJogos]]</f>
        <v>0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</v>
      </c>
      <c r="E10" s="3">
        <f t="shared" ca="1" si="0"/>
        <v>-1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-3</v>
      </c>
      <c r="H10" s="4">
        <f t="shared" ca="1" si="1"/>
        <v>0.4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16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11</v>
      </c>
      <c r="E11" s="3">
        <f t="shared" ca="1" si="0"/>
        <v>-6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1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-17</v>
      </c>
      <c r="H11" s="4">
        <f t="shared" ca="1" si="1"/>
        <v>0.3125</v>
      </c>
      <c r="I11" s="29">
        <f ca="1">IF(TabResultados3[[#This Row],[Jogos]]&lt;20,0,IF(TabResultados3[[#This Row],[Jogos]]&lt;=40,0.9+0.1*(TabResultados3[[#This Row],[Jogos]]-20)/20,1))</f>
        <v>0</v>
      </c>
      <c r="J11" s="22">
        <f ca="1">100*TabResultados3[[#This Row],[Aprov]]*TabResultados3[[#This Row],[KJogos]]</f>
        <v>0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0</v>
      </c>
      <c r="E12" s="3">
        <f t="shared" ca="1" si="0"/>
        <v>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0</v>
      </c>
      <c r="H12" s="4">
        <f t="shared" ca="1" si="1"/>
        <v>-9.9999999999999995E-7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11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6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5</v>
      </c>
      <c r="E13" s="3">
        <f t="shared" ca="1" si="0"/>
        <v>1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1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11</v>
      </c>
      <c r="H13" s="4">
        <f t="shared" ca="1" si="1"/>
        <v>0.54545454545454541</v>
      </c>
      <c r="I13" s="29">
        <f ca="1">IF(TabResultados3[[#This Row],[Jogos]]&lt;20,0,IF(TabResultados3[[#This Row],[Jogos]]&lt;=40,0.9+0.1*(TabResultados3[[#This Row],[Jogos]]-20)/20,1))</f>
        <v>0</v>
      </c>
      <c r="J13" s="22">
        <f ca="1">100*TabResultados3[[#This Row],[Aprov]]*TabResultados3[[#This Row],[KJogos]]</f>
        <v>0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10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4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6</v>
      </c>
      <c r="E14" s="3">
        <f t="shared" ca="1" si="0"/>
        <v>-2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-11</v>
      </c>
      <c r="H14" s="4">
        <f t="shared" ca="1" si="1"/>
        <v>0.4</v>
      </c>
      <c r="I14" s="29">
        <f ca="1">IF(TabResultados3[[#This Row],[Jogos]]&lt;20,0,IF(TabResultados3[[#This Row],[Jogos]]&lt;=40,0.9+0.1*(TabResultados3[[#This Row],[Jogos]]-20)/20,1))</f>
        <v>0</v>
      </c>
      <c r="J14" s="22">
        <f ca="1">100*TabResultados3[[#This Row],[Aprov]]*TabResultados3[[#This Row],[KJogos]]</f>
        <v>0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7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3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4</v>
      </c>
      <c r="E19" s="3">
        <f t="shared" ca="1" si="0"/>
        <v>-1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-7</v>
      </c>
      <c r="H19" s="4">
        <f t="shared" ca="1" si="1"/>
        <v>0.42857142857142855</v>
      </c>
      <c r="I19" s="29">
        <f ca="1">IF(TabResultados3[[#This Row],[Jogos]]&lt;20,0,IF(TabResultados3[[#This Row],[Jogos]]&lt;=40,0.9+0.1*(TabResultados3[[#This Row],[Jogos]]-20)/20,1))</f>
        <v>0</v>
      </c>
      <c r="J19" s="22">
        <f ca="1">100*TabResultados3[[#This Row],[Aprov]]*TabResultados3[[#This Row],[KJogos]]</f>
        <v>0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2018-09-11T17:51:04Z</dcterms:modified>
</cp:coreProperties>
</file>
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7AAE465C-EC42-4DFE-8B4A-B913255C1222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<sst xmlns="http://schemas.openxmlformats.org/spreadsheetml/2006/main" count="7792" uniqueCount="56">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</sst>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937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937"/>
  <sheetViews>
    <sheetView tabSelected="1" zoomScale="80" zoomScaleNormal="80" workbookViewId="0">
      <pane ySplit="1" topLeftCell="A1891" activePane="bottomLeft" state="frozenSplit"/>
      <selection activeCell="D1" sqref="D1 D1"/>
      <selection pane="bottomLeft" activeCell="C1927" sqref="C1927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107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51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56</v>
      </c>
      <c r="E2" s="3">
        <f t="shared" ref="E2:E28" ca="1" si="0">C2-D2</f>
        <v>-5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4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-17</v>
      </c>
      <c r="H2" s="4">
        <f t="shared" ref="H2:H28" ca="1" si="1">IFERROR(C2/B2,-0.000001)</f>
        <v>0.47663551401869159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47.663551401869157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173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100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73</v>
      </c>
      <c r="E3" s="3">
        <f t="shared" ca="1" si="0"/>
        <v>27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13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67</v>
      </c>
      <c r="H3" s="4">
        <f t="shared" ca="1" si="1"/>
        <v>0.5780346820809249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57.80346820809249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43404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154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86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68</v>
      </c>
      <c r="E5" s="3">
        <f t="shared" ca="1" si="0"/>
        <v>18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13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53</v>
      </c>
      <c r="H5" s="4">
        <f t="shared" ca="1" si="1"/>
        <v>0.55844155844155841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55.844155844155843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10</v>
      </c>
      <c r="E6" s="3">
        <f t="shared" ca="1" si="0"/>
        <v>-5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-8</v>
      </c>
      <c r="H6" s="4">
        <f t="shared" ca="1" si="1"/>
        <v>0.33333333333333331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144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62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82</v>
      </c>
      <c r="E7" s="3">
        <f t="shared" ca="1" si="0"/>
        <v>-20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11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-70</v>
      </c>
      <c r="H7" s="4">
        <f t="shared" ca="1" si="1"/>
        <v>0.43055555555555558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43.055555555555557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62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30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32</v>
      </c>
      <c r="E8" s="3">
        <f t="shared" ca="1" si="0"/>
        <v>-2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3</v>
      </c>
      <c r="H8" s="4">
        <f t="shared" ca="1" si="1"/>
        <v>0.4838709677419355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48.387096774193552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30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10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20</v>
      </c>
      <c r="E11" s="3">
        <f t="shared" ca="1" si="0"/>
        <v>-10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2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-28</v>
      </c>
      <c r="H11" s="4">
        <f t="shared" ca="1" si="1"/>
        <v>0.33333333333333331</v>
      </c>
      <c r="I11" s="29">
        <f ca="1">IF(TabResultados3[[#This Row],[Jogos]]&lt;20,0,IF(TabResultados3[[#This Row],[Jogos]]&lt;=40,0.9+0.1*(TabResultados3[[#This Row],[Jogos]]-20)/20,1))</f>
        <v>0.95000000000000007</v>
      </c>
      <c r="J11" s="22">
        <f ca="1">100*TabResultados3[[#This Row],[Aprov]]*TabResultados3[[#This Row],[KJogos]]</f>
        <v>31.666666666666664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42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20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22</v>
      </c>
      <c r="E13" s="3">
        <f t="shared" ca="1" si="0"/>
        <v>-2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3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5</v>
      </c>
      <c r="H13" s="4">
        <f t="shared" ca="1" si="1"/>
        <v>0.47619047619047616</v>
      </c>
      <c r="I13" s="29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47.619047619047613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40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28</v>
      </c>
      <c r="E14" s="3">
        <f t="shared" ca="1" si="0"/>
        <v>12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8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42</v>
      </c>
      <c r="H14" s="4">
        <f t="shared" ca="1" si="1"/>
        <v>0.58823529411764708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58.82352941176471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104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53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51</v>
      </c>
      <c r="E19" s="3">
        <f t="shared" ca="1" si="0"/>
        <v>2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9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-12</v>
      </c>
      <c r="H19" s="4">
        <f t="shared" ca="1" si="1"/>
        <v>0.50961538461538458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50.96153846153846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2018-10-01T17:58:49Z</dcterms:modified>
</cp:coreProperties>
</file>
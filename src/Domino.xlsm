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817911CE-3471-4280-BD72-4B4325F0478B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<sst xmlns="http://schemas.openxmlformats.org/spreadsheetml/2006/main" count="7700" uniqueCount="56">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</sst>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1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14"/>
  <sheetViews>
    <sheetView tabSelected="1" zoomScale="80" zoomScaleNormal="80" workbookViewId="0">
      <pane ySplit="1" topLeftCell="A1874" activePane="bottomLeft" state="frozenSplit"/>
      <selection activeCell="D1" sqref="D1 D1"/>
      <selection pane="bottomLeft" activeCell="A1914" sqref="A191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98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44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54</v>
      </c>
      <c r="E2" s="3">
        <f t="shared" ref="E2:E28" ca="1" si="0">C2-D2</f>
        <v>-10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3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-39</v>
      </c>
      <c r="H2" s="4">
        <f t="shared" ref="H2:H28" ca="1" si="1">IFERROR(C2/B2,-0.000001)</f>
        <v>0.44897959183673469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44.897959183673471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156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92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64</v>
      </c>
      <c r="E3" s="3">
        <f t="shared" ca="1" si="0"/>
        <v>28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71</v>
      </c>
      <c r="H3" s="4">
        <f t="shared" ca="1" si="1"/>
        <v>0.58974358974358976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58.974358974358978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74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</v>
      </c>
      <c r="E5" s="3">
        <f t="shared" ca="1" si="0"/>
        <v>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</v>
      </c>
      <c r="H5" s="4">
        <f t="shared" ca="1" si="1"/>
        <v>0.54411764705882348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54.411764705882348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127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55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72</v>
      </c>
      <c r="E7" s="3">
        <f t="shared" ca="1" si="0"/>
        <v>-17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-63</v>
      </c>
      <c r="H7" s="4">
        <f t="shared" ca="1" si="1"/>
        <v>0.43307086614173229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43.30708661417323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57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29</v>
      </c>
      <c r="E8" s="3">
        <f t="shared" ca="1" si="0"/>
        <v>-1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8</v>
      </c>
      <c r="H8" s="4">
        <f t="shared" ca="1" si="1"/>
        <v>0.49122807017543857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49.122807017543856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8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17</v>
      </c>
      <c r="E11" s="3">
        <f t="shared" ca="1" si="0"/>
        <v>-9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-26</v>
      </c>
      <c r="H11" s="4">
        <f t="shared" ca="1" si="1"/>
        <v>0.32</v>
      </c>
      <c r="I11" s="29">
        <f ca="1">IF(TabResultados3[[#This Row],[Jogos]]&lt;20,0,IF(TabResultados3[[#This Row],[Jogos]]&lt;=40,0.9+0.1*(TabResultados3[[#This Row],[Jogos]]-20)/20,1))</f>
        <v>0.92500000000000004</v>
      </c>
      <c r="J11" s="22">
        <f ca="1">100*TabResultados3[[#This Row],[Aprov]]*TabResultados3[[#This Row],[KJogos]]</f>
        <v>29.6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38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20</v>
      </c>
      <c r="E13" s="3">
        <f t="shared" ca="1" si="0"/>
        <v>-2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3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5</v>
      </c>
      <c r="H13" s="4">
        <f t="shared" ca="1" si="1"/>
        <v>0.47368421052631576</v>
      </c>
      <c r="I13" s="29">
        <f ca="1">IF(TabResultados3[[#This Row],[Jogos]]&lt;20,0,IF(TabResultados3[[#This Row],[Jogos]]&lt;=40,0.9+0.1*(TabResultados3[[#This Row],[Jogos]]-20)/20,1))</f>
        <v>0.99</v>
      </c>
      <c r="J13" s="22">
        <f ca="1">100*TabResultados3[[#This Row],[Aprov]]*TabResultados3[[#This Row],[KJogos]]</f>
        <v>46.89473684210526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26</v>
      </c>
      <c r="E14" s="3">
        <f t="shared" ca="1" si="0"/>
        <v>13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42</v>
      </c>
      <c r="H14" s="4">
        <f t="shared" ca="1" si="1"/>
        <v>0.6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95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51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44</v>
      </c>
      <c r="E19" s="3">
        <f t="shared" ca="1" si="0"/>
        <v>7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9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8</v>
      </c>
      <c r="H19" s="4">
        <f t="shared" ca="1" si="1"/>
        <v>0.5368421052631579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53.684210526315788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2018-09-27T17:34:29Z</dcterms:modified>
</cp:coreProperties>
</file>
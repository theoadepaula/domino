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2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naaguas-my.sharepoint.com/personal/othon_oliveira_ana_gov_br/Documents/Jogo/"/>
    </mc:Choice>
  </mc:AlternateContent>
  <xr:revisionPtr revIDLastSave="0" documentId="8_{67889770-5181-4B2A-9023-C53C22C01C48}" xr6:coauthVersionLast="38" xr6:coauthVersionMax="38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0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M3" i="4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D10" i="4"/>
  <c r="G10" i="4"/>
  <c r="C10" i="4"/>
  <c r="B10" i="4"/>
  <c r="I10" i="4"/>
  <c r="F10" i="4"/>
  <c r="G16" i="4"/>
  <c r="D16" i="4"/>
  <c r="F16" i="4"/>
  <c r="C16" i="4"/>
  <c r="B16" i="4"/>
  <c r="I16" i="4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/>
  <c r="H10" i="4"/>
  <c r="J10" i="4"/>
  <c r="H16" i="4"/>
  <c r="J16" i="4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B11" i="4"/>
  <c r="I11" i="4"/>
  <c r="D4" i="4"/>
  <c r="B7" i="4"/>
  <c r="I7" i="4"/>
  <c r="B9" i="4"/>
  <c r="I9" i="4"/>
  <c r="B18" i="4"/>
  <c r="I18" i="4"/>
  <c r="B22" i="4"/>
  <c r="I22" i="4"/>
  <c r="B25" i="4"/>
  <c r="I25" i="4"/>
  <c r="B15" i="4"/>
  <c r="I15" i="4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/>
  <c r="J25" i="4"/>
  <c r="C26" i="4"/>
  <c r="C15" i="4"/>
  <c r="C27" i="4"/>
  <c r="C8" i="4"/>
  <c r="C28" i="4"/>
  <c r="D11" i="4"/>
  <c r="C12" i="4"/>
  <c r="B5" i="4"/>
  <c r="I5" i="4"/>
  <c r="B6" i="4"/>
  <c r="I6" i="4"/>
  <c r="B21" i="4"/>
  <c r="I21" i="4"/>
  <c r="B26" i="4"/>
  <c r="I26" i="4"/>
  <c r="B27" i="4"/>
  <c r="I27" i="4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/>
  <c r="B14" i="4"/>
  <c r="I14" i="4"/>
  <c r="B19" i="4"/>
  <c r="I19" i="4"/>
  <c r="B20" i="4"/>
  <c r="I20" i="4"/>
  <c r="B24" i="4"/>
  <c r="I24" i="4"/>
  <c r="B8" i="4"/>
  <c r="I8" i="4"/>
  <c r="C7" i="4"/>
  <c r="G11" i="4"/>
  <c r="G4" i="4"/>
  <c r="F12" i="4"/>
  <c r="B3" i="4"/>
  <c r="I3" i="4"/>
  <c r="B13" i="4"/>
  <c r="I13" i="4"/>
  <c r="B17" i="4"/>
  <c r="I17" i="4"/>
  <c r="B23" i="4"/>
  <c r="I23" i="4"/>
  <c r="B28" i="4"/>
  <c r="I28" i="4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/>
  <c r="C11" i="4"/>
  <c r="H11" i="4"/>
  <c r="J11" i="4"/>
  <c r="C4" i="4"/>
  <c r="B12" i="4"/>
  <c r="I12" i="4"/>
  <c r="I766" i="3"/>
  <c r="H15" i="4"/>
  <c r="J15" i="4"/>
  <c r="H9" i="4"/>
  <c r="H22" i="4"/>
  <c r="H7" i="4"/>
  <c r="J7" i="4"/>
  <c r="H4" i="4"/>
  <c r="J4" i="4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<sst xmlns="http://schemas.openxmlformats.org/spreadsheetml/2006/main" count="7968" uniqueCount="56">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</sst>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8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81"/>
  <sheetViews>
    <sheetView tabSelected="1" zoomScale="80" zoomScaleNormal="80" workbookViewId="0" xr3:uid="{AEA406A1-0E4B-5B11-9CD5-51D6E497D94C}">
      <pane ySplit="1" topLeftCell="A1936" activePane="bottomLeft" state="frozenSplit"/>
      <selection pane="bottomLeft" activeCell="H1980" sqref="H1980"/>
      <selection activeCell="D1" sqref="D1 D1"/>
    </sheetView>
  </sheetViews>
  <sheetFormatPr defaultColWidth="9.140625" defaultRowHeight="15" customHeight="1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5</v>
      </c>
      <c r="G608" s="6" t="s">
        <v>29</v>
      </c>
      <c r="H608" s="6" t="s">
        <v>15</v>
      </c>
      <c r="I608" s="6">
        <f>TabJogos[[#This Row],[PontosTime1]]-TabJogos[[#This Row],[PontosTime2]]</f>
        <v>0</v>
      </c>
    </row>
    <row r="609" spans="1:9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>
      <c r="A1160" s="7">
        <v>1159</v>
      </c>
      <c r="B1160" s="1">
        <v>43216</v>
      </c>
      <c r="C1160" s="6" t="s">
        <v>25</v>
      </c>
      <c r="D1160" s="6" t="s">
        <v>35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36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37</v>
      </c>
      <c r="I1355" s="6">
        <f>TabJogos[[#This Row],[PontosTime1]]-TabJogos[[#This Row],[PontosTime2]]</f>
        <v>5</v>
      </c>
    </row>
    <row r="1356" spans="1:9" ht="15" customHeight="1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>
      <c r="A1429" s="7">
        <v>1428</v>
      </c>
      <c r="B1429" s="1">
        <v>43255</v>
      </c>
      <c r="C1429" s="6" t="s">
        <v>38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38</v>
      </c>
      <c r="I1432" s="6">
        <f>TabJogos[[#This Row],[PontosTime1]]-TabJogos[[#This Row],[PontosTime2]]</f>
        <v>1</v>
      </c>
    </row>
    <row r="1433" spans="1:9" ht="15" customHeight="1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38</v>
      </c>
      <c r="I1434" s="6">
        <f>TabJogos[[#This Row],[PontosTime1]]-TabJogos[[#This Row],[PontosTime2]]</f>
        <v>2</v>
      </c>
    </row>
    <row r="1435" spans="1:9" ht="15" customHeight="1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>
      <c r="A1447" s="7">
        <v>1446</v>
      </c>
      <c r="B1447" s="1">
        <v>43257</v>
      </c>
      <c r="C1447" s="6" t="s">
        <v>38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38</v>
      </c>
      <c r="I1448" s="6">
        <f>TabJogos[[#This Row],[PontosTime1]]-TabJogos[[#This Row],[PontosTime2]]</f>
        <v>-1</v>
      </c>
    </row>
    <row r="1449" spans="1:9" ht="15" customHeight="1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38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38</v>
      </c>
      <c r="I1451" s="6">
        <f>TabJogos[[#This Row],[PontosTime1]]-TabJogos[[#This Row],[PontosTime2]]</f>
        <v>2</v>
      </c>
    </row>
    <row r="1452" spans="1:9" ht="15" customHeight="1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>
      <c r="A1517" s="7">
        <v>1516</v>
      </c>
      <c r="B1517" s="1">
        <v>43284</v>
      </c>
      <c r="C1517" s="6" t="s">
        <v>39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>
      <c r="A1518" s="7">
        <v>1517</v>
      </c>
      <c r="B1518" s="1">
        <v>43284</v>
      </c>
      <c r="C1518" s="6" t="s">
        <v>39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39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>
      <c r="A1605" s="7">
        <v>1604</v>
      </c>
      <c r="B1605" s="1">
        <v>43304</v>
      </c>
      <c r="C1605" s="6" t="s">
        <v>39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40</v>
      </c>
      <c r="I1612" s="6">
        <f>TabJogos[[#This Row],[PontosTime1]]-TabJogos[[#This Row],[PontosTime2]]</f>
        <v>5</v>
      </c>
    </row>
    <row r="1613" spans="1:9" ht="15" customHeight="1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>
      <c r="A1683" s="7">
        <v>1682</v>
      </c>
      <c r="B1683" s="1">
        <v>43315</v>
      </c>
      <c r="C1683" s="6" t="s">
        <v>10</v>
      </c>
      <c r="D1683" s="6" t="s">
        <v>38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>
      <c r="A1686" s="7">
        <v>1685</v>
      </c>
      <c r="B1686" s="1">
        <v>43315</v>
      </c>
      <c r="C1686" s="6" t="s">
        <v>38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38</v>
      </c>
      <c r="I1688" s="6">
        <f>TabJogos[[#This Row],[PontosTime1]]-TabJogos[[#This Row],[PontosTime2]]</f>
        <v>1</v>
      </c>
    </row>
    <row r="1689" spans="1:9" ht="15" customHeight="1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38</v>
      </c>
      <c r="I1690" s="6">
        <f>TabJogos[[#This Row],[PontosTime1]]-TabJogos[[#This Row],[PontosTime2]]</f>
        <v>2</v>
      </c>
    </row>
    <row r="1691" spans="1:9" ht="15" customHeight="1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38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>
      <c r="A1692" s="7">
        <v>1691</v>
      </c>
      <c r="B1692" s="1">
        <v>43315</v>
      </c>
      <c r="C1692" s="6" t="s">
        <v>38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>
      <c r="A1693" s="7">
        <v>1692</v>
      </c>
      <c r="B1693" s="1">
        <v>43346</v>
      </c>
      <c r="C1693" s="6" t="s">
        <v>10</v>
      </c>
      <c r="D1693" s="6" t="s">
        <v>41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>
      <c r="A1695" s="7">
        <v>1694</v>
      </c>
      <c r="B1695" s="1">
        <v>43346</v>
      </c>
      <c r="C1695" s="6" t="s">
        <v>41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>
      <c r="A1696" s="7">
        <v>1695</v>
      </c>
      <c r="B1696" s="1">
        <v>43346</v>
      </c>
      <c r="C1696" s="6" t="s">
        <v>41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>
      <c r="A1705" s="7">
        <v>1704</v>
      </c>
      <c r="B1705" s="1">
        <v>43347</v>
      </c>
      <c r="C1705" s="6" t="s">
        <v>39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>
      <c r="A1706" s="7">
        <v>1705</v>
      </c>
      <c r="B1706" s="1">
        <v>43347</v>
      </c>
      <c r="C1706" s="6" t="s">
        <v>39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41</v>
      </c>
      <c r="I1708" s="6">
        <f>TabJogos[[#This Row],[PontosTime1]]-TabJogos[[#This Row],[PontosTime2]]</f>
        <v>2</v>
      </c>
    </row>
    <row r="1709" spans="1:9" ht="15" customHeight="1">
      <c r="A1709" s="7">
        <v>1708</v>
      </c>
      <c r="B1709" s="1">
        <v>43347</v>
      </c>
      <c r="C1709" s="6" t="s">
        <v>41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>
      <c r="A1712" s="7">
        <v>1711</v>
      </c>
      <c r="B1712" s="1">
        <v>43347</v>
      </c>
      <c r="C1712" s="6" t="s">
        <v>11</v>
      </c>
      <c r="D1712" s="6" t="s">
        <v>42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>
      <c r="A1713" s="7">
        <v>1712</v>
      </c>
      <c r="B1713" s="1">
        <v>43347</v>
      </c>
      <c r="C1713" s="6" t="s">
        <v>18</v>
      </c>
      <c r="D1713" s="6" t="s">
        <v>42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42</v>
      </c>
      <c r="I1714" s="6">
        <f>TabJogos[[#This Row],[PontosTime1]]-TabJogos[[#This Row],[PontosTime2]]</f>
        <v>1</v>
      </c>
    </row>
    <row r="1715" spans="1:9" ht="15" customHeight="1">
      <c r="A1715" s="7">
        <v>1714</v>
      </c>
      <c r="B1715" s="1">
        <v>43347</v>
      </c>
      <c r="C1715" s="6" t="s">
        <v>13</v>
      </c>
      <c r="D1715" s="6" t="s">
        <v>42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>
      <c r="A1723" s="7">
        <v>1722</v>
      </c>
      <c r="B1723" s="1">
        <v>43348</v>
      </c>
      <c r="C1723" s="6" t="s">
        <v>13</v>
      </c>
      <c r="D1723" s="6" t="s">
        <v>42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42</v>
      </c>
      <c r="I1724" s="6">
        <f>TabJogos[[#This Row],[PontosTime1]]-TabJogos[[#This Row],[PontosTime2]]</f>
        <v>-5</v>
      </c>
    </row>
    <row r="1725" spans="1:9" ht="15" customHeight="1">
      <c r="A1725" s="7">
        <v>1724</v>
      </c>
      <c r="B1725" s="1">
        <v>43348</v>
      </c>
      <c r="C1725" s="6" t="s">
        <v>42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>
      <c r="A1732" s="7">
        <v>1731</v>
      </c>
      <c r="B1732" s="1">
        <v>43349</v>
      </c>
      <c r="C1732" s="6" t="s">
        <v>15</v>
      </c>
      <c r="D1732" s="6" t="s">
        <v>42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42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>
      <c r="A1735" s="7">
        <v>1734</v>
      </c>
      <c r="B1735" s="1">
        <v>43349</v>
      </c>
      <c r="C1735" s="6" t="s">
        <v>11</v>
      </c>
      <c r="D1735" s="6" t="s">
        <v>42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42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39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>
      <c r="A1738" s="7">
        <v>1737</v>
      </c>
      <c r="B1738" s="1">
        <v>43353</v>
      </c>
      <c r="C1738" s="6" t="s">
        <v>11</v>
      </c>
      <c r="D1738" s="6" t="s">
        <v>39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39</v>
      </c>
      <c r="I1739" s="6">
        <f>TabJogos[[#This Row],[PontosTime1]]-TabJogos[[#This Row],[PontosTime2]]</f>
        <v>2</v>
      </c>
    </row>
    <row r="1740" spans="1:9" ht="15" customHeight="1">
      <c r="A1740" s="7">
        <v>1739</v>
      </c>
      <c r="B1740" s="1">
        <v>43353</v>
      </c>
      <c r="C1740" s="6" t="s">
        <v>11</v>
      </c>
      <c r="D1740" s="6" t="s">
        <v>42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42</v>
      </c>
      <c r="I1741" s="6">
        <f>TabJogos[[#This Row],[PontosTime1]]-TabJogos[[#This Row],[PontosTime2]]</f>
        <v>4</v>
      </c>
    </row>
    <row r="1742" spans="1:9" ht="15" customHeight="1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42</v>
      </c>
      <c r="I1742" s="6">
        <f>TabJogos[[#This Row],[PontosTime1]]-TabJogos[[#This Row],[PontosTime2]]</f>
        <v>-3</v>
      </c>
    </row>
    <row r="1743" spans="1:9" ht="15" customHeight="1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42</v>
      </c>
      <c r="I1743" s="6">
        <f>TabJogos[[#This Row],[PontosTime1]]-TabJogos[[#This Row],[PontosTime2]]</f>
        <v>4</v>
      </c>
    </row>
    <row r="1744" spans="1:9" ht="15" customHeight="1">
      <c r="A1744" s="7">
        <v>1743</v>
      </c>
      <c r="B1744" s="1">
        <v>43353</v>
      </c>
      <c r="C1744" s="6" t="s">
        <v>11</v>
      </c>
      <c r="D1744" s="6" t="s">
        <v>42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>
      <c r="A1745" s="7">
        <v>1744</v>
      </c>
      <c r="B1745" s="1">
        <v>43353</v>
      </c>
      <c r="C1745" s="6" t="s">
        <v>11</v>
      </c>
      <c r="D1745" s="6" t="s">
        <v>42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42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42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>
      <c r="A1755" s="7">
        <v>1754</v>
      </c>
      <c r="B1755" s="1">
        <v>43354</v>
      </c>
      <c r="C1755" s="6" t="s">
        <v>28</v>
      </c>
      <c r="D1755" s="6" t="s">
        <v>42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>
      <c r="A1756" s="7">
        <v>1755</v>
      </c>
      <c r="B1756" s="1">
        <v>43354</v>
      </c>
      <c r="C1756" s="6" t="s">
        <v>42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>
      <c r="A1757" s="7">
        <v>1756</v>
      </c>
      <c r="B1757" s="1">
        <v>43354</v>
      </c>
      <c r="C1757" s="6" t="s">
        <v>42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>
      <c r="A1777" s="7">
        <v>1776</v>
      </c>
      <c r="B1777" s="1">
        <v>43356</v>
      </c>
      <c r="C1777" s="6" t="s">
        <v>11</v>
      </c>
      <c r="D1777" s="6" t="s">
        <v>42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42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42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42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>
      <c r="A1809" s="7">
        <v>1808</v>
      </c>
      <c r="B1809" s="1">
        <v>43361</v>
      </c>
      <c r="C1809" s="6" t="s">
        <v>32</v>
      </c>
      <c r="D1809" s="6" t="s">
        <v>42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>
      <c r="A1810" s="7">
        <v>1809</v>
      </c>
      <c r="B1810" s="1">
        <v>43361</v>
      </c>
      <c r="C1810" s="6" t="s">
        <v>15</v>
      </c>
      <c r="D1810" s="6" t="s">
        <v>42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42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42</v>
      </c>
      <c r="I1814" s="6">
        <f>TabJogos[[#This Row],[PontosTime1]]-TabJogos[[#This Row],[PontosTime2]]</f>
        <v>6</v>
      </c>
    </row>
    <row r="1815" spans="1:9" ht="15" customHeight="1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>
      <c r="A1819" s="7">
        <v>1818</v>
      </c>
      <c r="B1819" s="1">
        <v>43362</v>
      </c>
      <c r="C1819" s="6" t="s">
        <v>11</v>
      </c>
      <c r="D1819" s="6" t="s">
        <v>42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>
      <c r="A1820" s="7">
        <v>1819</v>
      </c>
      <c r="B1820" s="1">
        <v>43362</v>
      </c>
      <c r="C1820" s="6" t="s">
        <v>32</v>
      </c>
      <c r="D1820" s="6" t="s">
        <v>42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42</v>
      </c>
      <c r="I1821" s="6">
        <f>TabJogos[[#This Row],[PontosTime1]]-TabJogos[[#This Row],[PontosTime2]]</f>
        <v>2</v>
      </c>
    </row>
    <row r="1822" spans="1:9" ht="15" customHeight="1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42</v>
      </c>
      <c r="I1823" s="6">
        <f>TabJogos[[#This Row],[PontosTime1]]-TabJogos[[#This Row],[PontosTime2]]</f>
        <v>6</v>
      </c>
    </row>
    <row r="1824" spans="1:9" ht="15" customHeight="1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>
      <c r="A1825" s="7">
        <v>1824</v>
      </c>
      <c r="B1825" s="1">
        <v>43362</v>
      </c>
      <c r="C1825" s="6" t="s">
        <v>28</v>
      </c>
      <c r="D1825" s="6" t="s">
        <v>42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42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43</v>
      </c>
      <c r="I1850" s="6">
        <f>TabJogos[[#This Row],[PontosTime1]]-TabJogos[[#This Row],[PontosTime2]]</f>
        <v>2</v>
      </c>
    </row>
    <row r="1851" spans="1:9" ht="15" customHeight="1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42</v>
      </c>
      <c r="I1859" s="6">
        <f>TabJogos[[#This Row],[PontosTime1]]-TabJogos[[#This Row],[PontosTime2]]</f>
        <v>4</v>
      </c>
    </row>
    <row r="1860" spans="1:9" ht="15" customHeight="1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42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>
      <c r="A1862" s="7">
        <v>1861</v>
      </c>
      <c r="B1862" s="1">
        <v>43367</v>
      </c>
      <c r="C1862" s="6" t="s">
        <v>27</v>
      </c>
      <c r="D1862" s="6" t="s">
        <v>42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42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>
      <c r="A1870" s="7">
        <v>1869</v>
      </c>
      <c r="B1870" s="1">
        <v>43368</v>
      </c>
      <c r="C1870" s="6" t="s">
        <v>11</v>
      </c>
      <c r="D1870" s="6" t="s">
        <v>38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38</v>
      </c>
      <c r="I1871" s="6">
        <f>TabJogos[[#This Row],[PontosTime1]]-TabJogos[[#This Row],[PontosTime2]]</f>
        <v>5</v>
      </c>
    </row>
    <row r="1872" spans="1:9" ht="15" customHeight="1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38</v>
      </c>
      <c r="I1873" s="6">
        <f>TabJogos[[#This Row],[PontosTime1]]-TabJogos[[#This Row],[PontosTime2]]</f>
        <v>2</v>
      </c>
    </row>
    <row r="1874" spans="1:9" ht="15" customHeight="1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38</v>
      </c>
      <c r="I1879" s="6">
        <f>TabJogos[[#This Row],[PontosTime1]]-TabJogos[[#This Row],[PontosTime2]]</f>
        <v>-5</v>
      </c>
    </row>
    <row r="1880" spans="1:9" ht="15" customHeight="1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38</v>
      </c>
      <c r="I1881" s="6">
        <f>TabJogos[[#This Row],[PontosTime1]]-TabJogos[[#This Row],[PontosTime2]]</f>
        <v>6</v>
      </c>
    </row>
    <row r="1882" spans="1:9" ht="15" customHeight="1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38</v>
      </c>
      <c r="I1882" s="6">
        <f>TabJogos[[#This Row],[PontosTime1]]-TabJogos[[#This Row],[PontosTime2]]</f>
        <v>1</v>
      </c>
    </row>
    <row r="1883" spans="1:9" ht="15" customHeight="1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>
      <c r="A1884" s="7">
        <v>1883</v>
      </c>
      <c r="B1884" s="1">
        <v>43368</v>
      </c>
      <c r="C1884" s="6" t="s">
        <v>27</v>
      </c>
      <c r="D1884" s="6" t="s">
        <v>38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>
      <c r="A1886" s="7">
        <v>1885</v>
      </c>
      <c r="B1886" s="1">
        <v>43368</v>
      </c>
      <c r="C1886" s="6" t="s">
        <v>11</v>
      </c>
      <c r="D1886" s="6" t="s">
        <v>38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38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38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42</v>
      </c>
      <c r="I1893" s="6">
        <f>TabJogos[[#This Row],[PontosTime1]]-TabJogos[[#This Row],[PontosTime2]]</f>
        <v>-1</v>
      </c>
    </row>
    <row r="1894" spans="1:9" ht="15" customHeight="1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38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>
      <c r="A1895" s="7">
        <v>1894</v>
      </c>
      <c r="B1895" s="1">
        <v>43369</v>
      </c>
      <c r="C1895" s="6" t="s">
        <v>28</v>
      </c>
      <c r="D1895" s="6" t="s">
        <v>38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>
      <c r="A1896" s="7">
        <v>1895</v>
      </c>
      <c r="B1896" s="1">
        <v>43369</v>
      </c>
      <c r="C1896" s="6" t="s">
        <v>27</v>
      </c>
      <c r="D1896" s="6" t="s">
        <v>42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>
      <c r="A1897" s="7">
        <v>1896</v>
      </c>
      <c r="B1897" s="1">
        <v>43369</v>
      </c>
      <c r="C1897" s="6" t="s">
        <v>13</v>
      </c>
      <c r="D1897" s="6" t="s">
        <v>42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38</v>
      </c>
      <c r="I1898" s="6">
        <f>TabJogos[[#This Row],[PontosTime1]]-TabJogos[[#This Row],[PontosTime2]]</f>
        <v>1</v>
      </c>
    </row>
    <row r="1899" spans="1:9" ht="15" customHeight="1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42</v>
      </c>
      <c r="I1899" s="6">
        <f>TabJogos[[#This Row],[PontosTime1]]-TabJogos[[#This Row],[PontosTime2]]</f>
        <v>5</v>
      </c>
    </row>
    <row r="1900" spans="1:9" ht="15" customHeight="1">
      <c r="A1900" s="7">
        <v>1899</v>
      </c>
      <c r="B1900" s="1">
        <v>43369</v>
      </c>
      <c r="C1900" s="6" t="s">
        <v>11</v>
      </c>
      <c r="D1900" s="6" t="s">
        <v>38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>
      <c r="A1901" s="7">
        <v>1900</v>
      </c>
      <c r="B1901" s="1">
        <v>43369</v>
      </c>
      <c r="C1901" s="6" t="s">
        <v>27</v>
      </c>
      <c r="D1901" s="6" t="s">
        <v>42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38</v>
      </c>
      <c r="I1902" s="6">
        <f>TabJogos[[#This Row],[PontosTime1]]-TabJogos[[#This Row],[PontosTime2]]</f>
        <v>4</v>
      </c>
    </row>
    <row r="1903" spans="1:9" ht="15" customHeight="1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42</v>
      </c>
      <c r="I1903" s="6">
        <f>TabJogos[[#This Row],[PontosTime1]]-TabJogos[[#This Row],[PontosTime2]]</f>
        <v>2</v>
      </c>
    </row>
    <row r="1904" spans="1:9" ht="15" customHeight="1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>
      <c r="A1907" s="7">
        <v>1906</v>
      </c>
      <c r="B1907" s="1">
        <v>43370</v>
      </c>
      <c r="C1907" s="6" t="s">
        <v>42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42</v>
      </c>
      <c r="I1909" s="6">
        <f>TabJogos[[#This Row],[PontosTime1]]-TabJogos[[#This Row],[PontosTime2]]</f>
        <v>4</v>
      </c>
    </row>
    <row r="1910" spans="1:9" ht="15" customHeight="1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>
      <c r="A1911" s="7">
        <v>1910</v>
      </c>
      <c r="B1911" s="1">
        <v>43370</v>
      </c>
      <c r="C1911" s="6" t="s">
        <v>13</v>
      </c>
      <c r="D1911" s="6" t="s">
        <v>42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42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>
      <c r="A1929" s="7">
        <v>1928</v>
      </c>
      <c r="B1929" s="1">
        <v>43374</v>
      </c>
      <c r="C1929" s="6" t="s">
        <v>42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42</v>
      </c>
      <c r="I1931" s="6">
        <f>TabJogos[[#This Row],[PontosTime1]]-TabJogos[[#This Row],[PontosTime2]]</f>
        <v>-5</v>
      </c>
    </row>
    <row r="1932" spans="1:9" ht="15" customHeight="1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42</v>
      </c>
      <c r="I1932" s="6">
        <f>TabJogos[[#This Row],[PontosTime1]]-TabJogos[[#This Row],[PontosTime2]]</f>
        <v>-2</v>
      </c>
    </row>
    <row r="1933" spans="1:9" ht="15" customHeight="1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42</v>
      </c>
      <c r="I1933" s="6">
        <f>TabJogos[[#This Row],[PontosTime1]]-TabJogos[[#This Row],[PontosTime2]]</f>
        <v>3</v>
      </c>
    </row>
    <row r="1934" spans="1:9" ht="15" customHeight="1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>
      <c r="A1935" s="7">
        <v>1934</v>
      </c>
      <c r="B1935" s="1">
        <v>43374</v>
      </c>
      <c r="C1935" s="6" t="s">
        <v>15</v>
      </c>
      <c r="D1935" s="6" t="s">
        <v>42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 xr3:uid="{958C4451-9541-5A59-BF78-D2F731DF1C81}">
      <pane ySplit="1" topLeftCell="A2" activePane="bottomLeft" state="frozenSplit"/>
      <selection pane="bottomLeft"/>
      <selection activeCell="F1" sqref="F1 F1"/>
    </sheetView>
  </sheetViews>
  <sheetFormatPr defaultColWidth="9.140625" defaultRowHeight="12.75" customHeight="1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>
      <c r="A1" s="11" t="s">
        <v>44</v>
      </c>
      <c r="B1" s="10" t="s">
        <v>45</v>
      </c>
      <c r="C1" s="10" t="s">
        <v>46</v>
      </c>
      <c r="D1" s="10" t="s">
        <v>47</v>
      </c>
      <c r="E1" s="10" t="s">
        <v>48</v>
      </c>
      <c r="F1" s="10" t="s">
        <v>49</v>
      </c>
      <c r="G1" s="10" t="s">
        <v>50</v>
      </c>
      <c r="H1" s="10" t="s">
        <v>51</v>
      </c>
      <c r="I1" s="30" t="s">
        <v>52</v>
      </c>
      <c r="J1" s="19" t="s">
        <v>53</v>
      </c>
      <c r="P1" s="5"/>
    </row>
    <row r="2" spans="1:16" s="5" customFormat="1" ht="12.75" customHeight="1">
      <c r="A2" s="3" t="s">
        <v>18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34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19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15</v>
      </c>
      <c r="E2" s="3">
        <f t="shared" ref="E2:E28" ca="1" si="0">C2-D2</f>
        <v>4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6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33</v>
      </c>
      <c r="H2" s="4">
        <f t="shared" ref="H2:H28" ca="1" si="1">IFERROR(C2/B2,-0.000001)</f>
        <v>0.55882352941176472</v>
      </c>
      <c r="I2" s="27">
        <f ca="1">IF(TabResultados3[[#This Row],[Jogos]]&lt;20,0,IF(TabResultados3[[#This Row],[Jogos]]&lt;=40,0.9+0.1*(TabResultados3[[#This Row],[Jogos]]-20)/20,1))</f>
        <v>0.97</v>
      </c>
      <c r="J2" s="22">
        <f ca="1">100*TabResultados3[[#This Row],[Aprov]]*TabResultados3[[#This Row],[KJogos]]</f>
        <v>54.205882352941174</v>
      </c>
      <c r="M2" s="15"/>
      <c r="N2" s="15"/>
    </row>
    <row r="3" spans="1:16" s="5" customFormat="1" ht="12.75" customHeight="1">
      <c r="A3" s="3" t="s">
        <v>11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37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24</v>
      </c>
      <c r="E3" s="3">
        <f t="shared" ca="1" si="0"/>
        <v>-11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-44</v>
      </c>
      <c r="H3" s="4">
        <f t="shared" ca="1" si="1"/>
        <v>0.35135135135135137</v>
      </c>
      <c r="I3" s="27">
        <f ca="1">IF(TabResultados3[[#This Row],[Jogos]]&lt;20,0,IF(TabResultados3[[#This Row],[Jogos]]&lt;=40,0.9+0.1*(TabResultados3[[#This Row],[Jogos]]-20)/20,1))</f>
        <v>0.98499999999999999</v>
      </c>
      <c r="J3" s="22">
        <f ca="1">100*TabResultados3[[#This Row],[Aprov]]*TabResultados3[[#This Row],[KJogos]]</f>
        <v>34.608108108108112</v>
      </c>
      <c r="L3" s="12" t="s">
        <v>54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>
      <c r="A4" s="3" t="s">
        <v>17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7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55</v>
      </c>
      <c r="M4" s="14">
        <f ca="1">EOMONTH(TODAY(),0)</f>
        <v>43404</v>
      </c>
    </row>
    <row r="5" spans="1:16" s="5" customFormat="1" ht="12.75" customHeight="1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33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19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14</v>
      </c>
      <c r="E5" s="3">
        <f t="shared" ca="1" si="0"/>
        <v>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2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0</v>
      </c>
      <c r="H5" s="4">
        <f t="shared" ca="1" si="1"/>
        <v>0.5757575757575758</v>
      </c>
      <c r="I5" s="27">
        <f ca="1">IF(TabResultados3[[#This Row],[Jogos]]&lt;20,0,IF(TabResultados3[[#This Row],[Jogos]]&lt;=40,0.9+0.1*(TabResultados3[[#This Row],[Jogos]]-20)/20,1))</f>
        <v>0.96500000000000008</v>
      </c>
      <c r="J5" s="22">
        <f ca="1">100*TabResultados3[[#This Row],[Aprov]]*TabResultados3[[#This Row],[KJogos]]</f>
        <v>55.560606060606069</v>
      </c>
      <c r="K5" s="28"/>
      <c r="M5" s="29"/>
      <c r="N5" s="29"/>
    </row>
    <row r="6" spans="1:16" s="5" customFormat="1" ht="12.75" customHeight="1">
      <c r="A6" s="3" t="s">
        <v>9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0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0</v>
      </c>
      <c r="H6" s="4">
        <f t="shared" ca="1" si="1"/>
        <v>-9.9999999999999995E-7</v>
      </c>
      <c r="I6" s="27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>
      <c r="A7" s="3" t="s">
        <v>13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23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16</v>
      </c>
      <c r="E7" s="3">
        <f t="shared" ca="1" si="0"/>
        <v>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18</v>
      </c>
      <c r="H7" s="4">
        <f t="shared" ca="1" si="1"/>
        <v>0.58974358974358976</v>
      </c>
      <c r="I7" s="27">
        <f ca="1">IF(TabResultados3[[#This Row],[Jogos]]&lt;20,0,IF(TabResultados3[[#This Row],[Jogos]]&lt;=40,0.9+0.1*(TabResultados3[[#This Row],[Jogos]]-20)/20,1))</f>
        <v>0.995</v>
      </c>
      <c r="J7" s="22">
        <f ca="1">100*TabResultados3[[#This Row],[Aprov]]*TabResultados3[[#This Row],[KJogos]]</f>
        <v>58.679487179487182</v>
      </c>
    </row>
    <row r="8" spans="1:16" s="5" customFormat="1" ht="12.75" customHeight="1">
      <c r="A8" s="3" t="s">
        <v>28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6</v>
      </c>
      <c r="E8" s="3">
        <f t="shared" ca="1" si="0"/>
        <v>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22</v>
      </c>
      <c r="H8" s="4">
        <f t="shared" ca="1" si="1"/>
        <v>0.66666666666666663</v>
      </c>
      <c r="I8" s="27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>
      <c r="A9" s="3" t="s">
        <v>29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7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28"/>
      <c r="M9" s="29"/>
      <c r="N9" s="29"/>
    </row>
    <row r="10" spans="1:16" s="5" customFormat="1" ht="12.75" customHeight="1">
      <c r="A10" s="3" t="s">
        <v>39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7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28"/>
      <c r="M10" s="29"/>
    </row>
    <row r="11" spans="1:16" s="5" customFormat="1" ht="12.75" customHeight="1">
      <c r="A11" s="3" t="s">
        <v>10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10</v>
      </c>
      <c r="E11" s="3">
        <f t="shared" ca="1" si="0"/>
        <v>-5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0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-15</v>
      </c>
      <c r="H11" s="4">
        <f t="shared" ca="1" si="1"/>
        <v>0.33333333333333331</v>
      </c>
      <c r="I11" s="27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>
      <c r="A12" s="3" t="s">
        <v>16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7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28"/>
      <c r="M12" s="29"/>
      <c r="N12" s="29"/>
    </row>
    <row r="13" spans="1:16" s="5" customFormat="1" ht="12.75" customHeight="1">
      <c r="A13" s="3" t="s">
        <v>12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5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-9</v>
      </c>
      <c r="H13" s="4">
        <f t="shared" ca="1" si="1"/>
        <v>0.2857142857142857</v>
      </c>
      <c r="I13" s="27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>
      <c r="A14" s="3" t="s">
        <v>27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9</v>
      </c>
      <c r="E14" s="3">
        <f t="shared" ca="1" si="0"/>
        <v>-3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</v>
      </c>
      <c r="H14" s="4">
        <f t="shared" ca="1" si="1"/>
        <v>0.4</v>
      </c>
      <c r="I14" s="27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>
      <c r="A15" s="3" t="s">
        <v>25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7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>
      <c r="A16" s="3" t="s">
        <v>37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7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>
      <c r="A17" s="3" t="s">
        <v>26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7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>
      <c r="A18" s="3" t="s">
        <v>30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7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>
      <c r="A19" s="3" t="s">
        <v>32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14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2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-7</v>
      </c>
      <c r="H19" s="4">
        <f t="shared" ca="1" si="1"/>
        <v>0.48275862068965519</v>
      </c>
      <c r="I19" s="27">
        <f ca="1">IF(TabResultados3[[#This Row],[Jogos]]&lt;20,0,IF(TabResultados3[[#This Row],[Jogos]]&lt;=40,0.9+0.1*(TabResultados3[[#This Row],[Jogos]]-20)/20,1))</f>
        <v>0.94500000000000006</v>
      </c>
      <c r="J19" s="22">
        <f ca="1">100*TabResultados3[[#This Row],[Aprov]]*TabResultados3[[#This Row],[KJogos]]</f>
        <v>45.620689655172413</v>
      </c>
    </row>
    <row r="20" spans="1:15" s="5" customFormat="1" ht="12.75" customHeight="1">
      <c r="A20" s="3" t="s">
        <v>14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7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>
      <c r="A21" s="3" t="s">
        <v>24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7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>
      <c r="A22" s="3" t="s">
        <v>23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>
      <c r="A23" s="3" t="s">
        <v>22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>
      <c r="A24" s="3" t="s">
        <v>20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>
      <c r="A26" s="3" t="s">
        <v>19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7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>
      <c r="A27" s="3" t="s">
        <v>33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>
      <c r="A28" s="3" t="s">
        <v>31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>
      <c r="A29" s="3"/>
      <c r="B29" s="3"/>
      <c r="C29" s="3"/>
      <c r="D29" s="3"/>
      <c r="E29" s="3"/>
      <c r="F29" s="17"/>
      <c r="G29" s="3"/>
      <c r="H29" s="4"/>
      <c r="I29" s="31"/>
      <c r="J29" s="20"/>
      <c r="K29" s="5"/>
      <c r="L29" s="5"/>
      <c r="M29" s="5"/>
      <c r="N29" s="5"/>
      <c r="O29" s="5"/>
    </row>
    <row r="30" spans="1:15" s="8" customFormat="1" ht="12.75" customHeight="1">
      <c r="A30" s="3"/>
      <c r="B30" s="3"/>
      <c r="C30" s="3"/>
      <c r="D30" s="3"/>
      <c r="E30" s="3"/>
      <c r="F30" s="17"/>
      <c r="G30" s="3"/>
      <c r="H30" s="4"/>
      <c r="I30" s="31"/>
      <c r="J30" s="20"/>
      <c r="K30" s="5"/>
      <c r="L30" s="5"/>
      <c r="M30" s="5"/>
      <c r="N30" s="5"/>
      <c r="O30" s="5"/>
    </row>
    <row r="31" spans="1:15" s="8" customFormat="1" ht="12.75" customHeight="1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2018-10-04T19:05:23Z</dcterms:modified>
  <cp:category/>
  <cp:contentStatus/>
</cp:coreProperties>
</file>
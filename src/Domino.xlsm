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23891CAA-C20C-4114-9C47-C4F4B070A6B9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<sst xmlns="http://schemas.openxmlformats.org/spreadsheetml/2006/main" count="11590" uniqueCount="58">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</sst>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886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886"/>
  <sheetViews>
    <sheetView tabSelected="1" zoomScale="80" zoomScaleNormal="80" workbookViewId="0">
      <pane ySplit="1" topLeftCell="A2847" activePane="bottomLeft" state="frozenSplit"/>
      <selection activeCell="D1" sqref="D1 D1"/>
      <selection pane="bottomLeft" activeCell="A2886" sqref="A2886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572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309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263</v>
      </c>
      <c r="E3" s="3">
        <f t="shared" ca="1" si="0"/>
        <v>46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127</v>
      </c>
      <c r="H3" s="4">
        <f t="shared" ca="1" si="1"/>
        <v>0.54020979020979021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54.02097902097902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436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231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205</v>
      </c>
      <c r="E4" s="3">
        <f t="shared" ca="1" si="0"/>
        <v>26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44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87</v>
      </c>
      <c r="H4" s="4">
        <f t="shared" ca="1" si="1"/>
        <v>0.52981651376146788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52.981651376146786</v>
      </c>
      <c r="L4" s="12" t="s">
        <v>54</v>
      </c>
      <c r="M4" s="14">
        <f ca="1">EOMONTH(TODAY(),0)</f>
        <v>43524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1307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596</v>
      </c>
      <c r="E5" s="3">
        <f t="shared" ca="1" si="0"/>
        <v>115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397</v>
      </c>
      <c r="H5" s="4">
        <f t="shared" ca="1" si="1"/>
        <v>0.54399387911247132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54.399387911247132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858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464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394</v>
      </c>
      <c r="E6" s="3">
        <f t="shared" ca="1" si="0"/>
        <v>70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64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184</v>
      </c>
      <c r="H6" s="4">
        <f t="shared" ca="1" si="1"/>
        <v>0.5407925407925408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54.079254079254078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352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170</v>
      </c>
      <c r="E7" s="3">
        <f t="shared" ca="1" si="0"/>
        <v>12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40</v>
      </c>
      <c r="H7" s="4">
        <f t="shared" ca="1" si="1"/>
        <v>0.51704545454545459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51.70454545454546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1790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935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855</v>
      </c>
      <c r="E8" s="3">
        <f t="shared" ca="1" si="0"/>
        <v>80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128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365</v>
      </c>
      <c r="H8" s="4">
        <f t="shared" ca="1" si="1"/>
        <v>0.52234636871508378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52.234636871508378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1502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759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743</v>
      </c>
      <c r="E9" s="3">
        <f t="shared" ca="1" si="0"/>
        <v>16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101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46</v>
      </c>
      <c r="H9" s="4">
        <f t="shared" ca="1" si="1"/>
        <v>0.5053262316910786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50.532623169107858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740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362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378</v>
      </c>
      <c r="E10" s="3">
        <f t="shared" ca="1" si="0"/>
        <v>-16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-57</v>
      </c>
      <c r="H10" s="4">
        <f t="shared" ca="1" si="1"/>
        <v>0.48918918918918919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48.918918918918919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688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337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351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46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-42</v>
      </c>
      <c r="H12" s="4">
        <f t="shared" ca="1" si="1"/>
        <v>0.48982558139534882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48.982558139534881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302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151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151</v>
      </c>
      <c r="E14" s="3">
        <f t="shared" ca="1" si="0"/>
        <v>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22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-17</v>
      </c>
      <c r="H14" s="4">
        <f t="shared" ca="1" si="1"/>
        <v>0.5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348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154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194</v>
      </c>
      <c r="E15" s="3">
        <f t="shared" ca="1" si="0"/>
        <v>-40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-123</v>
      </c>
      <c r="H15" s="4">
        <f t="shared" ca="1" si="1"/>
        <v>0.44252873563218392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44.252873563218394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1513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643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870</v>
      </c>
      <c r="E17" s="3">
        <f t="shared" ca="1" si="0"/>
        <v>-227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83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-835</v>
      </c>
      <c r="H17" s="4">
        <f t="shared" ca="1" si="1"/>
        <v>0.42498347653668211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42.498347653668212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358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143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215</v>
      </c>
      <c r="E18" s="3">
        <f t="shared" ca="1" si="0"/>
        <v>-72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-222</v>
      </c>
      <c r="H18" s="4">
        <f t="shared" ca="1" si="1"/>
        <v>0.3994413407821229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39.944134078212286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39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22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17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16</v>
      </c>
      <c r="H21" s="4">
        <f t="shared" ca="1" si="1"/>
        <v>0.5641025641025641</v>
      </c>
      <c r="I21" s="27">
        <f ca="1">IF(TabResultados3[[#This Row],[Jogos]]&lt;20,0,IF(TabResultados3[[#This Row],[Jogos]]&lt;=40,0.9+0.1*(TabResultados3[[#This Row],[Jogos]]-20)/20,1))</f>
        <v>0.995</v>
      </c>
      <c r="J21" s="22">
        <f ca="1">100*TabResultados3[[#This Row],[Aprov]]*TabResultados3[[#This Row],[KJogos]]</f>
        <v>56.128205128205124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2019-02-25T18:06:51Z</dcterms:modified>
  <cp:category/>
  <cp:contentStatus/>
</cp:coreProperties>
</file>
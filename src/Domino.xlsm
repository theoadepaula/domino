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93BC66C4-C851-486C-84A7-66DE5D211999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<sst xmlns="http://schemas.openxmlformats.org/spreadsheetml/2006/main" count="7308" uniqueCount="55">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</sst>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816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816"/>
  <sheetViews>
    <sheetView tabSelected="1" zoomScale="80" zoomScaleNormal="80" workbookViewId="0">
      <pane ySplit="1" topLeftCell="A1783" activePane="bottomLeft" state="frozenSplit"/>
      <selection activeCell="D1" sqref="D1 D1"/>
      <selection pane="bottomLeft" activeCell="F1816" sqref="F181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69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31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38</v>
      </c>
      <c r="E2" s="3">
        <f t="shared" ref="E2:E28" ca="1" si="0">C2-D2</f>
        <v>-7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-31</v>
      </c>
      <c r="H2" s="4">
        <f t="shared" ref="H2:H28" ca="1" si="1">IFERROR(C2/B2,-0.000001)</f>
        <v>0.44927536231884058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44.927536231884055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102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56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46</v>
      </c>
      <c r="E3" s="3">
        <f t="shared" ca="1" si="0"/>
        <v>10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29</v>
      </c>
      <c r="H3" s="4">
        <f t="shared" ca="1" si="1"/>
        <v>0.5490196078431373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54.901960784313729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76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44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32</v>
      </c>
      <c r="E5" s="3">
        <f t="shared" ca="1" si="0"/>
        <v>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6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34</v>
      </c>
      <c r="H5" s="4">
        <f t="shared" ca="1" si="1"/>
        <v>0.57894736842105265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57.894736842105267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5</v>
      </c>
      <c r="H6" s="4">
        <f t="shared" ca="1" si="1"/>
        <v>0.5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65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29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36</v>
      </c>
      <c r="E7" s="3">
        <f t="shared" ca="1" si="0"/>
        <v>-7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-30</v>
      </c>
      <c r="H7" s="4">
        <f t="shared" ca="1" si="1"/>
        <v>0.44615384615384618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44.61538461538462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18</v>
      </c>
      <c r="E8" s="3">
        <f t="shared" ca="1" si="0"/>
        <v>-7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-9</v>
      </c>
      <c r="H8" s="4">
        <f t="shared" ca="1" si="1"/>
        <v>0.37931034482758619</v>
      </c>
      <c r="I8" s="29">
        <f ca="1">IF(TabResultados3[[#This Row],[Jogos]]&lt;20,0,IF(TabResultados3[[#This Row],[Jogos]]&lt;=40,0.9+0.1*(TabResultados3[[#This Row],[Jogos]]-20)/20,1))</f>
        <v>0.94500000000000006</v>
      </c>
      <c r="J8" s="22">
        <f ca="1">100*TabResultados3[[#This Row],[Aprov]]*TabResultados3[[#This Row],[KJogos]]</f>
        <v>35.844827586206897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11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8</v>
      </c>
      <c r="E13" s="3">
        <f t="shared" ca="1" si="0"/>
        <v>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1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16</v>
      </c>
      <c r="H13" s="4">
        <f t="shared" ca="1" si="1"/>
        <v>0.57894736842105265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25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11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14</v>
      </c>
      <c r="E14" s="3">
        <f t="shared" ca="1" si="0"/>
        <v>-3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-21</v>
      </c>
      <c r="H14" s="4">
        <f t="shared" ca="1" si="1"/>
        <v>0.44</v>
      </c>
      <c r="I14" s="29">
        <f ca="1">IF(TabResultados3[[#This Row],[Jogos]]&lt;20,0,IF(TabResultados3[[#This Row],[Jogos]]&lt;=40,0.9+0.1*(TabResultados3[[#This Row],[Jogos]]-20)/20,1))</f>
        <v>0.92500000000000004</v>
      </c>
      <c r="J14" s="22">
        <f ca="1">100*TabResultados3[[#This Row],[Aprov]]*TabResultados3[[#This Row],[KJogos]]</f>
        <v>40.700000000000003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47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29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18</v>
      </c>
      <c r="E19" s="3">
        <f t="shared" ca="1" si="0"/>
        <v>11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4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30</v>
      </c>
      <c r="H19" s="4">
        <f t="shared" ca="1" si="1"/>
        <v>0.61702127659574468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61.702127659574465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2018-09-18T18:10:54Z</dcterms:modified>
</cp:coreProperties>
</file>
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367E8182-194E-4DF3-BD6E-0CCA118A97C4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<sst xmlns="http://schemas.openxmlformats.org/spreadsheetml/2006/main" count="8760" uniqueCount="56">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</sst>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179" totalsRowShown="0" headerRowDxfId="10" dataDxfId="9">
  <tableColumns count="9">
    <tableColumn id="1" xr3:uid="{00000000-0010-0000-0000-000001000000}" name="IdJogo" dataDxfId="8"/>
    <tableColumn id="2" xr3:uid="{00000000-0010-0000-0000-000002000000}" name="DataJogo" dataDxfId="7"/>
    <tableColumn id="3" xr3:uid="{00000000-0010-0000-0000-000003000000}" name="Time1Jogador1" dataDxfId="6"/>
    <tableColumn id="4" xr3:uid="{00000000-0010-0000-0000-000004000000}" name="Time1Jogador2" dataDxfId="5"/>
    <tableColumn id="5" xr3:uid="{00000000-0010-0000-0000-000005000000}" name="PontosTime1" dataDxfId="4"/>
    <tableColumn id="6" xr3:uid="{00000000-0010-0000-0000-000006000000}" name="PontosTime2" dataDxfId="3"/>
    <tableColumn id="7" xr3:uid="{00000000-0010-0000-0000-000007000000}" name="Time2Jogador1" dataDxfId="2"/>
    <tableColumn id="8" xr3:uid="{00000000-0010-0000-0000-000008000000}" name="Time2Jogador2" dataDxfId="1"/>
    <tableColumn id="9" xr3:uid="{00000000-0010-0000-0000-000009000000}" name="SaldoPt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13">
      <calculatedColumnFormula>IFERROR(C2/B2,-0.000001)</calculatedColumnFormula>
    </tableColumn>
    <tableColumn id="15" xr3:uid="{00000000-0010-0000-0100-00000F000000}" name="KJogos" dataDxfId="12">
      <calculatedColumnFormula>_xlfn.FORECAST.LINEAR(TabResultados3[[#This Row],[Jogos]],$N$10:$N$11,$M$9:$M$11)</calculatedColumnFormula>
    </tableColumn>
    <tableColumn id="9" xr3:uid="{00000000-0010-0000-0100-000009000000}" name="Pontuação" dataDxfId="1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179"/>
  <sheetViews>
    <sheetView tabSelected="1" zoomScale="80" zoomScaleNormal="80" workbookViewId="0">
      <pane ySplit="1" topLeftCell="A2154" activePane="bottomLeft" state="frozenSplit"/>
      <selection activeCell="D1" sqref="D1 D1"/>
      <selection pane="bottomLeft" activeCell="A2179" sqref="A217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147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79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68</v>
      </c>
      <c r="E2" s="3">
        <f t="shared" ref="E2:E28" ca="1" si="0">C2-D2</f>
        <v>11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11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48</v>
      </c>
      <c r="H2" s="4">
        <f t="shared" ref="H2:H28" ca="1" si="1">IFERROR(C2/B2,-0.000001)</f>
        <v>0.5374149659863946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53.741496598639458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150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63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87</v>
      </c>
      <c r="E3" s="3">
        <f t="shared" ca="1" si="0"/>
        <v>-24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-96</v>
      </c>
      <c r="H3" s="4">
        <f t="shared" ca="1" si="1"/>
        <v>0.42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42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73</v>
      </c>
      <c r="E5" s="3">
        <f t="shared" ca="1" si="0"/>
        <v>-15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-72</v>
      </c>
      <c r="H5" s="4">
        <f t="shared" ca="1" si="1"/>
        <v>0.44274809160305345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44.274809160305345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55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26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29</v>
      </c>
      <c r="E6" s="3">
        <f t="shared" ca="1" si="0"/>
        <v>-3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3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4</v>
      </c>
      <c r="H6" s="4">
        <f t="shared" ca="1" si="1"/>
        <v>0.47272727272727272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47.272727272727273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143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76</v>
      </c>
      <c r="E7" s="3">
        <f t="shared" ca="1" si="0"/>
        <v>-9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10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-38</v>
      </c>
      <c r="H7" s="4">
        <f t="shared" ca="1" si="1"/>
        <v>0.46853146853146854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46.853146853146853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63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27</v>
      </c>
      <c r="E8" s="3">
        <f t="shared" ca="1" si="0"/>
        <v>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13</v>
      </c>
      <c r="H8" s="4">
        <f t="shared" ca="1" si="1"/>
        <v>0.5714285714285714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57.142857142857139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-3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</v>
      </c>
      <c r="H10" s="4">
        <f t="shared" ca="1" si="1"/>
        <v>0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64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33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31</v>
      </c>
      <c r="E11" s="3">
        <f t="shared" ca="1" si="0"/>
        <v>2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7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32</v>
      </c>
      <c r="H11" s="4">
        <f t="shared" ca="1" si="1"/>
        <v>0.515625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51.5625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21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13</v>
      </c>
      <c r="E13" s="3">
        <f t="shared" ca="1" si="0"/>
        <v>-5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-11</v>
      </c>
      <c r="H13" s="4">
        <f t="shared" ca="1" si="1"/>
        <v>0.38095238095238093</v>
      </c>
      <c r="I13" s="29">
        <f ca="1">IF(TabResultados3[[#This Row],[Jogos]]&lt;20,0,IF(TabResultados3[[#This Row],[Jogos]]&lt;=40,0.9+0.1*(TabResultados3[[#This Row],[Jogos]]-20)/20,1))</f>
        <v>0.90500000000000003</v>
      </c>
      <c r="J13" s="22">
        <f ca="1">100*TabResultados3[[#This Row],[Aprov]]*TabResultados3[[#This Row],[KJogos]]</f>
        <v>34.476190476190474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29</v>
      </c>
      <c r="E14" s="3">
        <f t="shared" ca="1" si="0"/>
        <v>18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70</v>
      </c>
      <c r="H14" s="4">
        <f t="shared" ca="1" si="1"/>
        <v>0.61842105263157898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61.842105263157897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131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75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56</v>
      </c>
      <c r="E19" s="3">
        <f t="shared" ca="1" si="0"/>
        <v>19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13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65</v>
      </c>
      <c r="H19" s="4">
        <f t="shared" ca="1" si="1"/>
        <v>0.5725190839694656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57.251908396946561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14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2018-10-23T17:44:10Z</dcterms:modified>
</cp:coreProperties>
</file>
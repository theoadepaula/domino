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82981DC9-0A84-44F2-B0DF-030EC07967B3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<sst xmlns="http://schemas.openxmlformats.org/spreadsheetml/2006/main" count="7200" uniqueCount="55">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</sst>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789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789"/>
  <sheetViews>
    <sheetView tabSelected="1" zoomScale="80" zoomScaleNormal="80" workbookViewId="0">
      <pane ySplit="1" topLeftCell="A1744" activePane="bottomLeft" state="frozenSplit"/>
      <selection activeCell="D1" sqref="D1 D1"/>
      <selection pane="bottomLeft" activeCell="I1789" sqref="I1789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59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26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33</v>
      </c>
      <c r="E2" s="3">
        <f t="shared" ref="E2:E28" ca="1" si="0">C2-D2</f>
        <v>-7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2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-24</v>
      </c>
      <c r="H2" s="4">
        <f t="shared" ref="H2:H28" ca="1" si="1">IFERROR(C2/B2,-0.000001)</f>
        <v>0.44067796610169491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44.067796610169488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81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33</v>
      </c>
      <c r="E3" s="3">
        <f t="shared" ca="1" si="0"/>
        <v>15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7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57</v>
      </c>
      <c r="H3" s="4">
        <f t="shared" ca="1" si="1"/>
        <v>0.59259259259259256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59.259259259259252</v>
      </c>
      <c r="L3" s="12" t="s">
        <v>36</v>
      </c>
      <c r="M3" s="14">
        <f ca="1">IF(DAY(TODAY())&lt;=3,DATE(YEAR(TODAY()),MONTH(TODAY())-1,1),DATE(YEAR(TODAY()),MONTH(TODAY()),1))</f>
        <v>43344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43373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55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33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22</v>
      </c>
      <c r="E5" s="3">
        <f t="shared" ca="1" si="0"/>
        <v>11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4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23</v>
      </c>
      <c r="H5" s="4">
        <f t="shared" ca="1" si="1"/>
        <v>0.6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60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</v>
      </c>
      <c r="E6" s="3">
        <f t="shared" ca="1" si="0"/>
        <v>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5</v>
      </c>
      <c r="H6" s="4">
        <f t="shared" ca="1" si="1"/>
        <v>0.5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49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21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28</v>
      </c>
      <c r="E7" s="3">
        <f t="shared" ca="1" si="0"/>
        <v>-7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2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-30</v>
      </c>
      <c r="H7" s="4">
        <f t="shared" ca="1" si="1"/>
        <v>0.42857142857142855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42.857142857142854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26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9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17</v>
      </c>
      <c r="E8" s="3">
        <f t="shared" ca="1" si="0"/>
        <v>-8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-12</v>
      </c>
      <c r="H8" s="4">
        <f t="shared" ca="1" si="1"/>
        <v>0.34615384615384615</v>
      </c>
      <c r="I8" s="29">
        <f ca="1">IF(TabResultados3[[#This Row],[Jogos]]&lt;20,0,IF(TabResultados3[[#This Row],[Jogos]]&lt;=40,0.9+0.1*(TabResultados3[[#This Row],[Jogos]]-20)/20,1))</f>
        <v>0.93</v>
      </c>
      <c r="J8" s="22">
        <f ca="1">100*TabResultados3[[#This Row],[Aprov]]*TabResultados3[[#This Row],[KJogos]]</f>
        <v>32.192307692307693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</v>
      </c>
      <c r="E10" s="3">
        <f t="shared" ca="1" si="0"/>
        <v>-1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-3</v>
      </c>
      <c r="H10" s="4">
        <f t="shared" ca="1" si="1"/>
        <v>0.4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16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11</v>
      </c>
      <c r="E11" s="3">
        <f t="shared" ca="1" si="0"/>
        <v>-6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1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-17</v>
      </c>
      <c r="H11" s="4">
        <f t="shared" ca="1" si="1"/>
        <v>0.3125</v>
      </c>
      <c r="I11" s="29">
        <f ca="1">IF(TabResultados3[[#This Row],[Jogos]]&lt;20,0,IF(TabResultados3[[#This Row],[Jogos]]&lt;=40,0.9+0.1*(TabResultados3[[#This Row],[Jogos]]-20)/20,1))</f>
        <v>0</v>
      </c>
      <c r="J11" s="22">
        <f ca="1">100*TabResultados3[[#This Row],[Aprov]]*TabResultados3[[#This Row],[KJogos]]</f>
        <v>0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13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7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6</v>
      </c>
      <c r="E13" s="3">
        <f t="shared" ca="1" si="0"/>
        <v>1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1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10</v>
      </c>
      <c r="H13" s="4">
        <f t="shared" ca="1" si="1"/>
        <v>0.53846153846153844</v>
      </c>
      <c r="I13" s="29">
        <f ca="1">IF(TabResultados3[[#This Row],[Jogos]]&lt;20,0,IF(TabResultados3[[#This Row],[Jogos]]&lt;=40,0.9+0.1*(TabResultados3[[#This Row],[Jogos]]-20)/20,1))</f>
        <v>0</v>
      </c>
      <c r="J13" s="22">
        <f ca="1">100*TabResultados3[[#This Row],[Aprov]]*TabResultados3[[#This Row],[KJogos]]</f>
        <v>0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18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7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11</v>
      </c>
      <c r="E14" s="3">
        <f t="shared" ca="1" si="0"/>
        <v>-4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-20</v>
      </c>
      <c r="H14" s="4">
        <f t="shared" ca="1" si="1"/>
        <v>0.3888888888888889</v>
      </c>
      <c r="I14" s="29">
        <f ca="1">IF(TabResultados3[[#This Row],[Jogos]]&lt;20,0,IF(TabResultados3[[#This Row],[Jogos]]&lt;=40,0.9+0.1*(TabResultados3[[#This Row],[Jogos]]-20)/20,1))</f>
        <v>0</v>
      </c>
      <c r="J14" s="22">
        <f ca="1">100*TabResultados3[[#This Row],[Aprov]]*TabResultados3[[#This Row],[KJogos]]</f>
        <v>0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29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18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11</v>
      </c>
      <c r="E19" s="3">
        <f t="shared" ca="1" si="0"/>
        <v>7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1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8</v>
      </c>
      <c r="H19" s="4">
        <f t="shared" ca="1" si="1"/>
        <v>0.62068965517241381</v>
      </c>
      <c r="I19" s="29">
        <f ca="1">IF(TabResultados3[[#This Row],[Jogos]]&lt;20,0,IF(TabResultados3[[#This Row],[Jogos]]&lt;=40,0.9+0.1*(TabResultados3[[#This Row],[Jogos]]-20)/20,1))</f>
        <v>0.94500000000000006</v>
      </c>
      <c r="J19" s="22">
        <f ca="1">100*TabResultados3[[#This Row],[Aprov]]*TabResultados3[[#This Row],[KJogos]]</f>
        <v>58.65517241379311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2018-09-14T18:16:39Z</dcterms:modified>
</cp:coreProperties>
</file>
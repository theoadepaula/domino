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7A50D78D-F84D-4B19-8382-64C3E3879714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<sst xmlns="http://schemas.openxmlformats.org/spreadsheetml/2006/main" count="11730" uniqueCount="58">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</sst>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92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921"/>
  <sheetViews>
    <sheetView tabSelected="1" zoomScale="80" zoomScaleNormal="80" workbookViewId="0">
      <pane ySplit="1" topLeftCell="A2880" activePane="bottomLeft" state="frozenSplit"/>
      <selection activeCell="D1" sqref="D1 D1"/>
      <selection pane="bottomLeft" activeCell="A2921" sqref="A292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587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320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267</v>
      </c>
      <c r="E3" s="3">
        <f t="shared" ca="1" si="0"/>
        <v>53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38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138</v>
      </c>
      <c r="H3" s="4">
        <f t="shared" ca="1" si="1"/>
        <v>0.54514480408858601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54.514480408858603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448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237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211</v>
      </c>
      <c r="E4" s="3">
        <f t="shared" ca="1" si="0"/>
        <v>26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45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91</v>
      </c>
      <c r="H4" s="4">
        <f t="shared" ca="1" si="1"/>
        <v>0.5290178571428571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52.901785714285708</v>
      </c>
      <c r="L4" s="12" t="s">
        <v>54</v>
      </c>
      <c r="M4" s="14">
        <f ca="1">EOMONTH(TODAY(),0)</f>
        <v>43555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1307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596</v>
      </c>
      <c r="E5" s="3">
        <f t="shared" ca="1" si="0"/>
        <v>115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99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397</v>
      </c>
      <c r="H5" s="4">
        <f t="shared" ca="1" si="1"/>
        <v>0.54399387911247132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54.399387911247132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874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471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403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64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183</v>
      </c>
      <c r="H6" s="4">
        <f t="shared" ca="1" si="1"/>
        <v>0.5389016018306636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53.890160183066357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352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170</v>
      </c>
      <c r="E7" s="3">
        <f t="shared" ca="1" si="0"/>
        <v>12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40</v>
      </c>
      <c r="H7" s="4">
        <f t="shared" ca="1" si="1"/>
        <v>0.51704545454545459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51.70454545454546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1810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947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863</v>
      </c>
      <c r="E8" s="3">
        <f t="shared" ca="1" si="0"/>
        <v>84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128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369</v>
      </c>
      <c r="H8" s="4">
        <f t="shared" ca="1" si="1"/>
        <v>0.52320441988950273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52.320441988950272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1524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771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753</v>
      </c>
      <c r="E9" s="3">
        <f t="shared" ca="1" si="0"/>
        <v>18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101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40</v>
      </c>
      <c r="H9" s="4">
        <f t="shared" ca="1" si="1"/>
        <v>0.50590551181102361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50.590551181102363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745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364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381</v>
      </c>
      <c r="E10" s="3">
        <f t="shared" ca="1" si="0"/>
        <v>-17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45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-62</v>
      </c>
      <c r="H10" s="4">
        <f t="shared" ca="1" si="1"/>
        <v>0.48859060402684562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48.859060402684563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688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337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351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46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-42</v>
      </c>
      <c r="H12" s="4">
        <f t="shared" ca="1" si="1"/>
        <v>0.48982558139534882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48.982558139534881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318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158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160</v>
      </c>
      <c r="E14" s="3">
        <f t="shared" ca="1" si="0"/>
        <v>-2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23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-10</v>
      </c>
      <c r="H14" s="4">
        <f t="shared" ca="1" si="1"/>
        <v>0.49685534591194969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49.685534591194966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353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155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198</v>
      </c>
      <c r="E15" s="3">
        <f t="shared" ca="1" si="0"/>
        <v>-43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21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-134</v>
      </c>
      <c r="H15" s="4">
        <f t="shared" ca="1" si="1"/>
        <v>0.43909348441926344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43.90934844192634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1542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655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887</v>
      </c>
      <c r="E17" s="3">
        <f t="shared" ca="1" si="0"/>
        <v>-232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83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-838</v>
      </c>
      <c r="H17" s="4">
        <f t="shared" ca="1" si="1"/>
        <v>0.42477302204928663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42.477302204928662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358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143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215</v>
      </c>
      <c r="E18" s="3">
        <f t="shared" ca="1" si="0"/>
        <v>-72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17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-222</v>
      </c>
      <c r="H18" s="4">
        <f t="shared" ca="1" si="1"/>
        <v>0.3994413407821229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39.944134078212286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39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22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17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16</v>
      </c>
      <c r="H21" s="4">
        <f t="shared" ca="1" si="1"/>
        <v>0.5641025641025641</v>
      </c>
      <c r="I21" s="27">
        <f ca="1">IF(TabResultados3[[#This Row],[Jogos]]&lt;20,0,IF(TabResultados3[[#This Row],[Jogos]]&lt;=40,0.9+0.1*(TabResultados3[[#This Row],[Jogos]]-20)/20,1))</f>
        <v>0.995</v>
      </c>
      <c r="J21" s="22">
        <f ca="1">100*TabResultados3[[#This Row],[Aprov]]*TabResultados3[[#This Row],[KJogos]]</f>
        <v>56.128205128205124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2019-03-01T18:10:49Z</dcterms:modified>
  <cp:category/>
  <cp:contentStatus/>
</cp:coreProperties>
</file>
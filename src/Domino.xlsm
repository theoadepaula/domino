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5A52B24A-4154-430D-BC4C-ED75408EF620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<sst xmlns="http://schemas.openxmlformats.org/spreadsheetml/2006/main" count="7596" uniqueCount="56">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</sst>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888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888"/>
  <sheetViews>
    <sheetView tabSelected="1" zoomScale="80" zoomScaleNormal="80" workbookViewId="0">
      <pane ySplit="1" topLeftCell="A1854" activePane="bottomLeft" state="frozenSplit"/>
      <selection activeCell="D1" sqref="D1 D1"/>
      <selection pane="bottomLeft" activeCell="A1888" sqref="A1888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91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39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52</v>
      </c>
      <c r="E2" s="3">
        <f t="shared" ref="E2:E28" ca="1" si="0">C2-D2</f>
        <v>-13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-51</v>
      </c>
      <c r="H2" s="4">
        <f t="shared" ref="H2:H28" ca="1" si="1">IFERROR(C2/B2,-0.000001)</f>
        <v>0.42857142857142855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42.857142857142854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147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86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61</v>
      </c>
      <c r="E3" s="3">
        <f t="shared" ca="1" si="0"/>
        <v>25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11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55</v>
      </c>
      <c r="H3" s="4">
        <f t="shared" ca="1" si="1"/>
        <v>0.58503401360544216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58.503401360544217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122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68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54</v>
      </c>
      <c r="E5" s="3">
        <f t="shared" ca="1" si="0"/>
        <v>14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44</v>
      </c>
      <c r="H5" s="4">
        <f t="shared" ca="1" si="1"/>
        <v>0.55737704918032782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55.737704918032783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10</v>
      </c>
      <c r="E6" s="3">
        <f t="shared" ca="1" si="0"/>
        <v>-5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-8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110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49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61</v>
      </c>
      <c r="E7" s="3">
        <f t="shared" ca="1" si="0"/>
        <v>-12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6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-50</v>
      </c>
      <c r="H7" s="4">
        <f t="shared" ca="1" si="1"/>
        <v>0.44545454545454544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44.545454545454547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49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24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25</v>
      </c>
      <c r="E8" s="3">
        <f t="shared" ca="1" si="0"/>
        <v>-1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18</v>
      </c>
      <c r="H8" s="4">
        <f t="shared" ca="1" si="1"/>
        <v>0.48979591836734693</v>
      </c>
      <c r="I8" s="29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48.979591836734691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25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8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17</v>
      </c>
      <c r="E11" s="3">
        <f t="shared" ca="1" si="0"/>
        <v>-9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-26</v>
      </c>
      <c r="H11" s="4">
        <f t="shared" ca="1" si="1"/>
        <v>0.32</v>
      </c>
      <c r="I11" s="29">
        <f ca="1">IF(TabResultados3[[#This Row],[Jogos]]&lt;20,0,IF(TabResultados3[[#This Row],[Jogos]]&lt;=40,0.9+0.1*(TabResultados3[[#This Row],[Jogos]]-20)/20,1))</f>
        <v>0.92500000000000004</v>
      </c>
      <c r="J11" s="22">
        <f ca="1">100*TabResultados3[[#This Row],[Aprov]]*TabResultados3[[#This Row],[KJogos]]</f>
        <v>29.6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33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15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18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2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-2</v>
      </c>
      <c r="H13" s="4">
        <f t="shared" ca="1" si="1"/>
        <v>0.45454545454545453</v>
      </c>
      <c r="I13" s="29">
        <f ca="1">IF(TabResultados3[[#This Row],[Jogos]]&lt;20,0,IF(TabResultados3[[#This Row],[Jogos]]&lt;=40,0.9+0.1*(TabResultados3[[#This Row],[Jogos]]-20)/20,1))</f>
        <v>0.96500000000000008</v>
      </c>
      <c r="J13" s="22">
        <f ca="1">100*TabResultados3[[#This Row],[Aprov]]*TabResultados3[[#This Row],[KJogos]]</f>
        <v>43.863636363636367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32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22</v>
      </c>
      <c r="E14" s="3">
        <f t="shared" ca="1" si="0"/>
        <v>10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33</v>
      </c>
      <c r="H14" s="4">
        <f t="shared" ca="1" si="1"/>
        <v>0.59259259259259256</v>
      </c>
      <c r="I14" s="29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59.259259259259252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79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42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37</v>
      </c>
      <c r="E19" s="3">
        <f t="shared" ca="1" si="0"/>
        <v>5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8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7</v>
      </c>
      <c r="H19" s="4">
        <f t="shared" ca="1" si="1"/>
        <v>0.53164556962025311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53.164556962025308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2018-09-25T17:58:55Z</dcterms:modified>
</cp:coreProperties>
</file>
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C6BFB9CB-62E7-49DB-B067-6856FAC535B5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<sst xmlns="http://schemas.openxmlformats.org/spreadsheetml/2006/main" count="7416" uniqueCount="55">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</sst>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843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843"/>
  <sheetViews>
    <sheetView tabSelected="1" zoomScale="80" zoomScaleNormal="80" workbookViewId="0">
      <pane ySplit="1" topLeftCell="A1802" activePane="bottomLeft" state="frozenSplit"/>
      <selection activeCell="D1" sqref="D1 D1"/>
      <selection pane="bottomLeft" activeCell="A1843" sqref="A1843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73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32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41</v>
      </c>
      <c r="E2" s="3">
        <f t="shared" ref="E2:E28" ca="1" si="0">C2-D2</f>
        <v>-9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2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-38</v>
      </c>
      <c r="H2" s="4">
        <f t="shared" ref="H2:H28" ca="1" si="1">IFERROR(C2/B2,-0.000001)</f>
        <v>0.43835616438356162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43.835616438356162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116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65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51</v>
      </c>
      <c r="E3" s="3">
        <f t="shared" ca="1" si="0"/>
        <v>14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32</v>
      </c>
      <c r="H3" s="4">
        <f t="shared" ca="1" si="1"/>
        <v>0.56034482758620685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56.034482758620683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43373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95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50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45</v>
      </c>
      <c r="E5" s="3">
        <f t="shared" ca="1" si="0"/>
        <v>5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8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11</v>
      </c>
      <c r="H5" s="4">
        <f t="shared" ca="1" si="1"/>
        <v>0.52631578947368418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52.631578947368418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11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7</v>
      </c>
      <c r="E6" s="3">
        <f t="shared" ca="1" si="0"/>
        <v>-3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-2</v>
      </c>
      <c r="H6" s="4">
        <f t="shared" ca="1" si="1"/>
        <v>0.36363636363636365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86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39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47</v>
      </c>
      <c r="E7" s="3">
        <f t="shared" ca="1" si="0"/>
        <v>-8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5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-37</v>
      </c>
      <c r="H7" s="4">
        <f t="shared" ca="1" si="1"/>
        <v>0.45348837209302323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45.348837209302324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39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17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22</v>
      </c>
      <c r="E8" s="3">
        <f t="shared" ca="1" si="0"/>
        <v>-5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1</v>
      </c>
      <c r="H8" s="4">
        <f t="shared" ca="1" si="1"/>
        <v>0.4358974358974359</v>
      </c>
      <c r="I8" s="29">
        <f ca="1">IF(TabResultados3[[#This Row],[Jogos]]&lt;20,0,IF(TabResultados3[[#This Row],[Jogos]]&lt;=40,0.9+0.1*(TabResultados3[[#This Row],[Jogos]]-20)/20,1))</f>
        <v>0.995</v>
      </c>
      <c r="J8" s="22">
        <f ca="1">100*TabResultados3[[#This Row],[Aprov]]*TabResultados3[[#This Row],[KJogos]]</f>
        <v>43.371794871794876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</v>
      </c>
      <c r="H10" s="4">
        <f t="shared" ca="1" si="1"/>
        <v>0.4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16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11</v>
      </c>
      <c r="E11" s="3">
        <f t="shared" ca="1" si="0"/>
        <v>-6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-17</v>
      </c>
      <c r="H11" s="4">
        <f t="shared" ca="1" si="1"/>
        <v>0.3125</v>
      </c>
      <c r="I11" s="29">
        <f ca="1">IF(TabResultados3[[#This Row],[Jogos]]&lt;20,0,IF(TabResultados3[[#This Row],[Jogos]]&lt;=40,0.9+0.1*(TabResultados3[[#This Row],[Jogos]]-20)/20,1))</f>
        <v>0</v>
      </c>
      <c r="J11" s="22">
        <f ca="1">100*TabResultados3[[#This Row],[Aprov]]*TabResultados3[[#This Row],[KJogos]]</f>
        <v>0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26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15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11</v>
      </c>
      <c r="E13" s="3">
        <f t="shared" ca="1" si="0"/>
        <v>4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2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16</v>
      </c>
      <c r="H13" s="4">
        <f t="shared" ca="1" si="1"/>
        <v>0.57692307692307687</v>
      </c>
      <c r="I13" s="29">
        <f ca="1">IF(TabResultados3[[#This Row],[Jogos]]&lt;20,0,IF(TabResultados3[[#This Row],[Jogos]]&lt;=40,0.9+0.1*(TabResultados3[[#This Row],[Jogos]]-20)/20,1))</f>
        <v>0.93</v>
      </c>
      <c r="J13" s="22">
        <f ca="1">100*TabResultados3[[#This Row],[Aprov]]*TabResultados3[[#This Row],[KJogos]]</f>
        <v>53.653846153846153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40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23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17</v>
      </c>
      <c r="E14" s="3">
        <f t="shared" ca="1" si="0"/>
        <v>6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4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14</v>
      </c>
      <c r="H14" s="4">
        <f t="shared" ca="1" si="1"/>
        <v>0.57499999999999996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57.499999999999993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56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33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23</v>
      </c>
      <c r="E19" s="3">
        <f t="shared" ca="1" si="0"/>
        <v>10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6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34</v>
      </c>
      <c r="H19" s="4">
        <f t="shared" ca="1" si="1"/>
        <v>0.5892857142857143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58.928571428571431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2018-09-20T20:37:45Z</dcterms:modified>
</cp:coreProperties>
</file>
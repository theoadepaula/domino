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92433696-D553-4A0B-990C-808E64FDDE5E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<sst xmlns="http://schemas.openxmlformats.org/spreadsheetml/2006/main" count="6948" uniqueCount="55">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</sst>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726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726"/>
  <sheetViews>
    <sheetView tabSelected="1" zoomScale="80" zoomScaleNormal="80" workbookViewId="0">
      <pane ySplit="1" topLeftCell="A1700" activePane="bottomLeft" state="frozenSplit"/>
      <selection activeCell="D1" sqref="D1 D1"/>
      <selection pane="bottomLeft" activeCell="A1726" sqref="A172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26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12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14</v>
      </c>
      <c r="E2" s="3">
        <f t="shared" ref="E2:E28" ca="1" si="0">C2-D2</f>
        <v>-2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-7</v>
      </c>
      <c r="H2" s="4">
        <f t="shared" ref="H2:H28" ca="1" si="1">IFERROR(C2/B2,-0.000001)</f>
        <v>0.46153846153846156</v>
      </c>
      <c r="I2" s="29">
        <f ca="1">IF(TabResultados3[[#This Row],[Jogos]]&lt;20,0,IF(TabResultados3[[#This Row],[Jogos]]&lt;=40,0.9+0.1*(TabResultados3[[#This Row],[Jogos]]-20)/20,1))</f>
        <v>0.93</v>
      </c>
      <c r="J2" s="22">
        <f ca="1">100*TabResultados3[[#This Row],[Aprov]]*TabResultados3[[#This Row],[KJogos]]</f>
        <v>42.923076923076927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26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18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8</v>
      </c>
      <c r="E3" s="3">
        <f t="shared" ca="1" si="0"/>
        <v>10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33</v>
      </c>
      <c r="H3" s="4">
        <f t="shared" ca="1" si="1"/>
        <v>0.69230769230769229</v>
      </c>
      <c r="I3" s="29">
        <f ca="1">IF(TabResultados3[[#This Row],[Jogos]]&lt;20,0,IF(TabResultados3[[#This Row],[Jogos]]&lt;=40,0.9+0.1*(TabResultados3[[#This Row],[Jogos]]-20)/20,1))</f>
        <v>0.93</v>
      </c>
      <c r="J3" s="22">
        <f ca="1">100*TabResultados3[[#This Row],[Aprov]]*TabResultados3[[#This Row],[KJogos]]</f>
        <v>64.384615384615387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</v>
      </c>
      <c r="E5" s="3">
        <f t="shared" ca="1" si="0"/>
        <v>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-2</v>
      </c>
      <c r="H5" s="4">
        <f t="shared" ca="1" si="1"/>
        <v>0.58333333333333337</v>
      </c>
      <c r="I5" s="29">
        <f ca="1">IF(TabResultados3[[#This Row],[Jogos]]&lt;20,0,IF(TabResultados3[[#This Row],[Jogos]]&lt;=40,0.9+0.1*(TabResultados3[[#This Row],[Jogos]]-20)/20,1))</f>
        <v>0</v>
      </c>
      <c r="J5" s="22">
        <f ca="1">100*TabResultados3[[#This Row],[Aprov]]*TabResultados3[[#This Row],[KJogos]]</f>
        <v>0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2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</v>
      </c>
      <c r="E6" s="3">
        <f t="shared" ca="1" si="0"/>
        <v>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3</v>
      </c>
      <c r="H6" s="4">
        <f t="shared" ca="1" si="1"/>
        <v>0.66666666666666663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21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12</v>
      </c>
      <c r="E7" s="3">
        <f t="shared" ca="1" si="0"/>
        <v>-3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-13</v>
      </c>
      <c r="H7" s="4">
        <f t="shared" ca="1" si="1"/>
        <v>0.42857142857142855</v>
      </c>
      <c r="I7" s="29">
        <f ca="1">IF(TabResultados3[[#This Row],[Jogos]]&lt;20,0,IF(TabResultados3[[#This Row],[Jogos]]&lt;=40,0.9+0.1*(TabResultados3[[#This Row],[Jogos]]-20)/20,1))</f>
        <v>0.90500000000000003</v>
      </c>
      <c r="J7" s="22">
        <f ca="1">100*TabResultados3[[#This Row],[Aprov]]*TabResultados3[[#This Row],[KJogos]]</f>
        <v>38.785714285714285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7</v>
      </c>
      <c r="E8" s="3">
        <f t="shared" ca="1" si="0"/>
        <v>-6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-10</v>
      </c>
      <c r="H8" s="4">
        <f t="shared" ca="1" si="1"/>
        <v>0.125</v>
      </c>
      <c r="I8" s="29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2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1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0.5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11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6</v>
      </c>
      <c r="E11" s="3">
        <f t="shared" ca="1" si="0"/>
        <v>-1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</v>
      </c>
      <c r="H11" s="4">
        <f t="shared" ca="1" si="1"/>
        <v>0.45454545454545453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5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3</v>
      </c>
      <c r="E13" s="3">
        <f t="shared" ca="1" si="0"/>
        <v>-1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-2</v>
      </c>
      <c r="H13" s="4">
        <f t="shared" ca="1" si="1"/>
        <v>0.4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4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1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</v>
      </c>
      <c r="H14" s="4">
        <f t="shared" ca="1" si="1"/>
        <v>0.5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</v>
      </c>
      <c r="E19" s="3">
        <f t="shared" ca="1" si="0"/>
        <v>-2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-8</v>
      </c>
      <c r="H19" s="4">
        <f t="shared" ca="1" si="1"/>
        <v>0</v>
      </c>
      <c r="I19" s="29">
        <f ca="1">IF(TabResultados3[[#This Row],[Jogos]]&lt;20,0,IF(TabResultados3[[#This Row],[Jogos]]&lt;=40,0.9+0.1*(TabResultados3[[#This Row],[Jogos]]-20)/20,1))</f>
        <v>0</v>
      </c>
      <c r="J19" s="22">
        <f ca="1">100*TabResultados3[[#This Row],[Aprov]]*TabResultados3[[#This Row],[KJogos]]</f>
        <v>0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2018-09-05T18:36:04Z</dcterms:modified>
</cp:coreProperties>
</file>
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ED8E231-4ED3-4CB4-979B-1DCE83E1B1CB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<sst xmlns="http://schemas.openxmlformats.org/spreadsheetml/2006/main" count="7252" uniqueCount="55">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</sst>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0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02"/>
  <sheetViews>
    <sheetView tabSelected="1" zoomScale="80" zoomScaleNormal="80" workbookViewId="0">
      <pane ySplit="1" topLeftCell="A1759" activePane="bottomLeft" state="frozenSplit"/>
      <selection activeCell="D1" sqref="D1 D1"/>
      <selection pane="bottomLeft" activeCell="A1802" sqref="A180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69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31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38</v>
      </c>
      <c r="E2" s="3">
        <f t="shared" ref="E2:E28" ca="1" si="0">C2-D2</f>
        <v>-7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-31</v>
      </c>
      <c r="H2" s="4">
        <f t="shared" ref="H2:H28" ca="1" si="1">IFERROR(C2/B2,-0.000001)</f>
        <v>0.44927536231884058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44.927536231884055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90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50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40</v>
      </c>
      <c r="E3" s="3">
        <f t="shared" ca="1" si="0"/>
        <v>10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47</v>
      </c>
      <c r="H3" s="4">
        <f t="shared" ca="1" si="1"/>
        <v>0.55555555555555558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55.555555555555557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65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40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25</v>
      </c>
      <c r="E5" s="3">
        <f t="shared" ca="1" si="0"/>
        <v>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</v>
      </c>
      <c r="H5" s="4">
        <f t="shared" ca="1" si="1"/>
        <v>0.61538461538461542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61.53846153846154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5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58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31</v>
      </c>
      <c r="E7" s="3">
        <f t="shared" ca="1" si="0"/>
        <v>-4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-27</v>
      </c>
      <c r="H7" s="4">
        <f t="shared" ca="1" si="1"/>
        <v>0.46551724137931033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46.551724137931032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17</v>
      </c>
      <c r="E8" s="3">
        <f t="shared" ca="1" si="0"/>
        <v>-8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-12</v>
      </c>
      <c r="H8" s="4">
        <f t="shared" ca="1" si="1"/>
        <v>0.34615384615384615</v>
      </c>
      <c r="I8" s="29">
        <f ca="1">IF(TabResultados3[[#This Row],[Jogos]]&lt;20,0,IF(TabResultados3[[#This Row],[Jogos]]&lt;=40,0.9+0.1*(TabResultados3[[#This Row],[Jogos]]-20)/20,1))</f>
        <v>0.93</v>
      </c>
      <c r="J8" s="22">
        <f ca="1">100*TabResultados3[[#This Row],[Aprov]]*TabResultados3[[#This Row],[KJogos]]</f>
        <v>32.192307692307693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15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7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8</v>
      </c>
      <c r="E13" s="3">
        <f t="shared" ca="1" si="0"/>
        <v>-1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4</v>
      </c>
      <c r="H13" s="4">
        <f t="shared" ca="1" si="1"/>
        <v>0.46666666666666667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13</v>
      </c>
      <c r="E14" s="3">
        <f t="shared" ca="1" si="0"/>
        <v>-5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-23</v>
      </c>
      <c r="H14" s="4">
        <f t="shared" ca="1" si="1"/>
        <v>0.38095238095238093</v>
      </c>
      <c r="I14" s="29">
        <f ca="1">IF(TabResultados3[[#This Row],[Jogos]]&lt;20,0,IF(TabResultados3[[#This Row],[Jogos]]&lt;=40,0.9+0.1*(TabResultados3[[#This Row],[Jogos]]-20)/20,1))</f>
        <v>0.90500000000000003</v>
      </c>
      <c r="J14" s="22">
        <f ca="1">100*TabResultados3[[#This Row],[Aprov]]*TabResultados3[[#This Row],[KJogos]]</f>
        <v>34.476190476190474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38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23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8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3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18</v>
      </c>
      <c r="H19" s="4">
        <f t="shared" ca="1" si="1"/>
        <v>0.60526315789473684</v>
      </c>
      <c r="I19" s="29">
        <f ca="1">IF(TabResultados3[[#This Row],[Jogos]]&lt;20,0,IF(TabResultados3[[#This Row],[Jogos]]&lt;=40,0.9+0.1*(TabResultados3[[#This Row],[Jogos]]-20)/20,1))</f>
        <v>0.99</v>
      </c>
      <c r="J19" s="22">
        <f ca="1">100*TabResultados3[[#This Row],[Aprov]]*TabResultados3[[#This Row],[KJogos]]</f>
        <v>59.921052631578945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2018-09-17T17:52:33Z</dcterms:modified>
</cp:coreProperties>
</file>
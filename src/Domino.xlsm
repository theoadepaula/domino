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45E62C27-07CA-4F02-AD8F-50510A55A3D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957" i="3" l="1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883" i="3"/>
  <c r="I4884" i="3"/>
  <c r="I4885" i="3"/>
  <c r="I4886" i="3"/>
  <c r="I4887" i="3"/>
  <c r="I4888" i="3"/>
  <c r="I4889" i="3"/>
  <c r="I4950" i="3" l="1"/>
  <c r="I4951" i="3"/>
  <c r="I4952" i="3"/>
  <c r="I4953" i="3"/>
  <c r="I4954" i="3"/>
  <c r="I4955" i="3"/>
  <c r="I4956" i="3"/>
  <c r="I4940" i="3"/>
  <c r="I4941" i="3"/>
  <c r="I4942" i="3"/>
  <c r="I4943" i="3"/>
  <c r="I4944" i="3"/>
  <c r="I4945" i="3"/>
  <c r="I4946" i="3"/>
  <c r="I4947" i="3"/>
  <c r="I4948" i="3"/>
  <c r="I4949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03" i="3"/>
  <c r="I4904" i="3"/>
  <c r="I4905" i="3"/>
  <c r="I4906" i="3"/>
  <c r="I4907" i="3"/>
  <c r="I4908" i="3"/>
  <c r="I4896" i="3"/>
  <c r="I4897" i="3"/>
  <c r="I4898" i="3"/>
  <c r="I4899" i="3"/>
  <c r="I4900" i="3"/>
  <c r="I4901" i="3"/>
  <c r="I4902" i="3"/>
  <c r="I4890" i="3"/>
  <c r="I4891" i="3"/>
  <c r="I4892" i="3"/>
  <c r="I4893" i="3"/>
  <c r="I4894" i="3"/>
  <c r="I4895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B12" i="4"/>
  <c r="I12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4" i="4" l="1"/>
  <c r="G18" i="4"/>
  <c r="B8" i="4"/>
  <c r="I8" i="4" s="1"/>
  <c r="D14" i="4"/>
  <c r="G25" i="4"/>
  <c r="C21" i="4"/>
  <c r="G15" i="4"/>
  <c r="C27" i="4"/>
  <c r="G26" i="4"/>
  <c r="G6" i="4"/>
  <c r="C28" i="4"/>
  <c r="F28" i="4"/>
  <c r="F3" i="4"/>
  <c r="F2" i="4"/>
  <c r="F10" i="4"/>
  <c r="B5" i="4"/>
  <c r="I5" i="4" s="1"/>
  <c r="B25" i="4"/>
  <c r="I25" i="4" s="1"/>
  <c r="B4" i="4"/>
  <c r="I4" i="4" s="1"/>
  <c r="B26" i="4"/>
  <c r="I26" i="4" s="1"/>
  <c r="B30" i="4"/>
  <c r="I30" i="4" s="1"/>
  <c r="C19" i="4"/>
  <c r="C22" i="4"/>
  <c r="D8" i="4"/>
  <c r="G11" i="4"/>
  <c r="F24" i="4"/>
  <c r="F8" i="4"/>
  <c r="D21" i="4"/>
  <c r="G27" i="4"/>
  <c r="D28" i="4"/>
  <c r="F17" i="4"/>
  <c r="B19" i="4"/>
  <c r="I19" i="4" s="1"/>
  <c r="C18" i="4"/>
  <c r="C14" i="4"/>
  <c r="D25" i="4"/>
  <c r="D9" i="4"/>
  <c r="D18" i="4"/>
  <c r="D15" i="4"/>
  <c r="D17" i="4"/>
  <c r="D26" i="4"/>
  <c r="D6" i="4"/>
  <c r="G7" i="4"/>
  <c r="F16" i="4"/>
  <c r="F20" i="4"/>
  <c r="F6" i="4"/>
  <c r="B27" i="4"/>
  <c r="I27" i="4" s="1"/>
  <c r="C30" i="4"/>
  <c r="G19" i="4"/>
  <c r="D12" i="4"/>
  <c r="G4" i="4"/>
  <c r="F25" i="4"/>
  <c r="F15" i="4"/>
  <c r="F4" i="4"/>
  <c r="B16" i="4"/>
  <c r="I16" i="4" s="1"/>
  <c r="B6" i="4"/>
  <c r="I6" i="4" s="1"/>
  <c r="B29" i="4"/>
  <c r="I29" i="4" s="1"/>
  <c r="B21" i="4"/>
  <c r="I21" i="4" s="1"/>
  <c r="B2" i="4"/>
  <c r="I2" i="4" s="1"/>
  <c r="F30" i="4"/>
  <c r="D19" i="4"/>
  <c r="C13" i="4"/>
  <c r="C3" i="4"/>
  <c r="D2" i="4"/>
  <c r="F13" i="4"/>
  <c r="C20" i="4"/>
  <c r="G24" i="4"/>
  <c r="D10" i="4"/>
  <c r="F27" i="4"/>
  <c r="B7" i="4"/>
  <c r="I7" i="4" s="1"/>
  <c r="C25" i="4"/>
  <c r="C29" i="4"/>
  <c r="G17" i="4"/>
  <c r="C7" i="4"/>
  <c r="C23" i="4"/>
  <c r="G8" i="4"/>
  <c r="C9" i="4"/>
  <c r="G29" i="4"/>
  <c r="G3" i="4"/>
  <c r="C17" i="4"/>
  <c r="D4" i="4"/>
  <c r="D11" i="4"/>
  <c r="D7" i="4"/>
  <c r="F21" i="4"/>
  <c r="F5" i="4"/>
  <c r="F18" i="4"/>
  <c r="B13" i="4"/>
  <c r="I13" i="4" s="1"/>
  <c r="D30" i="4"/>
  <c r="G22" i="4"/>
  <c r="B22" i="4"/>
  <c r="I22" i="4" s="1"/>
  <c r="C10" i="4"/>
  <c r="G14" i="4"/>
  <c r="C26" i="4"/>
  <c r="B28" i="4"/>
  <c r="I28" i="4" s="1"/>
  <c r="D22" i="4"/>
  <c r="D23" i="4"/>
  <c r="G9" i="4"/>
  <c r="C15" i="4"/>
  <c r="C6" i="4"/>
  <c r="D13" i="4"/>
  <c r="G23" i="4"/>
  <c r="C8" i="4"/>
  <c r="G5" i="4"/>
  <c r="D29" i="4"/>
  <c r="D3" i="4"/>
  <c r="G16" i="4"/>
  <c r="C4" i="4"/>
  <c r="C11" i="4"/>
  <c r="G2" i="4"/>
  <c r="F29" i="4"/>
  <c r="F26" i="4"/>
  <c r="F7" i="4"/>
  <c r="B23" i="4"/>
  <c r="I23" i="4" s="1"/>
  <c r="B9" i="4"/>
  <c r="I9" i="4" s="1"/>
  <c r="B20" i="4"/>
  <c r="I20" i="4" s="1"/>
  <c r="B24" i="4"/>
  <c r="I24" i="4" s="1"/>
  <c r="B18" i="4"/>
  <c r="I18" i="4" s="1"/>
  <c r="G30" i="4"/>
  <c r="G12" i="4"/>
  <c r="C12" i="4"/>
  <c r="D5" i="4"/>
  <c r="B17" i="4"/>
  <c r="I17" i="4" s="1"/>
  <c r="G20" i="4"/>
  <c r="D16" i="4"/>
  <c r="B10" i="4"/>
  <c r="I10" i="4" s="1"/>
  <c r="F9" i="4"/>
  <c r="F19" i="4"/>
  <c r="F22" i="4"/>
  <c r="G13" i="4"/>
  <c r="D20" i="4"/>
  <c r="G21" i="4"/>
  <c r="C5" i="4"/>
  <c r="C24" i="4"/>
  <c r="D27" i="4"/>
  <c r="C16" i="4"/>
  <c r="G10" i="4"/>
  <c r="G28" i="4"/>
  <c r="C2" i="4"/>
  <c r="F23" i="4"/>
  <c r="F11" i="4"/>
  <c r="B15" i="4"/>
  <c r="I15" i="4" s="1"/>
  <c r="F14" i="4"/>
  <c r="B11" i="4"/>
  <c r="I11" i="4" s="1"/>
  <c r="B3" i="4"/>
  <c r="I3" i="4" s="1"/>
  <c r="B14" i="4"/>
  <c r="I14" i="4" s="1"/>
  <c r="F12" i="4"/>
  <c r="H15" i="4" l="1"/>
  <c r="J15" i="4" s="1"/>
  <c r="E15" i="4"/>
  <c r="E7" i="4"/>
  <c r="H7" i="4"/>
  <c r="J7" i="4" s="1"/>
  <c r="H20" i="4"/>
  <c r="J20" i="4" s="1"/>
  <c r="E20" i="4"/>
  <c r="H18" i="4"/>
  <c r="J18" i="4" s="1"/>
  <c r="E18" i="4"/>
  <c r="H27" i="4"/>
  <c r="J27" i="4" s="1"/>
  <c r="E27" i="4"/>
  <c r="H2" i="4"/>
  <c r="J2" i="4" s="1"/>
  <c r="E2" i="4"/>
  <c r="E12" i="4"/>
  <c r="H12" i="4"/>
  <c r="J12" i="4" s="1"/>
  <c r="E17" i="4"/>
  <c r="H17" i="4"/>
  <c r="J17" i="4" s="1"/>
  <c r="E29" i="4"/>
  <c r="H29" i="4"/>
  <c r="J29" i="4" s="1"/>
  <c r="E30" i="4"/>
  <c r="H30" i="4"/>
  <c r="J30" i="4" s="1"/>
  <c r="E22" i="4"/>
  <c r="H22" i="4"/>
  <c r="J22" i="4" s="1"/>
  <c r="E21" i="4"/>
  <c r="H21" i="4"/>
  <c r="J21" i="4" s="1"/>
  <c r="H16" i="4"/>
  <c r="J16" i="4" s="1"/>
  <c r="E16" i="4"/>
  <c r="E25" i="4"/>
  <c r="H25" i="4"/>
  <c r="J25" i="4" s="1"/>
  <c r="E3" i="4"/>
  <c r="H3" i="4"/>
  <c r="J3" i="4" s="1"/>
  <c r="E19" i="4"/>
  <c r="H19" i="4"/>
  <c r="J19" i="4" s="1"/>
  <c r="E8" i="4"/>
  <c r="H8" i="4"/>
  <c r="J8" i="4" s="1"/>
  <c r="H13" i="4"/>
  <c r="J13" i="4" s="1"/>
  <c r="E13" i="4"/>
  <c r="E26" i="4"/>
  <c r="H26" i="4"/>
  <c r="J26" i="4" s="1"/>
  <c r="H9" i="4"/>
  <c r="J9" i="4" s="1"/>
  <c r="E9" i="4"/>
  <c r="E28" i="4"/>
  <c r="H28" i="4"/>
  <c r="J28" i="4" s="1"/>
  <c r="E24" i="4"/>
  <c r="H24" i="4"/>
  <c r="J24" i="4" s="1"/>
  <c r="H5" i="4"/>
  <c r="J5" i="4" s="1"/>
  <c r="E5" i="4"/>
  <c r="E11" i="4"/>
  <c r="H11" i="4"/>
  <c r="J11" i="4" s="1"/>
  <c r="H4" i="4"/>
  <c r="J4" i="4" s="1"/>
  <c r="E4" i="4"/>
  <c r="E6" i="4"/>
  <c r="H6" i="4"/>
  <c r="J6" i="4" s="1"/>
  <c r="H10" i="4"/>
  <c r="J10" i="4" s="1"/>
  <c r="E10" i="4"/>
  <c r="H23" i="4"/>
  <c r="J23" i="4" s="1"/>
  <c r="E23" i="4"/>
  <c r="E14" i="4"/>
  <c r="H14" i="4"/>
  <c r="J14" i="4" s="1"/>
</calcChain>
</file>

<file path=xl/sharedStrings.xml><?xml version="1.0" encoding="utf-8"?>
<sst xmlns="http://schemas.openxmlformats.org/spreadsheetml/2006/main" count="19934" uniqueCount="66">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</sst>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972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5075"/>
  <sheetViews>
    <sheetView tabSelected="1" zoomScaleNormal="100" workbookViewId="0">
      <pane ySplit="1" topLeftCell="A2" activePane="bottomLeft" state="frozenSplit"/>
      <selection activeCell="D1" sqref="D1 D1"/>
      <selection pane="bottomLeft" activeCell="A2" sqref="A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43803</v>
      </c>
      <c r="C4886" s="6" t="s">
        <v>9</v>
      </c>
      <c r="D4886" s="6" t="s">
        <v>13</v>
      </c>
      <c r="E4886" s="6">
        <v>2</v>
      </c>
      <c r="F4886" s="6">
        <v>3</v>
      </c>
      <c r="G4886" s="6" t="s">
        <v>11</v>
      </c>
      <c r="H4886" s="6" t="s">
        <v>27</v>
      </c>
      <c r="I4886" s="6">
        <f>TabJogos[[#This Row],[PontosTime1]]-TabJogos[[#This Row],[PontosTime2]]</f>
        <v>-1</v>
      </c>
    </row>
    <row r="4887" spans="1:9" ht="15" customHeight="1" x14ac:dyDescent="0.25">
      <c r="A4887" s="7">
        <v>4848</v>
      </c>
      <c r="B4887" s="1">
        <v>43804</v>
      </c>
      <c r="C4887" s="6" t="s">
        <v>13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11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11</v>
      </c>
      <c r="D4888" s="6" t="s">
        <v>10</v>
      </c>
      <c r="E4888" s="6">
        <v>0</v>
      </c>
      <c r="F4888" s="6">
        <v>3</v>
      </c>
      <c r="G4888" s="6" t="s">
        <v>9</v>
      </c>
      <c r="H4888" s="6" t="s">
        <v>13</v>
      </c>
      <c r="I4888" s="6">
        <f>TabJogos[[#This Row],[PontosTime1]]-TabJogos[[#This Row],[PontosTime2]]</f>
        <v>-3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11</v>
      </c>
      <c r="E4889" s="6">
        <v>3</v>
      </c>
      <c r="F4889" s="6">
        <v>2</v>
      </c>
      <c r="G4889" s="6" t="s">
        <v>9</v>
      </c>
      <c r="H4889" s="6" t="s">
        <v>10</v>
      </c>
      <c r="I4889" s="6">
        <f>TabJogos[[#This Row],[PontosTime1]]-TabJogos[[#This Row],[PontosTime2]]</f>
        <v>1</v>
      </c>
    </row>
    <row r="4890" spans="1:9" ht="15" customHeight="1" x14ac:dyDescent="0.25">
      <c r="A4890" s="7">
        <v>4851</v>
      </c>
      <c r="B4890" s="1">
        <v>43804</v>
      </c>
      <c r="C4890" s="6" t="s">
        <v>13</v>
      </c>
      <c r="D4890" s="6" t="s">
        <v>10</v>
      </c>
      <c r="E4890" s="6">
        <v>0</v>
      </c>
      <c r="F4890" s="6">
        <v>3</v>
      </c>
      <c r="G4890" s="6" t="s">
        <v>9</v>
      </c>
      <c r="H4890" s="6" t="s">
        <v>11</v>
      </c>
      <c r="I4890" s="6">
        <f>TabJogos[[#This Row],[PontosTime1]]-TabJogos[[#This Row],[PontosTime2]]</f>
        <v>-3</v>
      </c>
    </row>
    <row r="4891" spans="1:9" ht="15" customHeight="1" x14ac:dyDescent="0.25">
      <c r="A4891" s="7">
        <v>4852</v>
      </c>
      <c r="B4891" s="1">
        <v>43804</v>
      </c>
      <c r="C4891" s="6" t="s">
        <v>11</v>
      </c>
      <c r="D4891" s="6" t="s">
        <v>10</v>
      </c>
      <c r="E4891" s="6">
        <v>2</v>
      </c>
      <c r="F4891" s="6">
        <v>4</v>
      </c>
      <c r="G4891" s="6" t="s">
        <v>9</v>
      </c>
      <c r="H4891" s="6" t="s">
        <v>13</v>
      </c>
      <c r="I4891" s="6">
        <f>TabJogos[[#This Row],[PontosTime1]]-TabJogos[[#This Row],[PontosTime2]]</f>
        <v>-2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11</v>
      </c>
      <c r="E4892" s="6">
        <v>1</v>
      </c>
      <c r="F4892" s="6">
        <v>4</v>
      </c>
      <c r="G4892" s="6" t="s">
        <v>9</v>
      </c>
      <c r="H4892" s="6" t="s">
        <v>10</v>
      </c>
      <c r="I4892" s="6">
        <f>TabJogos[[#This Row],[PontosTime1]]-TabJogos[[#This Row],[PontosTime2]]</f>
        <v>-3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10</v>
      </c>
      <c r="E4893" s="6">
        <v>3</v>
      </c>
      <c r="F4893" s="6">
        <v>0</v>
      </c>
      <c r="G4893" s="6" t="s">
        <v>9</v>
      </c>
      <c r="H4893" s="6" t="s">
        <v>11</v>
      </c>
      <c r="I4893" s="6">
        <f>TabJogos[[#This Row],[PontosTime1]]-TabJogos[[#This Row],[PontosTime2]]</f>
        <v>3</v>
      </c>
    </row>
    <row r="4894" spans="1:9" ht="15" customHeight="1" x14ac:dyDescent="0.25">
      <c r="A4894" s="7">
        <v>4855</v>
      </c>
      <c r="B4894" s="1">
        <v>43804</v>
      </c>
      <c r="C4894" s="6" t="s">
        <v>13</v>
      </c>
      <c r="D4894" s="6" t="s">
        <v>9</v>
      </c>
      <c r="E4894" s="6">
        <v>2</v>
      </c>
      <c r="F4894" s="6">
        <v>7</v>
      </c>
      <c r="G4894" s="6" t="s">
        <v>10</v>
      </c>
      <c r="H4894" s="6" t="s">
        <v>16</v>
      </c>
      <c r="I4894" s="6">
        <f>TabJogos[[#This Row],[PontosTime1]]-TabJogos[[#This Row],[PontosTime2]]</f>
        <v>-5</v>
      </c>
    </row>
    <row r="4895" spans="1:9" ht="15" customHeight="1" x14ac:dyDescent="0.25">
      <c r="A4895" s="7">
        <v>4856</v>
      </c>
      <c r="B4895" s="1">
        <v>43804</v>
      </c>
      <c r="C4895" s="6" t="s">
        <v>16</v>
      </c>
      <c r="D4895" s="6" t="s">
        <v>13</v>
      </c>
      <c r="E4895" s="6">
        <v>3</v>
      </c>
      <c r="F4895" s="6">
        <v>1</v>
      </c>
      <c r="G4895" s="6" t="s">
        <v>11</v>
      </c>
      <c r="H4895" s="6" t="s">
        <v>9</v>
      </c>
      <c r="I4895" s="6">
        <f>TabJogos[[#This Row],[PontosTime1]]-TabJogos[[#This Row],[PontosTime2]]</f>
        <v>2</v>
      </c>
    </row>
    <row r="4896" spans="1:9" ht="15" customHeight="1" x14ac:dyDescent="0.25">
      <c r="A4896" s="7">
        <v>4857</v>
      </c>
      <c r="B4896" s="1">
        <v>43809</v>
      </c>
      <c r="C4896" s="6" t="s">
        <v>17</v>
      </c>
      <c r="D4896" s="6" t="s">
        <v>10</v>
      </c>
      <c r="E4896" s="6">
        <v>1</v>
      </c>
      <c r="F4896" s="6">
        <v>3</v>
      </c>
      <c r="G4896" s="6" t="s">
        <v>18</v>
      </c>
      <c r="H4896" s="6" t="s">
        <v>13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11</v>
      </c>
      <c r="D4897" s="6" t="s">
        <v>13</v>
      </c>
      <c r="E4897" s="6">
        <v>1</v>
      </c>
      <c r="F4897" s="6">
        <v>3</v>
      </c>
      <c r="G4897" s="6" t="s">
        <v>18</v>
      </c>
      <c r="H4897" s="6" t="s">
        <v>12</v>
      </c>
      <c r="I4897" s="6">
        <f>TabJogos[[#This Row],[PontosTime1]]-TabJogos[[#This Row],[PontosTime2]]</f>
        <v>-2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12</v>
      </c>
      <c r="E4898" s="6">
        <v>3</v>
      </c>
      <c r="F4898" s="6">
        <v>1</v>
      </c>
      <c r="G4898" s="6" t="s">
        <v>18</v>
      </c>
      <c r="H4898" s="6" t="s">
        <v>10</v>
      </c>
      <c r="I4898" s="6">
        <f>TabJogos[[#This Row],[PontosTime1]]-TabJogos[[#This Row],[PontosTime2]]</f>
        <v>2</v>
      </c>
    </row>
    <row r="4899" spans="1:9" ht="15" customHeight="1" x14ac:dyDescent="0.25">
      <c r="A4899" s="7">
        <v>4860</v>
      </c>
      <c r="B4899" s="1">
        <v>43809</v>
      </c>
      <c r="C4899" s="6" t="s">
        <v>13</v>
      </c>
      <c r="D4899" s="6" t="s">
        <v>17</v>
      </c>
      <c r="E4899" s="6">
        <v>0</v>
      </c>
      <c r="F4899" s="6">
        <v>4</v>
      </c>
      <c r="G4899" s="6" t="s">
        <v>18</v>
      </c>
      <c r="H4899" s="6" t="s">
        <v>11</v>
      </c>
      <c r="I4899" s="6">
        <f>TabJogos[[#This Row],[PontosTime1]]-TabJogos[[#This Row],[PontosTime2]]</f>
        <v>-4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10</v>
      </c>
      <c r="E4900" s="6">
        <v>3</v>
      </c>
      <c r="F4900" s="6">
        <v>1</v>
      </c>
      <c r="G4900" s="6" t="s">
        <v>13</v>
      </c>
      <c r="H4900" s="6" t="s">
        <v>18</v>
      </c>
      <c r="I4900" s="6">
        <f>TabJogos[[#This Row],[PontosTime1]]-TabJogos[[#This Row],[PontosTime2]]</f>
        <v>2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13</v>
      </c>
      <c r="E4901" s="6">
        <v>2</v>
      </c>
      <c r="F4901" s="6">
        <v>3</v>
      </c>
      <c r="G4901" s="6" t="s">
        <v>18</v>
      </c>
      <c r="H4901" s="6" t="s">
        <v>10</v>
      </c>
      <c r="I4901" s="6">
        <f>TabJogos[[#This Row],[PontosTime1]]-TabJogos[[#This Row],[PontosTime2]]</f>
        <v>-1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18</v>
      </c>
      <c r="E4902" s="6">
        <v>3</v>
      </c>
      <c r="F4902" s="6">
        <v>0</v>
      </c>
      <c r="G4902" s="6" t="s">
        <v>10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43809</v>
      </c>
      <c r="C4903" s="6" t="s">
        <v>11</v>
      </c>
      <c r="D4903" s="6" t="s">
        <v>10</v>
      </c>
      <c r="E4903" s="6">
        <v>3</v>
      </c>
      <c r="F4903" s="6">
        <v>0</v>
      </c>
      <c r="G4903" s="6" t="s">
        <v>18</v>
      </c>
      <c r="H4903" s="6" t="s">
        <v>13</v>
      </c>
      <c r="I4903" s="6">
        <f>TabJogos[[#This Row],[PontosTime1]]-TabJogos[[#This Row],[PontosTime2]]</f>
        <v>3</v>
      </c>
    </row>
    <row r="4904" spans="1:9" ht="15" customHeight="1" x14ac:dyDescent="0.25">
      <c r="A4904" s="7">
        <v>4865</v>
      </c>
      <c r="B4904" s="1">
        <v>43810</v>
      </c>
      <c r="C4904" s="6" t="s">
        <v>12</v>
      </c>
      <c r="D4904" s="6" t="s">
        <v>10</v>
      </c>
      <c r="E4904" s="6">
        <v>0</v>
      </c>
      <c r="F4904" s="6">
        <v>3</v>
      </c>
      <c r="G4904" s="6" t="s">
        <v>11</v>
      </c>
      <c r="H4904" s="6" t="s">
        <v>13</v>
      </c>
      <c r="I4904" s="6">
        <f>TabJogos[[#This Row],[PontosTime1]]-TabJogos[[#This Row],[PontosTime2]]</f>
        <v>-3</v>
      </c>
    </row>
    <row r="4905" spans="1:9" ht="15" customHeight="1" x14ac:dyDescent="0.25">
      <c r="A4905" s="7">
        <v>4866</v>
      </c>
      <c r="B4905" s="1">
        <v>43810</v>
      </c>
      <c r="C4905" s="6" t="s">
        <v>11</v>
      </c>
      <c r="D4905" s="6" t="s">
        <v>12</v>
      </c>
      <c r="E4905" s="6">
        <v>2</v>
      </c>
      <c r="F4905" s="6">
        <v>3</v>
      </c>
      <c r="G4905" s="6" t="s">
        <v>13</v>
      </c>
      <c r="H4905" s="6" t="s">
        <v>10</v>
      </c>
      <c r="I4905" s="6">
        <f>TabJogos[[#This Row],[PontosTime1]]-TabJogos[[#This Row],[PontosTime2]]</f>
        <v>-1</v>
      </c>
    </row>
    <row r="4906" spans="1:9" ht="15" customHeight="1" x14ac:dyDescent="0.25">
      <c r="A4906" s="7">
        <v>4867</v>
      </c>
      <c r="B4906" s="1">
        <v>43810</v>
      </c>
      <c r="C4906" s="6" t="s">
        <v>12</v>
      </c>
      <c r="D4906" s="6" t="s">
        <v>13</v>
      </c>
      <c r="E4906" s="6">
        <v>3</v>
      </c>
      <c r="F4906" s="6">
        <v>1</v>
      </c>
      <c r="G4906" s="6" t="s">
        <v>11</v>
      </c>
      <c r="H4906" s="6" t="s">
        <v>10</v>
      </c>
      <c r="I4906" s="6">
        <f>TabJogos[[#This Row],[PontosTime1]]-TabJogos[[#This Row],[PontosTime2]]</f>
        <v>2</v>
      </c>
    </row>
    <row r="4907" spans="1:9" ht="15" customHeight="1" x14ac:dyDescent="0.25">
      <c r="A4907" s="7">
        <v>4868</v>
      </c>
      <c r="B4907" s="1">
        <v>43810</v>
      </c>
      <c r="C4907" s="6" t="s">
        <v>10</v>
      </c>
      <c r="D4907" s="6" t="s">
        <v>12</v>
      </c>
      <c r="E4907" s="6">
        <v>4</v>
      </c>
      <c r="F4907" s="6">
        <v>0</v>
      </c>
      <c r="G4907" s="6" t="s">
        <v>11</v>
      </c>
      <c r="H4907" s="6" t="s">
        <v>13</v>
      </c>
      <c r="I4907" s="6">
        <f>TabJogos[[#This Row],[PontosTime1]]-TabJogos[[#This Row],[PontosTime2]]</f>
        <v>4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12</v>
      </c>
      <c r="E4908" s="6">
        <v>3</v>
      </c>
      <c r="F4908" s="6">
        <v>2</v>
      </c>
      <c r="G4908" s="6" t="s">
        <v>13</v>
      </c>
      <c r="H4908" s="6" t="s">
        <v>10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10</v>
      </c>
      <c r="E4909" s="6">
        <v>3</v>
      </c>
      <c r="F4909" s="6">
        <v>2</v>
      </c>
      <c r="G4909" s="6" t="s">
        <v>13</v>
      </c>
      <c r="H4909" s="6" t="s">
        <v>12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13</v>
      </c>
      <c r="E4910" s="6">
        <v>3</v>
      </c>
      <c r="F4910" s="6">
        <v>2</v>
      </c>
      <c r="G4910" s="6" t="s">
        <v>18</v>
      </c>
      <c r="H4910" s="6" t="s">
        <v>10</v>
      </c>
      <c r="I4910" s="6">
        <f>TabJogos[[#This Row],[PontosTime1]]-TabJogos[[#This Row],[PontosTime2]]</f>
        <v>1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18</v>
      </c>
      <c r="E4911" s="6">
        <v>3</v>
      </c>
      <c r="F4911" s="6">
        <v>1</v>
      </c>
      <c r="G4911" s="6" t="s">
        <v>13</v>
      </c>
      <c r="H4911" s="6" t="s">
        <v>10</v>
      </c>
      <c r="I4911" s="6">
        <f>TabJogos[[#This Row],[PontosTime1]]-TabJogos[[#This Row],[PontosTime2]]</f>
        <v>2</v>
      </c>
    </row>
    <row r="4912" spans="1:9" ht="15" customHeight="1" x14ac:dyDescent="0.25">
      <c r="A4912" s="7">
        <v>4873</v>
      </c>
      <c r="B4912" s="1">
        <v>43810</v>
      </c>
      <c r="C4912" s="6" t="s">
        <v>11</v>
      </c>
      <c r="D4912" s="6" t="s">
        <v>10</v>
      </c>
      <c r="E4912" s="6">
        <v>0</v>
      </c>
      <c r="F4912" s="6">
        <v>3</v>
      </c>
      <c r="G4912" s="6" t="s">
        <v>13</v>
      </c>
      <c r="H4912" s="6" t="s">
        <v>18</v>
      </c>
      <c r="I4912" s="6">
        <f>TabJogos[[#This Row],[PontosTime1]]-TabJogos[[#This Row],[PontosTime2]]</f>
        <v>-3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17</v>
      </c>
      <c r="E4913" s="6">
        <v>4</v>
      </c>
      <c r="F4913" s="6">
        <v>2</v>
      </c>
      <c r="G4913" s="6" t="s">
        <v>10</v>
      </c>
      <c r="H4913" s="6" t="s">
        <v>18</v>
      </c>
      <c r="I4913" s="6">
        <f>TabJogos[[#This Row],[PontosTime1]]-TabJogos[[#This Row],[PontosTime2]]</f>
        <v>2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13</v>
      </c>
      <c r="E4914" s="6">
        <v>3</v>
      </c>
      <c r="F4914" s="6">
        <v>2</v>
      </c>
      <c r="G4914" s="6" t="s">
        <v>17</v>
      </c>
      <c r="H4914" s="6" t="s">
        <v>18</v>
      </c>
      <c r="I4914" s="6">
        <f>TabJogos[[#This Row],[PontosTime1]]-TabJogos[[#This Row],[PontosTime2]]</f>
        <v>1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10</v>
      </c>
      <c r="E4915" s="6">
        <v>3</v>
      </c>
      <c r="F4915" s="6">
        <v>1</v>
      </c>
      <c r="G4915" s="6" t="s">
        <v>13</v>
      </c>
      <c r="H4915" s="6" t="s">
        <v>18</v>
      </c>
      <c r="I4915" s="6">
        <f>TabJogos[[#This Row],[PontosTime1]]-TabJogos[[#This Row],[PontosTime2]]</f>
        <v>2</v>
      </c>
    </row>
    <row r="4916" spans="1:9" ht="15" customHeight="1" x14ac:dyDescent="0.25">
      <c r="A4916" s="7">
        <v>4877</v>
      </c>
      <c r="B4916" s="1">
        <v>43811</v>
      </c>
      <c r="C4916" s="6" t="s">
        <v>11</v>
      </c>
      <c r="D4916" s="6" t="s">
        <v>18</v>
      </c>
      <c r="E4916" s="6">
        <v>2</v>
      </c>
      <c r="F4916" s="6">
        <v>3</v>
      </c>
      <c r="G4916" s="6" t="s">
        <v>10</v>
      </c>
      <c r="H4916" s="6" t="s">
        <v>13</v>
      </c>
      <c r="I4916" s="6">
        <f>TabJogos[[#This Row],[PontosTime1]]-TabJogos[[#This Row],[PontosTime2]]</f>
        <v>-1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17</v>
      </c>
      <c r="E4917" s="6">
        <v>0</v>
      </c>
      <c r="F4917" s="6">
        <v>5</v>
      </c>
      <c r="G4917" s="6" t="s">
        <v>13</v>
      </c>
      <c r="H4917" s="6" t="s">
        <v>10</v>
      </c>
      <c r="I4917" s="6">
        <f>TabJogos[[#This Row],[PontosTime1]]-TabJogos[[#This Row],[PontosTime2]]</f>
        <v>-5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10</v>
      </c>
      <c r="E4918" s="6">
        <v>3</v>
      </c>
      <c r="F4918" s="6">
        <v>1</v>
      </c>
      <c r="G4918" s="6" t="s">
        <v>17</v>
      </c>
      <c r="H4918" s="6" t="s">
        <v>13</v>
      </c>
      <c r="I4918" s="6">
        <f>TabJogos[[#This Row],[PontosTime1]]-TabJogos[[#This Row],[PontosTime2]]</f>
        <v>2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13</v>
      </c>
      <c r="E4919" s="6">
        <v>3</v>
      </c>
      <c r="F4919" s="6">
        <v>2</v>
      </c>
      <c r="G4919" s="6" t="s">
        <v>10</v>
      </c>
      <c r="H4919" s="6" t="s">
        <v>17</v>
      </c>
      <c r="I4919" s="6">
        <f>TabJogos[[#This Row],[PontosTime1]]-TabJogos[[#This Row],[PontosTime2]]</f>
        <v>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17</v>
      </c>
      <c r="E4920" s="6">
        <v>2</v>
      </c>
      <c r="F4920" s="6">
        <v>3</v>
      </c>
      <c r="G4920" s="6" t="s">
        <v>10</v>
      </c>
      <c r="H4920" s="6" t="s">
        <v>13</v>
      </c>
      <c r="I4920" s="6">
        <f>TabJogos[[#This Row],[PontosTime1]]-TabJogos[[#This Row],[PontosTime2]]</f>
        <v>-1</v>
      </c>
    </row>
    <row r="4921" spans="1:9" ht="15" customHeight="1" x14ac:dyDescent="0.25">
      <c r="A4921" s="7">
        <v>4882</v>
      </c>
      <c r="B4921" s="1">
        <v>43812</v>
      </c>
      <c r="C4921" s="6" t="s">
        <v>11</v>
      </c>
      <c r="D4921" s="6" t="s">
        <v>10</v>
      </c>
      <c r="E4921" s="6">
        <v>4</v>
      </c>
      <c r="F4921" s="6">
        <v>2</v>
      </c>
      <c r="G4921" s="6" t="s">
        <v>17</v>
      </c>
      <c r="H4921" s="6" t="s">
        <v>13</v>
      </c>
      <c r="I4921" s="6">
        <f>TabJogos[[#This Row],[PontosTime1]]-TabJogos[[#This Row],[PontosTime2]]</f>
        <v>2</v>
      </c>
    </row>
    <row r="4922" spans="1:9" ht="15" customHeight="1" x14ac:dyDescent="0.25">
      <c r="A4922" s="7">
        <v>4883</v>
      </c>
      <c r="B4922" s="1">
        <v>43812</v>
      </c>
      <c r="C4922" s="6" t="s">
        <v>10</v>
      </c>
      <c r="D4922" s="6" t="s">
        <v>17</v>
      </c>
      <c r="E4922" s="6">
        <v>2</v>
      </c>
      <c r="F4922" s="6">
        <v>3</v>
      </c>
      <c r="G4922" s="6" t="s">
        <v>11</v>
      </c>
      <c r="H4922" s="6" t="s">
        <v>13</v>
      </c>
      <c r="I4922" s="6">
        <f>TabJogos[[#This Row],[PontosTime1]]-TabJogos[[#This Row],[PontosTime2]]</f>
        <v>-1</v>
      </c>
    </row>
    <row r="4923" spans="1:9" ht="15" customHeight="1" x14ac:dyDescent="0.25">
      <c r="A4923" s="7">
        <v>4884</v>
      </c>
      <c r="B4923" s="1">
        <v>43812</v>
      </c>
      <c r="C4923" s="6" t="s">
        <v>11</v>
      </c>
      <c r="D4923" s="6" t="s">
        <v>17</v>
      </c>
      <c r="E4923" s="6">
        <v>3</v>
      </c>
      <c r="F4923" s="6">
        <v>1</v>
      </c>
      <c r="G4923" s="6" t="s">
        <v>10</v>
      </c>
      <c r="H4923" s="6" t="s">
        <v>13</v>
      </c>
      <c r="I4923" s="6">
        <f>TabJogos[[#This Row],[PontosTime1]]-TabJogos[[#This Row],[PontosTime2]]</f>
        <v>2</v>
      </c>
    </row>
    <row r="4924" spans="1:9" ht="15" customHeight="1" x14ac:dyDescent="0.25">
      <c r="A4924" s="7">
        <v>4885</v>
      </c>
      <c r="B4924" s="1">
        <v>43812</v>
      </c>
      <c r="C4924" s="6" t="s">
        <v>13</v>
      </c>
      <c r="D4924" s="6" t="s">
        <v>17</v>
      </c>
      <c r="E4924" s="6">
        <v>3</v>
      </c>
      <c r="F4924" s="6">
        <v>0</v>
      </c>
      <c r="G4924" s="6" t="s">
        <v>10</v>
      </c>
      <c r="H4924" s="6" t="s">
        <v>11</v>
      </c>
      <c r="I4924" s="6">
        <f>TabJogos[[#This Row],[PontosTime1]]-TabJogos[[#This Row],[PontosTime2]]</f>
        <v>3</v>
      </c>
    </row>
    <row r="4925" spans="1:9" ht="15" customHeight="1" x14ac:dyDescent="0.25">
      <c r="A4925" s="7">
        <v>4886</v>
      </c>
      <c r="B4925" s="1">
        <v>43812</v>
      </c>
      <c r="C4925" s="6" t="s">
        <v>10</v>
      </c>
      <c r="D4925" s="6" t="s">
        <v>17</v>
      </c>
      <c r="E4925" s="6">
        <v>3</v>
      </c>
      <c r="F4925" s="6">
        <v>1</v>
      </c>
      <c r="G4925" s="6" t="s">
        <v>13</v>
      </c>
      <c r="H4925" s="6" t="s">
        <v>11</v>
      </c>
      <c r="I4925" s="6">
        <f>TabJogos[[#This Row],[PontosTime1]]-TabJogos[[#This Row],[PontosTime2]]</f>
        <v>2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10</v>
      </c>
      <c r="E4926" s="6">
        <v>3</v>
      </c>
      <c r="F4926" s="6">
        <v>2</v>
      </c>
      <c r="G4926" s="6" t="s">
        <v>11</v>
      </c>
      <c r="H4926" s="6" t="s">
        <v>9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18</v>
      </c>
      <c r="D4927" s="6" t="s">
        <v>9</v>
      </c>
      <c r="E4927" s="6">
        <v>3</v>
      </c>
      <c r="F4927" s="6">
        <v>2</v>
      </c>
      <c r="G4927" s="6" t="s">
        <v>11</v>
      </c>
      <c r="H4927" s="6" t="s">
        <v>10</v>
      </c>
      <c r="I4927" s="6">
        <f>TabJogos[[#This Row],[PontosTime1]]-TabJogos[[#This Row],[PontosTime2]]</f>
        <v>1</v>
      </c>
    </row>
    <row r="4928" spans="1:9" ht="15" customHeight="1" x14ac:dyDescent="0.25">
      <c r="A4928" s="7">
        <v>4889</v>
      </c>
      <c r="B4928" s="1">
        <v>43816</v>
      </c>
      <c r="C4928" s="6" t="s">
        <v>9</v>
      </c>
      <c r="D4928" s="6" t="s">
        <v>10</v>
      </c>
      <c r="E4928" s="6">
        <v>3</v>
      </c>
      <c r="F4928" s="6">
        <v>0</v>
      </c>
      <c r="G4928" s="6" t="s">
        <v>11</v>
      </c>
      <c r="H4928" s="6" t="s">
        <v>18</v>
      </c>
      <c r="I4928" s="6">
        <f>TabJogos[[#This Row],[PontosTime1]]-TabJogos[[#This Row],[PontosTime2]]</f>
        <v>3</v>
      </c>
    </row>
    <row r="4929" spans="1:9" ht="15" customHeight="1" x14ac:dyDescent="0.25">
      <c r="A4929" s="7">
        <v>4890</v>
      </c>
      <c r="B4929" s="1">
        <v>43816</v>
      </c>
      <c r="C4929" s="6" t="s">
        <v>18</v>
      </c>
      <c r="D4929" s="6" t="s">
        <v>10</v>
      </c>
      <c r="E4929" s="6">
        <v>0</v>
      </c>
      <c r="F4929" s="6">
        <v>3</v>
      </c>
      <c r="G4929" s="6" t="s">
        <v>11</v>
      </c>
      <c r="H4929" s="6" t="s">
        <v>9</v>
      </c>
      <c r="I4929" s="6">
        <f>TabJogos[[#This Row],[PontosTime1]]-TabJogos[[#This Row],[PontosTime2]]</f>
        <v>-3</v>
      </c>
    </row>
    <row r="4930" spans="1:9" ht="15" customHeight="1" x14ac:dyDescent="0.25">
      <c r="A4930" s="7">
        <v>4891</v>
      </c>
      <c r="B4930" s="1">
        <v>43816</v>
      </c>
      <c r="C4930" s="6" t="s">
        <v>11</v>
      </c>
      <c r="D4930" s="6" t="s">
        <v>10</v>
      </c>
      <c r="E4930" s="6">
        <v>0</v>
      </c>
      <c r="F4930" s="6">
        <v>4</v>
      </c>
      <c r="G4930" s="6" t="s">
        <v>9</v>
      </c>
      <c r="H4930" s="6" t="s">
        <v>18</v>
      </c>
      <c r="I4930" s="6">
        <f>TabJogos[[#This Row],[PontosTime1]]-TabJogos[[#This Row],[PontosTime2]]</f>
        <v>-4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10</v>
      </c>
      <c r="E4931" s="6">
        <v>3</v>
      </c>
      <c r="F4931" s="6">
        <v>0</v>
      </c>
      <c r="G4931" s="6" t="s">
        <v>11</v>
      </c>
      <c r="H4931" s="6" t="s">
        <v>18</v>
      </c>
      <c r="I4931" s="6">
        <f>TabJogos[[#This Row],[PontosTime1]]-TabJogos[[#This Row],[PontosTime2]]</f>
        <v>3</v>
      </c>
    </row>
    <row r="4932" spans="1:9" ht="15" customHeight="1" x14ac:dyDescent="0.25">
      <c r="A4932" s="7">
        <v>4893</v>
      </c>
      <c r="B4932" s="1">
        <v>43816</v>
      </c>
      <c r="C4932" s="6" t="s">
        <v>9</v>
      </c>
      <c r="D4932" s="6" t="s">
        <v>64</v>
      </c>
      <c r="E4932" s="6">
        <v>1</v>
      </c>
      <c r="F4932" s="6">
        <v>3</v>
      </c>
      <c r="G4932" s="6" t="s">
        <v>10</v>
      </c>
      <c r="H4932" s="6" t="s">
        <v>41</v>
      </c>
      <c r="I4932" s="6">
        <f>TabJogos[[#This Row],[PontosTime1]]-TabJogos[[#This Row],[PontosTime2]]</f>
        <v>-2</v>
      </c>
    </row>
    <row r="4933" spans="1:9" ht="15" customHeight="1" x14ac:dyDescent="0.25">
      <c r="A4933" s="7">
        <v>4894</v>
      </c>
      <c r="B4933" s="1">
        <v>43816</v>
      </c>
      <c r="C4933" s="6" t="s">
        <v>10</v>
      </c>
      <c r="D4933" s="6" t="s">
        <v>11</v>
      </c>
      <c r="E4933" s="6">
        <v>5</v>
      </c>
      <c r="F4933" s="6">
        <v>2</v>
      </c>
      <c r="G4933" s="6" t="s">
        <v>18</v>
      </c>
      <c r="H4933" s="6" t="s">
        <v>41</v>
      </c>
      <c r="I4933" s="6">
        <f>TabJogos[[#This Row],[PontosTime1]]-TabJogos[[#This Row],[PontosTime2]]</f>
        <v>3</v>
      </c>
    </row>
    <row r="4934" spans="1:9" ht="15" customHeight="1" x14ac:dyDescent="0.25">
      <c r="A4934" s="7">
        <v>4895</v>
      </c>
      <c r="B4934" s="1">
        <v>43816</v>
      </c>
      <c r="C4934" s="6" t="s">
        <v>11</v>
      </c>
      <c r="D4934" s="6" t="s">
        <v>9</v>
      </c>
      <c r="E4934" s="6">
        <v>3</v>
      </c>
      <c r="F4934" s="6">
        <v>2</v>
      </c>
      <c r="G4934" s="6" t="s">
        <v>10</v>
      </c>
      <c r="H4934" s="6" t="s">
        <v>64</v>
      </c>
      <c r="I4934" s="6">
        <f>TabJogos[[#This Row],[PontosTime1]]-TabJogos[[#This Row],[PontosTime2]]</f>
        <v>1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18</v>
      </c>
      <c r="E4935" s="6">
        <v>3</v>
      </c>
      <c r="F4935" s="6">
        <v>0</v>
      </c>
      <c r="G4935" s="6" t="s">
        <v>11</v>
      </c>
      <c r="H4935" s="6" t="s">
        <v>41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41</v>
      </c>
      <c r="E4936" s="6">
        <v>3</v>
      </c>
      <c r="F4936" s="6">
        <v>0</v>
      </c>
      <c r="G4936" s="6" t="s">
        <v>64</v>
      </c>
      <c r="H4936" s="6" t="s">
        <v>18</v>
      </c>
      <c r="I4936" s="6">
        <f>TabJogos[[#This Row],[PontosTime1]]-TabJogos[[#This Row],[PontosTime2]]</f>
        <v>3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11</v>
      </c>
      <c r="E4937" s="6">
        <v>2</v>
      </c>
      <c r="F4937" s="6">
        <v>3</v>
      </c>
      <c r="G4937" s="6" t="s">
        <v>64</v>
      </c>
      <c r="H4937" s="6" t="s">
        <v>18</v>
      </c>
      <c r="I4937" s="6">
        <f>TabJogos[[#This Row],[PontosTime1]]-TabJogos[[#This Row],[PontosTime2]]</f>
        <v>-1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64</v>
      </c>
      <c r="E4938" s="6">
        <v>1</v>
      </c>
      <c r="F4938" s="6">
        <v>3</v>
      </c>
      <c r="G4938" s="6" t="s">
        <v>64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43816</v>
      </c>
      <c r="C4939" s="6" t="s">
        <v>9</v>
      </c>
      <c r="D4939" s="6" t="s">
        <v>18</v>
      </c>
      <c r="E4939" s="6">
        <v>1</v>
      </c>
      <c r="F4939" s="6">
        <v>3</v>
      </c>
      <c r="G4939" s="6" t="s">
        <v>18</v>
      </c>
      <c r="H4939" s="6" t="s">
        <v>11</v>
      </c>
      <c r="I4939" s="6">
        <f>TabJogos[[#This Row],[PontosTime1]]-TabJogos[[#This Row],[PontosTime2]]</f>
        <v>-2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10</v>
      </c>
      <c r="E4940" s="6">
        <v>2</v>
      </c>
      <c r="F4940" s="6">
        <v>3</v>
      </c>
      <c r="G4940" s="6" t="s">
        <v>17</v>
      </c>
      <c r="H4940" s="6" t="s">
        <v>11</v>
      </c>
      <c r="I4940" s="6">
        <f>TabJogos[[#This Row],[PontosTime1]]-TabJogos[[#This Row],[PontosTime2]]</f>
        <v>-1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17</v>
      </c>
      <c r="E4941" s="6">
        <v>3</v>
      </c>
      <c r="F4941" s="6">
        <v>0</v>
      </c>
      <c r="G4941" s="6" t="s">
        <v>10</v>
      </c>
      <c r="H4941" s="6" t="s">
        <v>11</v>
      </c>
      <c r="I4941" s="6">
        <f>TabJogos[[#This Row],[PontosTime1]]-TabJogos[[#This Row],[PontosTime2]]</f>
        <v>3</v>
      </c>
    </row>
    <row r="4942" spans="1:9" ht="15" customHeight="1" x14ac:dyDescent="0.25">
      <c r="A4942" s="7">
        <v>4903</v>
      </c>
      <c r="B4942" s="1">
        <v>43817</v>
      </c>
      <c r="C4942" s="6" t="s">
        <v>18</v>
      </c>
      <c r="D4942" s="6" t="s">
        <v>11</v>
      </c>
      <c r="E4942" s="6">
        <v>1</v>
      </c>
      <c r="F4942" s="6">
        <v>3</v>
      </c>
      <c r="G4942" s="6" t="s">
        <v>10</v>
      </c>
      <c r="H4942" s="6" t="s">
        <v>17</v>
      </c>
      <c r="I4942" s="6">
        <f>TabJogos[[#This Row],[PontosTime1]]-TabJogos[[#This Row],[PontosTime2]]</f>
        <v>-2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18</v>
      </c>
      <c r="E4943" s="6">
        <v>3</v>
      </c>
      <c r="F4943" s="6">
        <v>1</v>
      </c>
      <c r="G4943" s="6" t="s">
        <v>11</v>
      </c>
      <c r="H4943" s="6" t="s">
        <v>17</v>
      </c>
      <c r="I4943" s="6">
        <f>TabJogos[[#This Row],[PontosTime1]]-TabJogos[[#This Row],[PontosTime2]]</f>
        <v>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1</v>
      </c>
      <c r="F4944" s="6">
        <v>3</v>
      </c>
      <c r="G4944" s="6" t="s">
        <v>17</v>
      </c>
      <c r="H4944" s="6" t="s">
        <v>18</v>
      </c>
      <c r="I4944" s="6">
        <f>TabJogos[[#This Row],[PontosTime1]]-TabJogos[[#This Row],[PontosTime2]]</f>
        <v>-2</v>
      </c>
    </row>
    <row r="4945" spans="1:9" ht="15" customHeight="1" x14ac:dyDescent="0.25">
      <c r="A4945" s="7">
        <v>4906</v>
      </c>
      <c r="B4945" s="1">
        <v>43817</v>
      </c>
      <c r="C4945" s="6" t="s">
        <v>10</v>
      </c>
      <c r="D4945" s="6" t="s">
        <v>11</v>
      </c>
      <c r="E4945" s="6">
        <v>3</v>
      </c>
      <c r="F4945" s="6">
        <v>2</v>
      </c>
      <c r="G4945" s="6" t="s">
        <v>64</v>
      </c>
      <c r="H4945" s="6" t="s">
        <v>18</v>
      </c>
      <c r="I4945" s="6">
        <f>TabJogos[[#This Row],[PontosTime1]]-TabJogos[[#This Row],[PontosTime2]]</f>
        <v>1</v>
      </c>
    </row>
    <row r="4946" spans="1:9" ht="15" customHeight="1" x14ac:dyDescent="0.25">
      <c r="A4946" s="7">
        <v>4907</v>
      </c>
      <c r="B4946" s="1">
        <v>43817</v>
      </c>
      <c r="C4946" s="6" t="s">
        <v>18</v>
      </c>
      <c r="D4946" s="6" t="s">
        <v>11</v>
      </c>
      <c r="E4946" s="6">
        <v>4</v>
      </c>
      <c r="F4946" s="6">
        <v>0</v>
      </c>
      <c r="G4946" s="6" t="s">
        <v>64</v>
      </c>
      <c r="H4946" s="6" t="s">
        <v>10</v>
      </c>
      <c r="I4946" s="6">
        <f>TabJogos[[#This Row],[PontosTime1]]-TabJogos[[#This Row],[PontosTime2]]</f>
        <v>4</v>
      </c>
    </row>
    <row r="4947" spans="1:9" ht="15" customHeight="1" x14ac:dyDescent="0.25">
      <c r="A4947" s="7">
        <v>4908</v>
      </c>
      <c r="B4947" s="1">
        <v>43817</v>
      </c>
      <c r="C4947" s="6" t="s">
        <v>11</v>
      </c>
      <c r="D4947" s="6" t="s">
        <v>64</v>
      </c>
      <c r="E4947" s="6">
        <v>3</v>
      </c>
      <c r="F4947" s="6">
        <v>1</v>
      </c>
      <c r="G4947" s="6" t="s">
        <v>18</v>
      </c>
      <c r="H4947" s="6" t="s">
        <v>10</v>
      </c>
      <c r="I4947" s="6">
        <f>TabJogos[[#This Row],[PontosTime1]]-TabJogos[[#This Row],[PontosTime2]]</f>
        <v>2</v>
      </c>
    </row>
    <row r="4948" spans="1:9" ht="15" customHeight="1" x14ac:dyDescent="0.25">
      <c r="A4948" s="7">
        <v>4909</v>
      </c>
      <c r="B4948" s="1">
        <v>43817</v>
      </c>
      <c r="C4948" s="6" t="s">
        <v>11</v>
      </c>
      <c r="D4948" s="6" t="s">
        <v>10</v>
      </c>
      <c r="E4948" s="6">
        <v>4</v>
      </c>
      <c r="F4948" s="6">
        <v>0</v>
      </c>
      <c r="G4948" s="6" t="s">
        <v>18</v>
      </c>
      <c r="H4948" s="6" t="s">
        <v>64</v>
      </c>
      <c r="I4948" s="6">
        <f>TabJogos[[#This Row],[PontosTime1]]-TabJogos[[#This Row],[PontosTime2]]</f>
        <v>4</v>
      </c>
    </row>
    <row r="4949" spans="1:9" ht="15" customHeight="1" x14ac:dyDescent="0.25">
      <c r="A4949" s="7">
        <v>4910</v>
      </c>
      <c r="B4949" s="1">
        <v>43817</v>
      </c>
      <c r="C4949" s="6" t="s">
        <v>11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10</v>
      </c>
      <c r="I4949" s="6">
        <f>TabJogos[[#This Row],[PontosTime1]]-TabJogos[[#This Row],[PontosTime2]]</f>
        <v>2</v>
      </c>
    </row>
    <row r="4950" spans="1:9" ht="15" customHeight="1" x14ac:dyDescent="0.25">
      <c r="A4950" s="7">
        <v>4911</v>
      </c>
      <c r="B4950" s="1">
        <v>43817</v>
      </c>
      <c r="C4950" s="6" t="s">
        <v>10</v>
      </c>
      <c r="D4950" s="6" t="s">
        <v>64</v>
      </c>
      <c r="E4950" s="6">
        <v>3</v>
      </c>
      <c r="F4950" s="6">
        <v>1</v>
      </c>
      <c r="G4950" s="6" t="s">
        <v>18</v>
      </c>
      <c r="H4950" s="6" t="s">
        <v>11</v>
      </c>
      <c r="I4950" s="6">
        <f>TabJogos[[#This Row],[PontosTime1]]-TabJogos[[#This Row],[PontosTime2]]</f>
        <v>2</v>
      </c>
    </row>
    <row r="4951" spans="1:9" ht="15" customHeight="1" x14ac:dyDescent="0.25">
      <c r="A4951" s="7">
        <v>4912</v>
      </c>
      <c r="B4951" s="1">
        <v>43818</v>
      </c>
      <c r="C4951" s="6" t="s">
        <v>18</v>
      </c>
      <c r="D4951" s="6" t="s">
        <v>10</v>
      </c>
      <c r="E4951" s="6">
        <v>3</v>
      </c>
      <c r="F4951" s="6">
        <v>2</v>
      </c>
      <c r="G4951" s="6" t="s">
        <v>9</v>
      </c>
      <c r="H4951" s="6" t="s">
        <v>11</v>
      </c>
      <c r="I4951" s="6">
        <f>TabJogos[[#This Row],[PontosTime1]]-TabJogos[[#This Row],[PontosTime2]]</f>
        <v>1</v>
      </c>
    </row>
    <row r="4952" spans="1:9" ht="15" customHeight="1" x14ac:dyDescent="0.25">
      <c r="A4952" s="7">
        <v>4913</v>
      </c>
      <c r="B4952" s="1">
        <v>43818</v>
      </c>
      <c r="C4952" s="6" t="s">
        <v>9</v>
      </c>
      <c r="D4952" s="6" t="s">
        <v>10</v>
      </c>
      <c r="E4952" s="6">
        <v>0</v>
      </c>
      <c r="F4952" s="6">
        <v>3</v>
      </c>
      <c r="G4952" s="6" t="s">
        <v>18</v>
      </c>
      <c r="H4952" s="6" t="s">
        <v>64</v>
      </c>
      <c r="I4952" s="6">
        <f>TabJogos[[#This Row],[PontosTime1]]-TabJogos[[#This Row],[PontosTime2]]</f>
        <v>-3</v>
      </c>
    </row>
    <row r="4953" spans="1:9" ht="15" customHeight="1" x14ac:dyDescent="0.25">
      <c r="A4953" s="7">
        <v>4914</v>
      </c>
      <c r="B4953" s="1">
        <v>43818</v>
      </c>
      <c r="C4953" s="6" t="s">
        <v>10</v>
      </c>
      <c r="D4953" s="6" t="s">
        <v>64</v>
      </c>
      <c r="E4953" s="6">
        <v>3</v>
      </c>
      <c r="F4953" s="6">
        <v>1</v>
      </c>
      <c r="G4953" s="6" t="s">
        <v>18</v>
      </c>
      <c r="H4953" s="6" t="s">
        <v>11</v>
      </c>
      <c r="I4953" s="6">
        <f>TabJogos[[#This Row],[PontosTime1]]-TabJogos[[#This Row],[PontosTime2]]</f>
        <v>2</v>
      </c>
    </row>
    <row r="4954" spans="1:9" ht="15" customHeight="1" x14ac:dyDescent="0.25">
      <c r="A4954" s="7">
        <v>4915</v>
      </c>
      <c r="B4954" s="1">
        <v>43818</v>
      </c>
      <c r="C4954" s="6" t="s">
        <v>9</v>
      </c>
      <c r="D4954" s="6" t="s">
        <v>18</v>
      </c>
      <c r="E4954" s="6">
        <v>3</v>
      </c>
      <c r="F4954" s="6">
        <v>1</v>
      </c>
      <c r="G4954" s="6" t="s">
        <v>64</v>
      </c>
      <c r="H4954" s="6" t="s">
        <v>11</v>
      </c>
      <c r="I4954" s="6">
        <f>TabJogos[[#This Row],[PontosTime1]]-TabJogos[[#This Row],[PontosTime2]]</f>
        <v>2</v>
      </c>
    </row>
    <row r="4955" spans="1:9" ht="15" customHeight="1" x14ac:dyDescent="0.25">
      <c r="A4955" s="7">
        <v>4916</v>
      </c>
      <c r="B4955" s="1">
        <v>43818</v>
      </c>
      <c r="C4955" s="6" t="s">
        <v>9</v>
      </c>
      <c r="D4955" s="6" t="s">
        <v>11</v>
      </c>
      <c r="E4955" s="6">
        <v>3</v>
      </c>
      <c r="F4955" s="6">
        <v>2</v>
      </c>
      <c r="G4955" s="6" t="s">
        <v>10</v>
      </c>
      <c r="H4955" s="6" t="s">
        <v>18</v>
      </c>
      <c r="I4955" s="6">
        <f>TabJogos[[#This Row],[PontosTime1]]-TabJogos[[#This Row],[PontosTime2]]</f>
        <v>1</v>
      </c>
    </row>
    <row r="4956" spans="1:9" ht="15" customHeight="1" x14ac:dyDescent="0.25">
      <c r="A4956" s="7">
        <v>4917</v>
      </c>
      <c r="B4956" s="1">
        <v>43818</v>
      </c>
      <c r="C4956" s="6" t="s">
        <v>11</v>
      </c>
      <c r="D4956" s="6" t="s">
        <v>41</v>
      </c>
      <c r="E4956" s="6">
        <v>3</v>
      </c>
      <c r="F4956" s="6">
        <v>1</v>
      </c>
      <c r="G4956" s="6" t="s">
        <v>9</v>
      </c>
      <c r="H4956" s="6" t="s">
        <v>64</v>
      </c>
      <c r="I4956" s="6">
        <f>TabJogos[[#This Row],[PontosTime1]]-TabJogos[[#This Row],[PontosTime2]]</f>
        <v>2</v>
      </c>
    </row>
    <row r="4957" spans="1:9" ht="15" customHeight="1" x14ac:dyDescent="0.25">
      <c r="A4957" s="7">
        <v>4918</v>
      </c>
      <c r="B4957" s="1">
        <v>43818</v>
      </c>
      <c r="C4957" s="6" t="s">
        <v>9</v>
      </c>
      <c r="D4957" s="6" t="s">
        <v>11</v>
      </c>
      <c r="E4957" s="6">
        <v>3</v>
      </c>
      <c r="F4957" s="6">
        <v>2</v>
      </c>
      <c r="G4957" s="6" t="s">
        <v>41</v>
      </c>
      <c r="H4957" s="6" t="s">
        <v>18</v>
      </c>
      <c r="I4957" s="6">
        <f>TabJogos[[#This Row],[PontosTime1]]-TabJogos[[#This Row],[PontosTime2]]</f>
        <v>1</v>
      </c>
    </row>
    <row r="4958" spans="1:9" ht="15" customHeight="1" x14ac:dyDescent="0.25">
      <c r="A4958" s="7">
        <v>4919</v>
      </c>
      <c r="B4958" s="1">
        <v>43818</v>
      </c>
      <c r="C4958" s="6" t="s">
        <v>9</v>
      </c>
      <c r="D4958" s="6" t="s">
        <v>41</v>
      </c>
      <c r="E4958" s="6">
        <v>3</v>
      </c>
      <c r="F4958" s="6">
        <v>0</v>
      </c>
      <c r="G4958" s="6" t="s">
        <v>11</v>
      </c>
      <c r="H4958" s="6" t="s">
        <v>64</v>
      </c>
      <c r="I4958" s="6">
        <f>TabJogos[[#This Row],[PontosTime1]]-TabJogos[[#This Row],[PontosTime2]]</f>
        <v>3</v>
      </c>
    </row>
    <row r="4959" spans="1:9" ht="15" customHeight="1" x14ac:dyDescent="0.25">
      <c r="A4959" s="7">
        <v>4920</v>
      </c>
      <c r="B4959" s="1">
        <v>43818</v>
      </c>
      <c r="C4959" s="6" t="s">
        <v>11</v>
      </c>
      <c r="D4959" s="6" t="s">
        <v>11</v>
      </c>
      <c r="E4959" s="6">
        <v>3</v>
      </c>
      <c r="F4959" s="6">
        <v>2</v>
      </c>
      <c r="G4959" s="6" t="s">
        <v>9</v>
      </c>
      <c r="H4959" s="6" t="s">
        <v>18</v>
      </c>
      <c r="I4959" s="6">
        <f>TabJogos[[#This Row],[PontosTime1]]-TabJogos[[#This Row],[PontosTime2]]</f>
        <v>1</v>
      </c>
    </row>
    <row r="4960" spans="1:9" ht="15" customHeight="1" x14ac:dyDescent="0.25">
      <c r="A4960" s="7">
        <v>4921</v>
      </c>
      <c r="B4960" s="1">
        <v>43819</v>
      </c>
      <c r="C4960" s="6" t="s">
        <v>9</v>
      </c>
      <c r="D4960" s="6" t="s">
        <v>11</v>
      </c>
      <c r="E4960" s="6">
        <v>3</v>
      </c>
      <c r="F4960" s="6">
        <v>0</v>
      </c>
      <c r="G4960" s="6" t="s">
        <v>10</v>
      </c>
      <c r="H4960" s="6" t="s">
        <v>18</v>
      </c>
      <c r="I4960" s="6">
        <f>TabJogos[[#This Row],[PontosTime1]]-TabJogos[[#This Row],[PontosTime2]]</f>
        <v>3</v>
      </c>
    </row>
    <row r="4961" spans="1:9" ht="15" customHeight="1" x14ac:dyDescent="0.25">
      <c r="A4961" s="7">
        <v>4922</v>
      </c>
      <c r="B4961" s="1">
        <v>43819</v>
      </c>
      <c r="C4961" s="6" t="s">
        <v>9</v>
      </c>
      <c r="D4961" s="6" t="s">
        <v>18</v>
      </c>
      <c r="E4961" s="6">
        <v>3</v>
      </c>
      <c r="F4961" s="6">
        <v>0</v>
      </c>
      <c r="G4961" s="6" t="s">
        <v>11</v>
      </c>
      <c r="H4961" s="6" t="s">
        <v>10</v>
      </c>
      <c r="I4961" s="6">
        <f>TabJogos[[#This Row],[PontosTime1]]-TabJogos[[#This Row],[PontosTime2]]</f>
        <v>3</v>
      </c>
    </row>
    <row r="4962" spans="1:9" ht="15" customHeight="1" x14ac:dyDescent="0.25">
      <c r="A4962" s="7">
        <v>4923</v>
      </c>
      <c r="B4962" s="1">
        <v>43819</v>
      </c>
      <c r="C4962" s="6" t="s">
        <v>9</v>
      </c>
      <c r="D4962" s="6" t="s">
        <v>10</v>
      </c>
      <c r="E4962" s="6">
        <v>3</v>
      </c>
      <c r="F4962" s="6">
        <v>0</v>
      </c>
      <c r="G4962" s="6" t="s">
        <v>18</v>
      </c>
      <c r="H4962" s="6" t="s">
        <v>64</v>
      </c>
      <c r="I4962" s="6">
        <f>TabJogos[[#This Row],[PontosTime1]]-TabJogos[[#This Row],[PontosTime2]]</f>
        <v>3</v>
      </c>
    </row>
    <row r="4963" spans="1:9" ht="15" customHeight="1" x14ac:dyDescent="0.25">
      <c r="A4963" s="7">
        <v>4924</v>
      </c>
      <c r="B4963" s="1">
        <v>43819</v>
      </c>
      <c r="C4963" s="6" t="s">
        <v>10</v>
      </c>
      <c r="D4963" s="6" t="s">
        <v>18</v>
      </c>
      <c r="E4963" s="6">
        <v>3</v>
      </c>
      <c r="F4963" s="6">
        <v>1</v>
      </c>
      <c r="G4963" s="6" t="s">
        <v>11</v>
      </c>
      <c r="H4963" s="6" t="s">
        <v>9</v>
      </c>
      <c r="I4963" s="6">
        <f>TabJogos[[#This Row],[PontosTime1]]-TabJogos[[#This Row],[PontosTime2]]</f>
        <v>2</v>
      </c>
    </row>
    <row r="4964" spans="1:9" ht="15" customHeight="1" x14ac:dyDescent="0.25">
      <c r="A4964" s="7">
        <v>4925</v>
      </c>
      <c r="B4964" s="1">
        <v>43819</v>
      </c>
      <c r="C4964" s="6" t="s">
        <v>10</v>
      </c>
      <c r="D4964" s="6" t="s">
        <v>64</v>
      </c>
      <c r="E4964" s="6">
        <v>3</v>
      </c>
      <c r="F4964" s="6">
        <v>1</v>
      </c>
      <c r="G4964" s="6" t="s">
        <v>41</v>
      </c>
      <c r="H4964" s="6" t="s">
        <v>18</v>
      </c>
      <c r="I4964" s="6">
        <f>TabJogos[[#This Row],[PontosTime1]]-TabJogos[[#This Row],[PontosTime2]]</f>
        <v>2</v>
      </c>
    </row>
    <row r="4965" spans="1:9" ht="15" customHeight="1" x14ac:dyDescent="0.25">
      <c r="A4965" s="7">
        <v>4926</v>
      </c>
      <c r="B4965" s="1">
        <v>43819</v>
      </c>
      <c r="C4965" s="6" t="s">
        <v>10</v>
      </c>
      <c r="D4965" s="6" t="s">
        <v>11</v>
      </c>
      <c r="E4965" s="6">
        <v>3</v>
      </c>
      <c r="F4965" s="6">
        <v>1</v>
      </c>
      <c r="G4965" s="6" t="s">
        <v>9</v>
      </c>
      <c r="H4965" s="6" t="s">
        <v>64</v>
      </c>
      <c r="I4965" s="6">
        <f>TabJogos[[#This Row],[PontosTime1]]-TabJogos[[#This Row],[PontosTime2]]</f>
        <v>2</v>
      </c>
    </row>
    <row r="4966" spans="1:9" ht="15" customHeight="1" x14ac:dyDescent="0.25">
      <c r="A4966" s="7">
        <v>4927</v>
      </c>
      <c r="B4966" s="1">
        <v>43819</v>
      </c>
      <c r="C4966" s="6" t="s">
        <v>9</v>
      </c>
      <c r="D4966" s="6" t="s">
        <v>10</v>
      </c>
      <c r="E4966" s="6">
        <v>2</v>
      </c>
      <c r="F4966" s="6">
        <v>3</v>
      </c>
      <c r="G4966" s="6" t="s">
        <v>18</v>
      </c>
      <c r="H4966" s="6" t="s">
        <v>11</v>
      </c>
      <c r="I4966" s="6">
        <f>TabJogos[[#This Row],[PontosTime1]]-TabJogos[[#This Row],[PontosTime2]]</f>
        <v>-1</v>
      </c>
    </row>
    <row r="4967" spans="1:9" ht="15" customHeight="1" x14ac:dyDescent="0.25">
      <c r="A4967" s="7">
        <v>4928</v>
      </c>
      <c r="B4967" s="1">
        <v>43819</v>
      </c>
      <c r="C4967" s="6" t="s">
        <v>11</v>
      </c>
      <c r="D4967" s="6" t="s">
        <v>64</v>
      </c>
      <c r="E4967" s="6">
        <v>3</v>
      </c>
      <c r="F4967" s="6">
        <v>0</v>
      </c>
      <c r="G4967" s="6" t="s">
        <v>18</v>
      </c>
      <c r="H4967" s="6" t="s">
        <v>9</v>
      </c>
      <c r="I4967" s="6">
        <f>TabJogos[[#This Row],[PontosTime1]]-TabJogos[[#This Row],[PontosTime2]]</f>
        <v>3</v>
      </c>
    </row>
    <row r="4968" spans="1:9" ht="15" customHeight="1" x14ac:dyDescent="0.25">
      <c r="A4968" s="7">
        <v>4929</v>
      </c>
      <c r="B4968" s="1">
        <v>43819</v>
      </c>
      <c r="C4968" s="6" t="s">
        <v>11</v>
      </c>
      <c r="D4968" s="6" t="s">
        <v>9</v>
      </c>
      <c r="E4968" s="6">
        <v>3</v>
      </c>
      <c r="F4968" s="6">
        <v>1</v>
      </c>
      <c r="G4968" s="6" t="s">
        <v>64</v>
      </c>
      <c r="H4968" s="6" t="s">
        <v>18</v>
      </c>
      <c r="I4968" s="6">
        <f>TabJogos[[#This Row],[PontosTime1]]-TabJogos[[#This Row],[PontosTime2]]</f>
        <v>2</v>
      </c>
    </row>
    <row r="4969" spans="1:9" ht="15" customHeight="1" x14ac:dyDescent="0.25">
      <c r="A4969" s="7">
        <v>4930</v>
      </c>
      <c r="B4969" s="1">
        <v>43819</v>
      </c>
      <c r="C4969" s="6" t="s">
        <v>18</v>
      </c>
      <c r="D4969" s="6" t="s">
        <v>11</v>
      </c>
      <c r="E4969" s="6">
        <v>3</v>
      </c>
      <c r="F4969" s="6">
        <v>0</v>
      </c>
      <c r="G4969" s="6" t="s">
        <v>64</v>
      </c>
      <c r="H4969" s="6" t="s">
        <v>9</v>
      </c>
      <c r="I4969" s="6">
        <f>TabJogos[[#This Row],[PontosTime1]]-TabJogos[[#This Row],[PontosTime2]]</f>
        <v>3</v>
      </c>
    </row>
    <row r="4970" spans="1:9" ht="15" customHeight="1" x14ac:dyDescent="0.25">
      <c r="A4970" s="7">
        <v>4931</v>
      </c>
      <c r="B4970" s="1">
        <v>43819</v>
      </c>
      <c r="C4970" s="6" t="s">
        <v>11</v>
      </c>
      <c r="D4970" s="6" t="s">
        <v>64</v>
      </c>
      <c r="E4970" s="6">
        <v>3</v>
      </c>
      <c r="F4970" s="6">
        <v>1</v>
      </c>
      <c r="G4970" s="6" t="s">
        <v>18</v>
      </c>
      <c r="H4970" s="6" t="s">
        <v>9</v>
      </c>
      <c r="I4970" s="6">
        <f>TabJogos[[#This Row],[PontosTime1]]-TabJogos[[#This Row],[PontosTime2]]</f>
        <v>2</v>
      </c>
    </row>
    <row r="4971" spans="1:9" ht="15" customHeight="1" x14ac:dyDescent="0.25">
      <c r="A4971" s="7">
        <v>4932</v>
      </c>
      <c r="B4971" s="1">
        <v>43819</v>
      </c>
      <c r="C4971" s="6" t="s">
        <v>11</v>
      </c>
      <c r="D4971" s="6" t="s">
        <v>9</v>
      </c>
      <c r="E4971" s="6">
        <v>3</v>
      </c>
      <c r="F4971" s="6">
        <v>1</v>
      </c>
      <c r="G4971" s="6" t="s">
        <v>64</v>
      </c>
      <c r="H4971" s="6" t="s">
        <v>18</v>
      </c>
      <c r="I4971" s="6">
        <f>TabJogos[[#This Row],[PontosTime1]]-TabJogos[[#This Row],[PontosTime2]]</f>
        <v>2</v>
      </c>
    </row>
    <row r="4972" spans="1:9" ht="15" customHeight="1" x14ac:dyDescent="0.25">
      <c r="A4972" s="7">
        <v>4933</v>
      </c>
      <c r="B4972" s="1">
        <v>43819</v>
      </c>
      <c r="C4972" s="6" t="s">
        <v>11</v>
      </c>
      <c r="D4972" s="6" t="s">
        <v>18</v>
      </c>
      <c r="E4972" s="6">
        <v>3</v>
      </c>
      <c r="F4972" s="6">
        <v>1</v>
      </c>
      <c r="G4972" s="6" t="s">
        <v>9</v>
      </c>
      <c r="H4972" s="6" t="s">
        <v>64</v>
      </c>
      <c r="I4972" s="6">
        <f>TabJogos[[#This Row],[PontosTime1]]-TabJogos[[#This Row],[PontosTime2]]</f>
        <v>2</v>
      </c>
    </row>
    <row r="4973" spans="1:9" ht="15" customHeight="1" x14ac:dyDescent="0.25">
      <c r="I4973" s="6"/>
    </row>
    <row r="4974" spans="1:9" ht="15" customHeight="1" x14ac:dyDescent="0.25">
      <c r="I4974" s="6"/>
    </row>
    <row r="4975" spans="1:9" ht="15" customHeight="1" x14ac:dyDescent="0.25">
      <c r="I4975" s="6"/>
    </row>
    <row r="4976" spans="1:9" ht="15" customHeight="1" x14ac:dyDescent="0.25">
      <c r="I4976" s="6"/>
    </row>
    <row r="4977" spans="9:9" ht="15" customHeight="1" x14ac:dyDescent="0.25">
      <c r="I4977" s="6"/>
    </row>
    <row r="4978" spans="9:9" ht="15" customHeight="1" x14ac:dyDescent="0.25">
      <c r="I4978" s="6"/>
    </row>
    <row r="4979" spans="9:9" ht="15" customHeight="1" x14ac:dyDescent="0.25">
      <c r="I4979" s="6"/>
    </row>
    <row r="4980" spans="9:9" ht="15" customHeight="1" x14ac:dyDescent="0.25">
      <c r="I4980" s="6"/>
    </row>
    <row r="4981" spans="9:9" ht="15" customHeight="1" x14ac:dyDescent="0.25">
      <c r="I4981" s="6"/>
    </row>
    <row r="4982" spans="9:9" ht="15" customHeight="1" x14ac:dyDescent="0.25">
      <c r="I4982" s="6"/>
    </row>
    <row r="4983" spans="9:9" ht="15" customHeight="1" x14ac:dyDescent="0.25">
      <c r="I4983" s="6"/>
    </row>
    <row r="4984" spans="9:9" ht="15" customHeight="1" x14ac:dyDescent="0.25">
      <c r="I4984" s="6"/>
    </row>
    <row r="4985" spans="9:9" ht="15" customHeight="1" x14ac:dyDescent="0.25">
      <c r="I4985" s="6"/>
    </row>
    <row r="4986" spans="9:9" ht="15" customHeight="1" x14ac:dyDescent="0.25">
      <c r="I4986" s="6"/>
    </row>
    <row r="4987" spans="9:9" ht="15" customHeight="1" x14ac:dyDescent="0.25">
      <c r="I4987" s="6"/>
    </row>
    <row r="4988" spans="9:9" ht="15" customHeight="1" x14ac:dyDescent="0.25">
      <c r="I4988" s="6"/>
    </row>
    <row r="4989" spans="9:9" ht="15" customHeight="1" x14ac:dyDescent="0.25">
      <c r="I4989" s="6"/>
    </row>
    <row r="4990" spans="9:9" ht="15" customHeight="1" x14ac:dyDescent="0.25">
      <c r="I4990" s="6"/>
    </row>
    <row r="4991" spans="9:9" ht="15" customHeight="1" x14ac:dyDescent="0.25">
      <c r="I4991" s="6"/>
    </row>
    <row r="4992" spans="9:9" ht="15" customHeight="1" x14ac:dyDescent="0.25">
      <c r="I4992" s="6"/>
    </row>
    <row r="4993" spans="9:9" ht="15" customHeight="1" x14ac:dyDescent="0.25">
      <c r="I4993" s="6"/>
    </row>
    <row r="4994" spans="9:9" ht="15" customHeight="1" x14ac:dyDescent="0.25">
      <c r="I4994" s="6"/>
    </row>
    <row r="4995" spans="9:9" ht="15" customHeight="1" x14ac:dyDescent="0.25">
      <c r="I4995" s="6"/>
    </row>
    <row r="4996" spans="9:9" ht="15" customHeight="1" x14ac:dyDescent="0.25">
      <c r="I4996" s="6"/>
    </row>
    <row r="4997" spans="9:9" ht="15" customHeight="1" x14ac:dyDescent="0.25">
      <c r="I4997" s="6"/>
    </row>
    <row r="4998" spans="9:9" ht="15" customHeight="1" x14ac:dyDescent="0.25">
      <c r="I4998" s="6"/>
    </row>
    <row r="4999" spans="9:9" ht="15" customHeight="1" x14ac:dyDescent="0.25">
      <c r="I4999" s="6"/>
    </row>
    <row r="5000" spans="9:9" ht="15" customHeight="1" x14ac:dyDescent="0.25">
      <c r="I5000" s="6"/>
    </row>
    <row r="5001" spans="9:9" ht="15" customHeight="1" x14ac:dyDescent="0.25">
      <c r="I5001" s="6"/>
    </row>
    <row r="5002" spans="9:9" ht="15" customHeight="1" x14ac:dyDescent="0.25">
      <c r="I5002" s="6"/>
    </row>
    <row r="5003" spans="9:9" ht="15" customHeight="1" x14ac:dyDescent="0.25">
      <c r="I5003" s="6"/>
    </row>
    <row r="5004" spans="9:9" ht="15" customHeight="1" x14ac:dyDescent="0.25">
      <c r="I5004" s="6"/>
    </row>
    <row r="5005" spans="9:9" ht="15" customHeight="1" x14ac:dyDescent="0.25">
      <c r="I5005" s="6"/>
    </row>
    <row r="5006" spans="9:9" ht="15" customHeight="1" x14ac:dyDescent="0.25">
      <c r="I5006" s="6"/>
    </row>
    <row r="5007" spans="9:9" ht="15" customHeight="1" x14ac:dyDescent="0.25">
      <c r="I5007" s="6"/>
    </row>
    <row r="5008" spans="9:9" ht="15" customHeight="1" x14ac:dyDescent="0.25">
      <c r="I5008" s="6"/>
    </row>
    <row r="5009" spans="9:9" ht="15" customHeight="1" x14ac:dyDescent="0.25">
      <c r="I5009" s="6"/>
    </row>
    <row r="5010" spans="9:9" ht="15" customHeight="1" x14ac:dyDescent="0.25">
      <c r="I5010" s="6"/>
    </row>
    <row r="5011" spans="9:9" ht="15" customHeight="1" x14ac:dyDescent="0.25">
      <c r="I5011" s="6"/>
    </row>
    <row r="5012" spans="9:9" ht="15" customHeight="1" x14ac:dyDescent="0.25">
      <c r="I5012" s="6"/>
    </row>
    <row r="5013" spans="9:9" ht="15" customHeight="1" x14ac:dyDescent="0.25">
      <c r="I5013" s="6"/>
    </row>
    <row r="5014" spans="9:9" ht="15" customHeight="1" x14ac:dyDescent="0.25">
      <c r="I5014" s="6"/>
    </row>
    <row r="5015" spans="9:9" ht="15" customHeight="1" x14ac:dyDescent="0.25">
      <c r="I5015" s="6"/>
    </row>
    <row r="5016" spans="9:9" ht="15" customHeight="1" x14ac:dyDescent="0.25">
      <c r="I5016" s="6"/>
    </row>
    <row r="5017" spans="9:9" ht="15" customHeight="1" x14ac:dyDescent="0.25">
      <c r="I5017" s="6"/>
    </row>
    <row r="5018" spans="9:9" ht="15" customHeight="1" x14ac:dyDescent="0.25">
      <c r="I5018" s="6"/>
    </row>
    <row r="5019" spans="9:9" ht="15" customHeight="1" x14ac:dyDescent="0.25">
      <c r="I5019" s="6"/>
    </row>
    <row r="5020" spans="9:9" ht="15" customHeight="1" x14ac:dyDescent="0.25">
      <c r="I5020" s="6"/>
    </row>
    <row r="5021" spans="9:9" ht="15" customHeight="1" x14ac:dyDescent="0.25">
      <c r="I5021" s="6"/>
    </row>
    <row r="5022" spans="9:9" ht="15" customHeight="1" x14ac:dyDescent="0.25">
      <c r="I5022" s="6"/>
    </row>
    <row r="5023" spans="9:9" ht="15" customHeight="1" x14ac:dyDescent="0.25">
      <c r="I5023" s="6"/>
    </row>
    <row r="5024" spans="9:9" ht="15" customHeight="1" x14ac:dyDescent="0.25">
      <c r="I5024" s="6"/>
    </row>
    <row r="5025" spans="9:9" ht="15" customHeight="1" x14ac:dyDescent="0.25">
      <c r="I5025" s="6"/>
    </row>
    <row r="5026" spans="9:9" ht="15" customHeight="1" x14ac:dyDescent="0.25">
      <c r="I5026" s="6"/>
    </row>
    <row r="5027" spans="9:9" ht="15" customHeight="1" x14ac:dyDescent="0.25">
      <c r="I5027" s="6"/>
    </row>
    <row r="5028" spans="9:9" ht="15" customHeight="1" x14ac:dyDescent="0.25">
      <c r="I5028" s="6"/>
    </row>
    <row r="5029" spans="9:9" ht="15" customHeight="1" x14ac:dyDescent="0.25">
      <c r="I5029" s="6"/>
    </row>
    <row r="5030" spans="9:9" ht="15" customHeight="1" x14ac:dyDescent="0.25">
      <c r="I5030" s="6"/>
    </row>
    <row r="5031" spans="9:9" ht="15" customHeight="1" x14ac:dyDescent="0.25">
      <c r="I5031" s="6"/>
    </row>
    <row r="5032" spans="9:9" ht="15" customHeight="1" x14ac:dyDescent="0.25">
      <c r="I5032" s="6"/>
    </row>
    <row r="5033" spans="9:9" ht="15" customHeight="1" x14ac:dyDescent="0.25">
      <c r="I5033" s="6"/>
    </row>
    <row r="5034" spans="9:9" ht="15" customHeight="1" x14ac:dyDescent="0.25">
      <c r="I5034" s="6"/>
    </row>
    <row r="5035" spans="9:9" ht="15" customHeight="1" x14ac:dyDescent="0.25">
      <c r="I5035" s="6"/>
    </row>
    <row r="5036" spans="9:9" ht="15" customHeight="1" x14ac:dyDescent="0.25">
      <c r="I5036" s="6"/>
    </row>
    <row r="5037" spans="9:9" ht="15" customHeight="1" x14ac:dyDescent="0.25">
      <c r="I5037" s="6"/>
    </row>
    <row r="5038" spans="9:9" ht="15" customHeight="1" x14ac:dyDescent="0.25">
      <c r="I5038" s="6"/>
    </row>
    <row r="5039" spans="9:9" ht="15" customHeight="1" x14ac:dyDescent="0.25">
      <c r="I5039" s="6"/>
    </row>
    <row r="5040" spans="9:9" ht="15" customHeight="1" x14ac:dyDescent="0.25">
      <c r="I5040" s="6"/>
    </row>
    <row r="5041" spans="9:9" ht="15" customHeight="1" x14ac:dyDescent="0.25">
      <c r="I5041" s="6"/>
    </row>
    <row r="5042" spans="9:9" ht="15" customHeight="1" x14ac:dyDescent="0.25">
      <c r="I5042" s="6"/>
    </row>
    <row r="5043" spans="9:9" ht="15" customHeight="1" x14ac:dyDescent="0.25">
      <c r="I5043" s="6"/>
    </row>
    <row r="5044" spans="9:9" ht="15" customHeight="1" x14ac:dyDescent="0.25">
      <c r="I5044" s="6"/>
    </row>
    <row r="5045" spans="9:9" ht="15" customHeight="1" x14ac:dyDescent="0.25">
      <c r="I5045" s="6"/>
    </row>
    <row r="5046" spans="9:9" ht="15" customHeight="1" x14ac:dyDescent="0.25">
      <c r="I5046" s="6"/>
    </row>
    <row r="5047" spans="9:9" ht="15" customHeight="1" x14ac:dyDescent="0.25">
      <c r="I5047" s="6"/>
    </row>
    <row r="5048" spans="9:9" ht="15" customHeight="1" x14ac:dyDescent="0.25">
      <c r="I5048" s="6"/>
    </row>
    <row r="5049" spans="9:9" ht="15" customHeight="1" x14ac:dyDescent="0.25">
      <c r="I5049" s="6"/>
    </row>
    <row r="5050" spans="9:9" ht="15" customHeight="1" x14ac:dyDescent="0.25">
      <c r="I5050" s="6"/>
    </row>
    <row r="5051" spans="9:9" ht="15" customHeight="1" x14ac:dyDescent="0.25">
      <c r="I5051" s="6"/>
    </row>
    <row r="5052" spans="9:9" ht="15" customHeight="1" x14ac:dyDescent="0.25">
      <c r="I5052" s="6"/>
    </row>
    <row r="5053" spans="9:9" ht="15" customHeight="1" x14ac:dyDescent="0.25">
      <c r="I5053" s="6"/>
    </row>
    <row r="5054" spans="9:9" ht="15" customHeight="1" x14ac:dyDescent="0.25">
      <c r="I5054" s="6"/>
    </row>
    <row r="5055" spans="9:9" ht="15" customHeight="1" x14ac:dyDescent="0.25">
      <c r="I5055" s="6"/>
    </row>
    <row r="5056" spans="9:9" ht="15" customHeight="1" x14ac:dyDescent="0.25">
      <c r="I5056" s="6"/>
    </row>
    <row r="5057" spans="9:9" ht="15" customHeight="1" x14ac:dyDescent="0.25">
      <c r="I5057" s="6"/>
    </row>
    <row r="5058" spans="9:9" ht="15" customHeight="1" x14ac:dyDescent="0.25">
      <c r="I5058" s="6"/>
    </row>
    <row r="5059" spans="9:9" ht="15" customHeight="1" x14ac:dyDescent="0.25">
      <c r="I5059" s="6"/>
    </row>
    <row r="5060" spans="9:9" ht="15" customHeight="1" x14ac:dyDescent="0.25">
      <c r="I5060" s="6"/>
    </row>
    <row r="5061" spans="9:9" ht="15" customHeight="1" x14ac:dyDescent="0.25">
      <c r="I5061" s="6"/>
    </row>
    <row r="5062" spans="9:9" ht="15" customHeight="1" x14ac:dyDescent="0.25">
      <c r="I5062" s="6"/>
    </row>
    <row r="5063" spans="9:9" ht="15" customHeight="1" x14ac:dyDescent="0.25">
      <c r="I5063" s="6"/>
    </row>
    <row r="5064" spans="9:9" ht="15" customHeight="1" x14ac:dyDescent="0.25">
      <c r="I5064" s="6"/>
    </row>
    <row r="5065" spans="9:9" ht="15" customHeight="1" x14ac:dyDescent="0.25">
      <c r="I5065" s="6"/>
    </row>
    <row r="5066" spans="9:9" ht="15" customHeight="1" x14ac:dyDescent="0.25">
      <c r="I5066" s="6"/>
    </row>
    <row r="5067" spans="9:9" ht="15" customHeight="1" x14ac:dyDescent="0.25">
      <c r="I5067" s="6"/>
    </row>
    <row r="5068" spans="9:9" ht="15" customHeight="1" x14ac:dyDescent="0.25">
      <c r="I5068" s="6"/>
    </row>
    <row r="5069" spans="9:9" ht="15" customHeight="1" x14ac:dyDescent="0.25">
      <c r="I5069" s="6"/>
    </row>
    <row r="5070" spans="9:9" ht="15" customHeight="1" x14ac:dyDescent="0.25">
      <c r="I5070" s="6"/>
    </row>
    <row r="5071" spans="9:9" ht="15" customHeight="1" x14ac:dyDescent="0.25">
      <c r="I5071" s="6"/>
    </row>
    <row r="5072" spans="9:9" ht="15" customHeight="1" x14ac:dyDescent="0.25">
      <c r="I5072" s="6"/>
    </row>
    <row r="5073" spans="9:9" ht="15" customHeight="1" x14ac:dyDescent="0.25">
      <c r="I5073" s="6"/>
    </row>
    <row r="5074" spans="9:9" ht="15" customHeight="1" x14ac:dyDescent="0.25">
      <c r="I5074" s="6"/>
    </row>
    <row r="5075" spans="9:9" ht="15" customHeight="1" x14ac:dyDescent="0.25">
      <c r="I5075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cols>
    <col min="1" max="1" width="10.140625" bestFit="1" customWidth="1"/>
  </cols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 activeCell="O8" sqref="O8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0</v>
      </c>
      <c r="C2" s="3">
        <f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0</v>
      </c>
      <c r="D2" s="3">
        <f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0</v>
      </c>
      <c r="E2" s="3">
        <f t="shared" ref="E2:E30" si="0">C2-D2</f>
        <v>0</v>
      </c>
      <c r="F2" s="17">
        <f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0</v>
      </c>
      <c r="H2" s="4">
        <f t="shared" ref="H2:H30" si="1">IFERROR(C2/B2,-0.000001)</f>
        <v>-9.9999999999999995E-7</v>
      </c>
      <c r="I2" s="27">
        <f>IF(TabResultados3[[#This Row],[Jogos]]&lt;20,0,IF(TabResultados3[[#This Row],[Jogos]]&lt;=40,0.9+0.1*(TabResultados3[[#This Row],[Jogos]]-20)/20,1))</f>
        <v>0</v>
      </c>
      <c r="J2" s="22">
        <f>100*TabResultados3[[#This Row],[Aprov]]*TabResultados3[[#This Row],[KJogos]]</f>
        <v>0</v>
      </c>
      <c r="M2" s="15"/>
      <c r="N2" s="15"/>
    </row>
    <row r="3" spans="1:16" s="5" customFormat="1" ht="12.75" customHeight="1" x14ac:dyDescent="0.25">
      <c r="A3" s="3" t="s">
        <v>23</v>
      </c>
      <c r="B3" s="3">
        <f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0</v>
      </c>
      <c r="C3" s="3">
        <f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0</v>
      </c>
      <c r="D3" s="3">
        <f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0</v>
      </c>
      <c r="E3" s="3">
        <f t="shared" si="0"/>
        <v>0</v>
      </c>
      <c r="F3" s="17">
        <f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0</v>
      </c>
      <c r="H3" s="4">
        <f t="shared" si="1"/>
        <v>-9.9999999999999995E-7</v>
      </c>
      <c r="I3" s="27">
        <f>IF(TabResultados3[[#This Row],[Jogos]]&lt;20,0,IF(TabResultados3[[#This Row],[Jogos]]&lt;=40,0.9+0.1*(TabResultados3[[#This Row],[Jogos]]-20)/20,1))</f>
        <v>0</v>
      </c>
      <c r="J3" s="22">
        <f>100*TabResultados3[[#This Row],[Aprov]]*TabResultados3[[#This Row],[KJogos]]</f>
        <v>0</v>
      </c>
      <c r="L3" s="12" t="s">
        <v>53</v>
      </c>
      <c r="M3" s="14">
        <v>43800</v>
      </c>
    </row>
    <row r="4" spans="1:16" s="5" customFormat="1" ht="12.75" customHeight="1" x14ac:dyDescent="0.25">
      <c r="A4" s="3" t="s">
        <v>15</v>
      </c>
      <c r="B4" s="3">
        <f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si="0"/>
        <v>0</v>
      </c>
      <c r="F4" s="17">
        <f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si="1"/>
        <v>-9.9999999999999995E-7</v>
      </c>
      <c r="I4" s="27">
        <f>IF(TabResultados3[[#This Row],[Jogos]]&lt;20,0,IF(TabResultados3[[#This Row],[Jogos]]&lt;=40,0.9+0.1*(TabResultados3[[#This Row],[Jogos]]-20)/20,1))</f>
        <v>0</v>
      </c>
      <c r="J4" s="22">
        <f>100*TabResultados3[[#This Row],[Aprov]]*TabResultados3[[#This Row],[KJogos]]</f>
        <v>0</v>
      </c>
      <c r="L4" s="12" t="s">
        <v>54</v>
      </c>
      <c r="M4" s="14">
        <v>43819</v>
      </c>
    </row>
    <row r="5" spans="1:16" s="5" customFormat="1" ht="12.75" customHeight="1" x14ac:dyDescent="0.25">
      <c r="A5" s="3" t="s">
        <v>32</v>
      </c>
      <c r="B5" s="3">
        <f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</v>
      </c>
      <c r="C5" s="3">
        <f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</v>
      </c>
      <c r="D5" s="3">
        <f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</v>
      </c>
      <c r="E5" s="3">
        <f t="shared" si="0"/>
        <v>-2</v>
      </c>
      <c r="F5" s="17">
        <f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2</v>
      </c>
      <c r="G5" s="3">
        <f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-2</v>
      </c>
      <c r="H5" s="4">
        <f t="shared" si="1"/>
        <v>0.4</v>
      </c>
      <c r="I5" s="27">
        <f>IF(TabResultados3[[#This Row],[Jogos]]&lt;20,0,IF(TabResultados3[[#This Row],[Jogos]]&lt;=40,0.9+0.1*(TabResultados3[[#This Row],[Jogos]]-20)/20,1))</f>
        <v>0</v>
      </c>
      <c r="J5" s="22">
        <f>100*TabResultados3[[#This Row],[Aprov]]*TabResultados3[[#This Row],[KJogos]]</f>
        <v>0</v>
      </c>
      <c r="K5" s="28"/>
      <c r="M5" s="29"/>
      <c r="N5" s="29"/>
    </row>
    <row r="6" spans="1:16" s="5" customFormat="1" ht="12.75" customHeight="1" x14ac:dyDescent="0.25">
      <c r="A6" s="3" t="s">
        <v>27</v>
      </c>
      <c r="B6" s="3">
        <f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</v>
      </c>
      <c r="C6" s="3">
        <f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</v>
      </c>
      <c r="D6" s="3">
        <f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</v>
      </c>
      <c r="E6" s="3">
        <f t="shared" si="0"/>
        <v>0</v>
      </c>
      <c r="F6" s="17">
        <f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-2</v>
      </c>
      <c r="H6" s="4">
        <f t="shared" si="1"/>
        <v>0.5</v>
      </c>
      <c r="I6" s="27">
        <f>IF(TabResultados3[[#This Row],[Jogos]]&lt;20,0,IF(TabResultados3[[#This Row],[Jogos]]&lt;=40,0.9+0.1*(TabResultados3[[#This Row],[Jogos]]-20)/20,1))</f>
        <v>0</v>
      </c>
      <c r="J6" s="22">
        <f>100*TabResultados3[[#This Row],[Aprov]]*TabResultados3[[#This Row],[KJogos]]</f>
        <v>0</v>
      </c>
    </row>
    <row r="7" spans="1:16" s="5" customFormat="1" ht="12.75" customHeight="1" x14ac:dyDescent="0.25">
      <c r="A7" s="3" t="s">
        <v>11</v>
      </c>
      <c r="B7" s="3">
        <f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105</v>
      </c>
      <c r="C7" s="3">
        <f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60</v>
      </c>
      <c r="D7" s="3">
        <f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45</v>
      </c>
      <c r="E7" s="3">
        <f t="shared" si="0"/>
        <v>15</v>
      </c>
      <c r="F7" s="17">
        <f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17</v>
      </c>
      <c r="G7" s="3">
        <f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26</v>
      </c>
      <c r="H7" s="4">
        <f t="shared" si="1"/>
        <v>0.5714285714285714</v>
      </c>
      <c r="I7" s="27">
        <f>IF(TabResultados3[[#This Row],[Jogos]]&lt;20,0,IF(TabResultados3[[#This Row],[Jogos]]&lt;=40,0.9+0.1*(TabResultados3[[#This Row],[Jogos]]-20)/20,1))</f>
        <v>1</v>
      </c>
      <c r="J7" s="22">
        <f>100*TabResultados3[[#This Row],[Aprov]]*TabResultados3[[#This Row],[KJogos]]</f>
        <v>57.142857142857139</v>
      </c>
    </row>
    <row r="8" spans="1:16" s="5" customFormat="1" ht="12.75" customHeight="1" x14ac:dyDescent="0.25">
      <c r="A8" s="3" t="s">
        <v>17</v>
      </c>
      <c r="B8" s="3">
        <f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</v>
      </c>
      <c r="C8" s="3">
        <f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</v>
      </c>
      <c r="D8" s="3">
        <f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</v>
      </c>
      <c r="E8" s="3">
        <f t="shared" si="0"/>
        <v>-2</v>
      </c>
      <c r="F8" s="17">
        <f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</v>
      </c>
      <c r="G8" s="3">
        <f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-4</v>
      </c>
      <c r="H8" s="4">
        <f t="shared" si="1"/>
        <v>0.45</v>
      </c>
      <c r="I8" s="27">
        <f>IF(TabResultados3[[#This Row],[Jogos]]&lt;20,0,IF(TabResultados3[[#This Row],[Jogos]]&lt;=40,0.9+0.1*(TabResultados3[[#This Row],[Jogos]]-20)/20,1))</f>
        <v>0.9</v>
      </c>
      <c r="J8" s="22">
        <f>100*TabResultados3[[#This Row],[Aprov]]*TabResultados3[[#This Row],[KJogos]]</f>
        <v>40.5</v>
      </c>
    </row>
    <row r="9" spans="1:16" s="5" customFormat="1" ht="12.75" customHeight="1" x14ac:dyDescent="0.25">
      <c r="A9" s="3" t="s">
        <v>18</v>
      </c>
      <c r="B9" s="3">
        <f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79</v>
      </c>
      <c r="C9" s="3">
        <f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39</v>
      </c>
      <c r="D9" s="3">
        <f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40</v>
      </c>
      <c r="E9" s="3">
        <f t="shared" si="0"/>
        <v>-1</v>
      </c>
      <c r="F9" s="17">
        <f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16</v>
      </c>
      <c r="G9" s="3">
        <f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11</v>
      </c>
      <c r="H9" s="4">
        <f t="shared" si="1"/>
        <v>0.49367088607594939</v>
      </c>
      <c r="I9" s="27">
        <f>IF(TabResultados3[[#This Row],[Jogos]]&lt;20,0,IF(TabResultados3[[#This Row],[Jogos]]&lt;=40,0.9+0.1*(TabResultados3[[#This Row],[Jogos]]-20)/20,1))</f>
        <v>1</v>
      </c>
      <c r="J9" s="22">
        <f>100*TabResultados3[[#This Row],[Aprov]]*TabResultados3[[#This Row],[KJogos]]</f>
        <v>49.367088607594937</v>
      </c>
      <c r="K9" s="28"/>
      <c r="M9" s="29"/>
      <c r="N9" s="29"/>
    </row>
    <row r="10" spans="1:16" s="5" customFormat="1" ht="12.75" customHeight="1" x14ac:dyDescent="0.25">
      <c r="A10" s="3" t="s">
        <v>16</v>
      </c>
      <c r="B10" s="3">
        <f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2</v>
      </c>
      <c r="C10" s="3">
        <f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si="0"/>
        <v>2</v>
      </c>
      <c r="F10" s="17">
        <f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7</v>
      </c>
      <c r="H10" s="4">
        <f t="shared" si="1"/>
        <v>1</v>
      </c>
      <c r="I10" s="27">
        <f>IF(TabResultados3[[#This Row],[Jogos]]&lt;20,0,IF(TabResultados3[[#This Row],[Jogos]]&lt;=40,0.9+0.1*(TabResultados3[[#This Row],[Jogos]]-20)/20,1))</f>
        <v>0</v>
      </c>
      <c r="J10" s="22">
        <f>100*TabResultados3[[#This Row],[Aprov]]*TabResultados3[[#This Row],[KJogos]]</f>
        <v>0</v>
      </c>
      <c r="K10" s="28"/>
      <c r="M10" s="29"/>
    </row>
    <row r="11" spans="1:16" s="5" customFormat="1" ht="12.75" customHeight="1" x14ac:dyDescent="0.25">
      <c r="A11" s="3" t="s">
        <v>9</v>
      </c>
      <c r="B11" s="3">
        <f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54</v>
      </c>
      <c r="C11" s="3">
        <f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29</v>
      </c>
      <c r="D11" s="3">
        <f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25</v>
      </c>
      <c r="E11" s="3">
        <f t="shared" si="0"/>
        <v>4</v>
      </c>
      <c r="F11" s="17">
        <f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14</v>
      </c>
      <c r="G11" s="3">
        <f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17</v>
      </c>
      <c r="H11" s="4">
        <f t="shared" si="1"/>
        <v>0.53703703703703709</v>
      </c>
      <c r="I11" s="27">
        <f>IF(TabResultados3[[#This Row],[Jogos]]&lt;20,0,IF(TabResultados3[[#This Row],[Jogos]]&lt;=40,0.9+0.1*(TabResultados3[[#This Row],[Jogos]]-20)/20,1))</f>
        <v>1</v>
      </c>
      <c r="J11" s="22">
        <f>100*TabResultados3[[#This Row],[Aprov]]*TabResultados3[[#This Row],[KJogos]]</f>
        <v>53.703703703703709</v>
      </c>
    </row>
    <row r="12" spans="1:16" s="5" customFormat="1" ht="12.75" customHeight="1" x14ac:dyDescent="0.25">
      <c r="A12" s="3" t="s">
        <v>41</v>
      </c>
      <c r="B12" s="3">
        <f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15</v>
      </c>
      <c r="C12" s="3">
        <f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6</v>
      </c>
      <c r="D12" s="3">
        <f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9</v>
      </c>
      <c r="E12" s="3">
        <f t="shared" si="0"/>
        <v>-3</v>
      </c>
      <c r="F12" s="17">
        <f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</v>
      </c>
      <c r="G12" s="3">
        <f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-9</v>
      </c>
      <c r="H12" s="4">
        <f t="shared" si="1"/>
        <v>0.4</v>
      </c>
      <c r="I12" s="27">
        <f>IF(TabResultados3[[#This Row],[Jogos]]&lt;20,0,IF(TabResultados3[[#This Row],[Jogos]]&lt;=40,0.9+0.1*(TabResultados3[[#This Row],[Jogos]]-20)/20,1))</f>
        <v>0</v>
      </c>
      <c r="J12" s="22">
        <f>100*TabResultados3[[#This Row],[Aprov]]*TabResultados3[[#This Row],[KJogos]]</f>
        <v>0</v>
      </c>
      <c r="K12" s="28"/>
      <c r="M12" s="29"/>
      <c r="N12" s="29"/>
    </row>
    <row r="13" spans="1:16" s="5" customFormat="1" ht="12.75" customHeight="1" x14ac:dyDescent="0.25">
      <c r="A13" s="3" t="s">
        <v>26</v>
      </c>
      <c r="B13" s="3">
        <f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0</v>
      </c>
      <c r="C13" s="3">
        <f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0</v>
      </c>
      <c r="D13" s="3">
        <f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0</v>
      </c>
      <c r="E13" s="3">
        <f t="shared" si="0"/>
        <v>0</v>
      </c>
      <c r="F13" s="17">
        <f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0</v>
      </c>
      <c r="H13" s="4">
        <f t="shared" si="1"/>
        <v>-9.9999999999999995E-7</v>
      </c>
      <c r="I13" s="27">
        <f>IF(TabResultados3[[#This Row],[Jogos]]&lt;20,0,IF(TabResultados3[[#This Row],[Jogos]]&lt;=40,0.9+0.1*(TabResultados3[[#This Row],[Jogos]]-20)/20,1))</f>
        <v>0</v>
      </c>
      <c r="J13" s="22">
        <f>100*TabResultados3[[#This Row],[Aprov]]*TabResultados3[[#This Row],[KJogos]]</f>
        <v>0</v>
      </c>
    </row>
    <row r="14" spans="1:16" s="5" customFormat="1" ht="12.75" customHeight="1" x14ac:dyDescent="0.25">
      <c r="A14" s="3" t="s">
        <v>10</v>
      </c>
      <c r="B14" s="3">
        <f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78</v>
      </c>
      <c r="C14" s="3">
        <f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38</v>
      </c>
      <c r="D14" s="3">
        <f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40</v>
      </c>
      <c r="E14" s="3">
        <f t="shared" si="0"/>
        <v>-2</v>
      </c>
      <c r="F14" s="17">
        <f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8</v>
      </c>
      <c r="G14" s="3">
        <f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-8</v>
      </c>
      <c r="H14" s="4">
        <f t="shared" si="1"/>
        <v>0.48717948717948717</v>
      </c>
      <c r="I14" s="27">
        <f>IF(TabResultados3[[#This Row],[Jogos]]&lt;20,0,IF(TabResultados3[[#This Row],[Jogos]]&lt;=40,0.9+0.1*(TabResultados3[[#This Row],[Jogos]]-20)/20,1))</f>
        <v>1</v>
      </c>
      <c r="J14" s="22">
        <f>100*TabResultados3[[#This Row],[Aprov]]*TabResultados3[[#This Row],[KJogos]]</f>
        <v>48.717948717948715</v>
      </c>
    </row>
    <row r="15" spans="1:16" s="5" customFormat="1" ht="12.75" customHeight="1" x14ac:dyDescent="0.25">
      <c r="A15" s="3" t="s">
        <v>14</v>
      </c>
      <c r="B15" s="3">
        <f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si="0"/>
        <v>0</v>
      </c>
      <c r="F15" s="17">
        <f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si="1"/>
        <v>-9.9999999999999995E-7</v>
      </c>
      <c r="I15" s="27">
        <f>IF(TabResultados3[[#This Row],[Jogos]]&lt;20,0,IF(TabResultados3[[#This Row],[Jogos]]&lt;=40,0.9+0.1*(TabResultados3[[#This Row],[Jogos]]-20)/20,1))</f>
        <v>0</v>
      </c>
      <c r="J15" s="22">
        <f>100*TabResultados3[[#This Row],[Aprov]]*TabResultados3[[#This Row],[KJogos]]</f>
        <v>0</v>
      </c>
    </row>
    <row r="16" spans="1:16" s="5" customFormat="1" ht="12.75" customHeight="1" x14ac:dyDescent="0.25">
      <c r="A16" s="3" t="s">
        <v>28</v>
      </c>
      <c r="B16" s="3">
        <f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si="0"/>
        <v>0</v>
      </c>
      <c r="F16" s="17">
        <f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si="1"/>
        <v>-9.9999999999999995E-7</v>
      </c>
      <c r="I16" s="27">
        <f>IF(TabResultados3[[#This Row],[Jogos]]&lt;20,0,IF(TabResultados3[[#This Row],[Jogos]]&lt;=40,0.9+0.1*(TabResultados3[[#This Row],[Jogos]]-20)/20,1))</f>
        <v>0</v>
      </c>
      <c r="J16" s="22">
        <f>100*TabResultados3[[#This Row],[Aprov]]*TabResultados3[[#This Row],[KJogos]]</f>
        <v>0</v>
      </c>
    </row>
    <row r="17" spans="1:15" s="5" customFormat="1" ht="12.75" customHeight="1" x14ac:dyDescent="0.25">
      <c r="A17" s="3" t="s">
        <v>12</v>
      </c>
      <c r="B17" s="3">
        <f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11</v>
      </c>
      <c r="C17" s="3">
        <f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</v>
      </c>
      <c r="D17" s="3">
        <f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6</v>
      </c>
      <c r="E17" s="3">
        <f t="shared" si="0"/>
        <v>-1</v>
      </c>
      <c r="F17" s="17">
        <f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</v>
      </c>
      <c r="G17" s="3">
        <f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si="1"/>
        <v>0.45454545454545453</v>
      </c>
      <c r="I17" s="27">
        <f>IF(TabResultados3[[#This Row],[Jogos]]&lt;20,0,IF(TabResultados3[[#This Row],[Jogos]]&lt;=40,0.9+0.1*(TabResultados3[[#This Row],[Jogos]]-20)/20,1))</f>
        <v>0</v>
      </c>
      <c r="J17" s="22">
        <f>100*TabResultados3[[#This Row],[Aprov]]*TabResultados3[[#This Row],[KJogos]]</f>
        <v>0</v>
      </c>
    </row>
    <row r="18" spans="1:15" s="5" customFormat="1" ht="12.75" customHeight="1" x14ac:dyDescent="0.25">
      <c r="A18" s="3" t="s">
        <v>13</v>
      </c>
      <c r="B18" s="3">
        <f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69</v>
      </c>
      <c r="C18" s="3">
        <f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32</v>
      </c>
      <c r="D18" s="3">
        <f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37</v>
      </c>
      <c r="E18" s="3">
        <f t="shared" si="0"/>
        <v>-5</v>
      </c>
      <c r="F18" s="17">
        <f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9</v>
      </c>
      <c r="G18" s="3">
        <f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</v>
      </c>
      <c r="H18" s="4">
        <f t="shared" si="1"/>
        <v>0.46376811594202899</v>
      </c>
      <c r="I18" s="27">
        <f>IF(TabResultados3[[#This Row],[Jogos]]&lt;20,0,IF(TabResultados3[[#This Row],[Jogos]]&lt;=40,0.9+0.1*(TabResultados3[[#This Row],[Jogos]]-20)/20,1))</f>
        <v>1</v>
      </c>
      <c r="J18" s="22">
        <f>100*TabResultados3[[#This Row],[Aprov]]*TabResultados3[[#This Row],[KJogos]]</f>
        <v>46.376811594202898</v>
      </c>
    </row>
    <row r="19" spans="1:15" s="5" customFormat="1" ht="12.75" customHeight="1" x14ac:dyDescent="0.25">
      <c r="A19" s="3" t="s">
        <v>38</v>
      </c>
      <c r="B19" s="3">
        <f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 t="shared" si="0"/>
        <v>0</v>
      </c>
      <c r="F19" s="17">
        <f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 t="shared" si="1"/>
        <v>-9.9999999999999995E-7</v>
      </c>
      <c r="I19" s="27">
        <f>IF(TabResultados3[[#This Row],[Jogos]]&lt;20,0,IF(TabResultados3[[#This Row],[Jogos]]&lt;=40,0.9+0.1*(TabResultados3[[#This Row],[Jogos]]-20)/20,1))</f>
        <v>0</v>
      </c>
      <c r="J19" s="22">
        <f>100*TabResultados3[[#This Row],[Aprov]]*TabResultados3[[#This Row],[KJogos]]</f>
        <v>0</v>
      </c>
    </row>
    <row r="20" spans="1:15" s="5" customFormat="1" ht="12.75" customHeight="1" x14ac:dyDescent="0.25">
      <c r="A20" s="3" t="s">
        <v>24</v>
      </c>
      <c r="B20" s="3">
        <f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si="0"/>
        <v>0</v>
      </c>
      <c r="F20" s="17">
        <f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si="1"/>
        <v>-9.9999999999999995E-7</v>
      </c>
      <c r="I20" s="27">
        <f>IF(TabResultados3[[#This Row],[Jogos]]&lt;20,0,IF(TabResultados3[[#This Row],[Jogos]]&lt;=40,0.9+0.1*(TabResultados3[[#This Row],[Jogos]]-20)/20,1))</f>
        <v>0</v>
      </c>
      <c r="J20" s="22">
        <f>100*TabResultados3[[#This Row],[Aprov]]*TabResultados3[[#This Row],[KJogos]]</f>
        <v>0</v>
      </c>
    </row>
    <row r="21" spans="1:15" s="8" customFormat="1" ht="12.75" customHeight="1" x14ac:dyDescent="0.25">
      <c r="A21" s="3" t="s">
        <v>25</v>
      </c>
      <c r="B21" s="3">
        <f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si="0"/>
        <v>0</v>
      </c>
      <c r="F21" s="17">
        <f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si="1"/>
        <v>-9.9999999999999995E-7</v>
      </c>
      <c r="I21" s="27">
        <f>IF(TabResultados3[[#This Row],[Jogos]]&lt;20,0,IF(TabResultados3[[#This Row],[Jogos]]&lt;=40,0.9+0.1*(TabResultados3[[#This Row],[Jogos]]-20)/20,1))</f>
        <v>0</v>
      </c>
      <c r="J21" s="22">
        <f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37</v>
      </c>
      <c r="B22" s="3">
        <f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si="0"/>
        <v>0</v>
      </c>
      <c r="F22" s="17">
        <f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si="1"/>
        <v>-9.9999999999999995E-7</v>
      </c>
      <c r="I22" s="27">
        <f>IF(TabResultados3[[#This Row],[Jogos]]&lt;20,0,IF(TabResultados3[[#This Row],[Jogos]]&lt;=40,0.9+0.1*(TabResultados3[[#This Row],[Jogos]]-20)/20,1))</f>
        <v>0</v>
      </c>
      <c r="J22" s="22">
        <f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si="0"/>
        <v>0</v>
      </c>
      <c r="F23" s="17">
        <f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si="1"/>
        <v>-9.9999999999999995E-7</v>
      </c>
      <c r="I23" s="27">
        <f>IF(TabResultados3[[#This Row],[Jogos]]&lt;20,0,IF(TabResultados3[[#This Row],[Jogos]]&lt;=40,0.9+0.1*(TabResultados3[[#This Row],[Jogos]]-20)/20,1))</f>
        <v>0</v>
      </c>
      <c r="J23" s="22">
        <f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21</v>
      </c>
      <c r="B24" s="3">
        <f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si="0"/>
        <v>0</v>
      </c>
      <c r="F24" s="17">
        <f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si="1"/>
        <v>-9.9999999999999995E-7</v>
      </c>
      <c r="I24" s="27">
        <f>IF(TabResultados3[[#This Row],[Jogos]]&lt;20,0,IF(TabResultados3[[#This Row],[Jogos]]&lt;=40,0.9+0.1*(TabResultados3[[#This Row],[Jogos]]-20)/20,1))</f>
        <v>0</v>
      </c>
      <c r="J24" s="22">
        <f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33</v>
      </c>
      <c r="B25" s="3">
        <f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si="0"/>
        <v>0</v>
      </c>
      <c r="F25" s="17">
        <f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si="1"/>
        <v>-9.9999999999999995E-7</v>
      </c>
      <c r="I25" s="27">
        <f>IF(TabResultados3[[#This Row],[Jogos]]&lt;20,0,IF(TabResultados3[[#This Row],[Jogos]]&lt;=40,0.9+0.1*(TabResultados3[[#This Row],[Jogos]]-20)/20,1))</f>
        <v>0</v>
      </c>
      <c r="J25" s="22">
        <f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30</v>
      </c>
      <c r="B26" s="3">
        <f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si="0"/>
        <v>0</v>
      </c>
      <c r="F26" s="17">
        <f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si="1"/>
        <v>-9.9999999999999995E-7</v>
      </c>
      <c r="I26" s="27">
        <f>IF(TabResultados3[[#This Row],[Jogos]]&lt;20,0,IF(TabResultados3[[#This Row],[Jogos]]&lt;=40,0.9+0.1*(TabResultados3[[#This Row],[Jogos]]-20)/20,1))</f>
        <v>0</v>
      </c>
      <c r="J26" s="22">
        <f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22</v>
      </c>
      <c r="B27" s="3">
        <f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si="0"/>
        <v>0</v>
      </c>
      <c r="F27" s="17">
        <f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si="1"/>
        <v>-9.9999999999999995E-7</v>
      </c>
      <c r="I27" s="27">
        <f>IF(TabResultados3[[#This Row],[Jogos]]&lt;20,0,IF(TabResultados3[[#This Row],[Jogos]]&lt;=40,0.9+0.1*(TabResultados3[[#This Row],[Jogos]]-20)/20,1))</f>
        <v>0</v>
      </c>
      <c r="J27" s="22">
        <f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31</v>
      </c>
      <c r="B28" s="3">
        <f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si="0"/>
        <v>0</v>
      </c>
      <c r="F28" s="17">
        <f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si="1"/>
        <v>-9.9999999999999995E-7</v>
      </c>
      <c r="I28" s="27">
        <f>IF(TabResultados3[[#This Row],[Jogos]]&lt;20,0,IF(TabResultados3[[#This Row],[Jogos]]&lt;=40,0.9+0.1*(TabResultados3[[#This Row],[Jogos]]-20)/20,1))</f>
        <v>0</v>
      </c>
      <c r="J28" s="22">
        <f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19</v>
      </c>
      <c r="B29" s="3">
        <f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0</v>
      </c>
      <c r="C29" s="3">
        <f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0</v>
      </c>
      <c r="E29" s="3">
        <f t="shared" si="0"/>
        <v>0</v>
      </c>
      <c r="F29" s="17">
        <f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0</v>
      </c>
      <c r="H29" s="4">
        <f t="shared" si="1"/>
        <v>-9.9999999999999995E-7</v>
      </c>
      <c r="I29" s="27">
        <f>IF(TabResultados3[[#This Row],[Jogos]]&lt;20,0,IF(TabResultados3[[#This Row],[Jogos]]&lt;=40,0.9+0.1*(TabResultados3[[#This Row],[Jogos]]-20)/20,1))</f>
        <v>0</v>
      </c>
      <c r="J29" s="22">
        <f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36</v>
      </c>
      <c r="B30" s="3">
        <f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0</v>
      </c>
      <c r="C30" s="3">
        <f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0</v>
      </c>
      <c r="E30" s="3">
        <f t="shared" si="0"/>
        <v>0</v>
      </c>
      <c r="F30" s="17">
        <f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0</v>
      </c>
      <c r="H30" s="4">
        <f t="shared" si="1"/>
        <v>-9.9999999999999995E-7</v>
      </c>
      <c r="I30" s="27">
        <f>IF(TabResultados3[[#This Row],[Jogos]]&lt;20,0,IF(TabResultados3[[#This Row],[Jogos]]&lt;=40,0.9+0.1*(TabResultados3[[#This Row],[Jogos]]-20)/20,1))</f>
        <v>0</v>
      </c>
      <c r="J30" s="22">
        <f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2019-12-20T19:22:06Z</dcterms:modified>
  <cp:category/>
  <cp:contentStatus/>
</cp:coreProperties>
</file>
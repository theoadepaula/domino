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75A7F3CA-F84A-48DD-BD15-1F15A99D96A3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<sst xmlns="http://schemas.openxmlformats.org/spreadsheetml/2006/main" count="8396" uniqueCount="56">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</sst>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088" totalsRowShown="0" headerRowDxfId="10" dataDxfId="9">
  <tableColumns count="9">
    <tableColumn id="1" xr3:uid="{00000000-0010-0000-0000-000001000000}" name="IdJogo" dataDxfId="8"/>
    <tableColumn id="2" xr3:uid="{00000000-0010-0000-0000-000002000000}" name="DataJogo" dataDxfId="7"/>
    <tableColumn id="3" xr3:uid="{00000000-0010-0000-0000-000003000000}" name="Time1Jogador1" dataDxfId="6"/>
    <tableColumn id="4" xr3:uid="{00000000-0010-0000-0000-000004000000}" name="Time1Jogador2" dataDxfId="5"/>
    <tableColumn id="5" xr3:uid="{00000000-0010-0000-0000-000005000000}" name="PontosTime1" dataDxfId="4"/>
    <tableColumn id="6" xr3:uid="{00000000-0010-0000-0000-000006000000}" name="PontosTime2" dataDxfId="3"/>
    <tableColumn id="7" xr3:uid="{00000000-0010-0000-0000-000007000000}" name="Time2Jogador1" dataDxfId="2"/>
    <tableColumn id="8" xr3:uid="{00000000-0010-0000-0000-000008000000}" name="Time2Jogador2" dataDxfId="1"/>
    <tableColumn id="9" xr3:uid="{00000000-0010-0000-0000-000009000000}" name="SaldoPt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13">
      <calculatedColumnFormula>IFERROR(C2/B2,-0.000001)</calculatedColumnFormula>
    </tableColumn>
    <tableColumn id="15" xr3:uid="{00000000-0010-0000-0100-00000F000000}" name="KJogos" dataDxfId="12">
      <calculatedColumnFormula>_xlfn.FORECAST.LINEAR(TabResultados3[[#This Row],[Jogos]],$N$10:$N$11,$M$9:$M$11)</calculatedColumnFormula>
    </tableColumn>
    <tableColumn id="9" xr3:uid="{00000000-0010-0000-0100-000009000000}" name="Pontuação" dataDxfId="1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088"/>
  <sheetViews>
    <sheetView tabSelected="1" zoomScale="80" zoomScaleNormal="80" workbookViewId="0">
      <pane ySplit="1" topLeftCell="A2045" activePane="bottomLeft" state="frozenSplit"/>
      <selection activeCell="D1" sqref="D1 D1"/>
      <selection pane="bottomLeft" activeCell="A2088" sqref="A208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99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54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45</v>
      </c>
      <c r="E2" s="3">
        <f t="shared" ref="E2:E28" ca="1" si="0">C2-D2</f>
        <v>9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8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42</v>
      </c>
      <c r="H2" s="4">
        <f t="shared" ref="H2:H28" ca="1" si="1">IFERROR(C2/B2,-0.000001)</f>
        <v>0.54545454545454541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54.54545454545454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102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60</v>
      </c>
      <c r="E3" s="3">
        <f t="shared" ca="1" si="0"/>
        <v>-18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-71</v>
      </c>
      <c r="H3" s="4">
        <f t="shared" ca="1" si="1"/>
        <v>0.41176470588235292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41.17647058823529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92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46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46</v>
      </c>
      <c r="E5" s="3">
        <f t="shared" ca="1" si="0"/>
        <v>0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5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-11</v>
      </c>
      <c r="H5" s="4">
        <f t="shared" ca="1" si="1"/>
        <v>0.5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50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24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11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13</v>
      </c>
      <c r="E6" s="3">
        <f t="shared" ca="1" si="0"/>
        <v>-2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2</v>
      </c>
      <c r="H6" s="4">
        <f t="shared" ca="1" si="1"/>
        <v>0.45833333333333331</v>
      </c>
      <c r="I6" s="29">
        <f ca="1">IF(TabResultados3[[#This Row],[Jogos]]&lt;20,0,IF(TabResultados3[[#This Row],[Jogos]]&lt;=40,0.9+0.1*(TabResultados3[[#This Row],[Jogos]]-20)/20,1))</f>
        <v>0.92</v>
      </c>
      <c r="J6" s="22">
        <f ca="1">100*TabResultados3[[#This Row],[Aprov]]*TabResultados3[[#This Row],[KJogos]]</f>
        <v>42.166666666666664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93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43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50</v>
      </c>
      <c r="E7" s="3">
        <f t="shared" ca="1" si="0"/>
        <v>-7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-42</v>
      </c>
      <c r="H7" s="4">
        <f t="shared" ca="1" si="1"/>
        <v>0.46236559139784944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46.236559139784944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45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28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17</v>
      </c>
      <c r="E8" s="3">
        <f t="shared" ca="1" si="0"/>
        <v>11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27</v>
      </c>
      <c r="H8" s="4">
        <f t="shared" ca="1" si="1"/>
        <v>0.62222222222222223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62.222222222222221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40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17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23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4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1</v>
      </c>
      <c r="H11" s="4">
        <f t="shared" ca="1" si="1"/>
        <v>0.42499999999999999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42.5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-7</v>
      </c>
      <c r="H13" s="4">
        <f t="shared" ca="1" si="1"/>
        <v>0.42105263157894735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19</v>
      </c>
      <c r="E14" s="3">
        <f t="shared" ca="1" si="0"/>
        <v>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45</v>
      </c>
      <c r="H14" s="4">
        <f t="shared" ca="1" si="1"/>
        <v>0.58695652173913049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58.695652173913047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80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44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36</v>
      </c>
      <c r="E19" s="3">
        <f t="shared" ca="1" si="0"/>
        <v>8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7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21</v>
      </c>
      <c r="H19" s="4">
        <f t="shared" ca="1" si="1"/>
        <v>0.55000000000000004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55.000000000000007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14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2018-10-16T17:45:48Z</dcterms:modified>
</cp:coreProperties>
</file>
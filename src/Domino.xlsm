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FED8FA5E-96FE-4FB3-BA4A-44E2E1D7239A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<sst xmlns="http://schemas.openxmlformats.org/spreadsheetml/2006/main" count="8080" uniqueCount="56">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</sst>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00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009"/>
  <sheetViews>
    <sheetView tabSelected="1" zoomScale="80" zoomScaleNormal="80" workbookViewId="0">
      <pane ySplit="1" topLeftCell="A1965" activePane="bottomLeft" state="frozenSplit"/>
      <selection activeCell="D1" sqref="D1 D1"/>
      <selection pane="bottomLeft" activeCell="A2009" sqref="A200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51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26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25</v>
      </c>
      <c r="E2" s="3">
        <f t="shared" ref="E2:E28" ca="1" si="0">C2-D2</f>
        <v>1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6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16</v>
      </c>
      <c r="H2" s="4">
        <f t="shared" ref="H2:H28" ca="1" si="1">IFERROR(C2/B2,-0.000001)</f>
        <v>0.50980392156862742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50.980392156862742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55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23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32</v>
      </c>
      <c r="E3" s="3">
        <f t="shared" ca="1" si="0"/>
        <v>-9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-41</v>
      </c>
      <c r="H3" s="4">
        <f t="shared" ca="1" si="1"/>
        <v>0.41818181818181815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41.818181818181813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53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29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24</v>
      </c>
      <c r="E5" s="3">
        <f t="shared" ca="1" si="0"/>
        <v>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5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8</v>
      </c>
      <c r="H5" s="4">
        <f t="shared" ca="1" si="1"/>
        <v>0.54716981132075471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54.716981132075468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0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0</v>
      </c>
      <c r="H6" s="4">
        <f t="shared" ca="1" si="1"/>
        <v>-9.9999999999999995E-7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54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27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27</v>
      </c>
      <c r="E7" s="3">
        <f t="shared" ca="1" si="0"/>
        <v>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-10</v>
      </c>
      <c r="H7" s="4">
        <f t="shared" ca="1" si="1"/>
        <v>0.5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</v>
      </c>
      <c r="E8" s="3">
        <f t="shared" ca="1" si="0"/>
        <v>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21</v>
      </c>
      <c r="H8" s="4">
        <f t="shared" ca="1" si="1"/>
        <v>0.65</v>
      </c>
      <c r="I8" s="29">
        <f ca="1">IF(TabResultados3[[#This Row],[Jogos]]&lt;20,0,IF(TabResultados3[[#This Row],[Jogos]]&lt;=40,0.9+0.1*(TabResultados3[[#This Row],[Jogos]]-20)/20,1))</f>
        <v>0.9</v>
      </c>
      <c r="J8" s="22">
        <f ca="1">100*TabResultados3[[#This Row],[Aprov]]*TabResultados3[[#This Row],[KJogos]]</f>
        <v>58.5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19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6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13</v>
      </c>
      <c r="E11" s="3">
        <f t="shared" ca="1" si="0"/>
        <v>-7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0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-18</v>
      </c>
      <c r="H11" s="4">
        <f t="shared" ca="1" si="1"/>
        <v>0.31578947368421051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12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4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8</v>
      </c>
      <c r="E13" s="3">
        <f t="shared" ca="1" si="0"/>
        <v>-4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-9</v>
      </c>
      <c r="H13" s="4">
        <f t="shared" ca="1" si="1"/>
        <v>0.33333333333333331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25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12</v>
      </c>
      <c r="E14" s="3">
        <f t="shared" ca="1" si="0"/>
        <v>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20</v>
      </c>
      <c r="H14" s="4">
        <f t="shared" ca="1" si="1"/>
        <v>0.52</v>
      </c>
      <c r="I14" s="29">
        <f ca="1">IF(TabResultados3[[#This Row],[Jogos]]&lt;20,0,IF(TabResultados3[[#This Row],[Jogos]]&lt;=40,0.9+0.1*(TabResultados3[[#This Row],[Jogos]]-20)/20,1))</f>
        <v>0.92500000000000004</v>
      </c>
      <c r="J14" s="22">
        <f ca="1">100*TabResultados3[[#This Row],[Aprov]]*TabResultados3[[#This Row],[KJogos]]</f>
        <v>48.1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49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28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21</v>
      </c>
      <c r="E19" s="3">
        <f t="shared" ca="1" si="0"/>
        <v>7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4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15</v>
      </c>
      <c r="H19" s="4">
        <f t="shared" ca="1" si="1"/>
        <v>0.5714285714285714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57.142857142857139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2018-10-08T17:49:01Z</dcterms:modified>
</cp:coreProperties>
</file>
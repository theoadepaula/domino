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2DEC7A11-D5DC-4549-9029-5EE9BF775666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<sst xmlns="http://schemas.openxmlformats.org/spreadsheetml/2006/main" count="7844" uniqueCount="56">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</sst>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950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950"/>
  <sheetViews>
    <sheetView tabSelected="1" zoomScale="80" zoomScaleNormal="80" workbookViewId="0">
      <pane ySplit="1" topLeftCell="A1924" activePane="bottomLeft" state="frozenSplit"/>
      <selection activeCell="D1" sqref="D1 D1"/>
      <selection pane="bottomLeft" activeCell="A1950" sqref="A195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118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56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62</v>
      </c>
      <c r="E2" s="3">
        <f t="shared" ref="E2:E28" ca="1" si="0">C2-D2</f>
        <v>-6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6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-16</v>
      </c>
      <c r="H2" s="4">
        <f t="shared" ref="H2:H28" ca="1" si="1">IFERROR(C2/B2,-0.000001)</f>
        <v>0.47457627118644069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47.457627118644069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183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102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81</v>
      </c>
      <c r="E3" s="3">
        <f t="shared" ca="1" si="0"/>
        <v>21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13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43</v>
      </c>
      <c r="H3" s="4">
        <f t="shared" ca="1" si="1"/>
        <v>0.55737704918032782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55.737704918032783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160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89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71</v>
      </c>
      <c r="E5" s="3">
        <f t="shared" ca="1" si="0"/>
        <v>18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13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54</v>
      </c>
      <c r="H5" s="4">
        <f t="shared" ca="1" si="1"/>
        <v>0.55625000000000002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55.625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10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-8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154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69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85</v>
      </c>
      <c r="E7" s="3">
        <f t="shared" ca="1" si="0"/>
        <v>-16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12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-62</v>
      </c>
      <c r="H7" s="4">
        <f t="shared" ca="1" si="1"/>
        <v>0.44805194805194803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44.805194805194802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68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36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32</v>
      </c>
      <c r="E8" s="3">
        <f t="shared" ca="1" si="0"/>
        <v>4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5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24</v>
      </c>
      <c r="H8" s="4">
        <f t="shared" ca="1" si="1"/>
        <v>0.52941176470588236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52.941176470588239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30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10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20</v>
      </c>
      <c r="E11" s="3">
        <f t="shared" ca="1" si="0"/>
        <v>-10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2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-28</v>
      </c>
      <c r="H11" s="4">
        <f t="shared" ca="1" si="1"/>
        <v>0.33333333333333331</v>
      </c>
      <c r="I11" s="29">
        <f ca="1">IF(TabResultados3[[#This Row],[Jogos]]&lt;20,0,IF(TabResultados3[[#This Row],[Jogos]]&lt;=40,0.9+0.1*(TabResultados3[[#This Row],[Jogos]]-20)/20,1))</f>
        <v>0.95000000000000007</v>
      </c>
      <c r="J11" s="22">
        <f ca="1">100*TabResultados3[[#This Row],[Aprov]]*TabResultados3[[#This Row],[KJogos]]</f>
        <v>31.666666666666664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44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21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23</v>
      </c>
      <c r="E13" s="3">
        <f t="shared" ca="1" si="0"/>
        <v>-2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3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6</v>
      </c>
      <c r="H13" s="4">
        <f t="shared" ca="1" si="1"/>
        <v>0.47727272727272729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47.727272727272727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71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31</v>
      </c>
      <c r="E14" s="3">
        <f t="shared" ca="1" si="0"/>
        <v>9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36</v>
      </c>
      <c r="H14" s="4">
        <f t="shared" ca="1" si="1"/>
        <v>0.56338028169014087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56.338028169014088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108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55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53</v>
      </c>
      <c r="E19" s="3">
        <f t="shared" ca="1" si="0"/>
        <v>2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9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-14</v>
      </c>
      <c r="H19" s="4">
        <f t="shared" ca="1" si="1"/>
        <v>0.5092592592592593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50.925925925925931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2018-10-02T18:13:35Z</dcterms:modified>
</cp:coreProperties>
</file>
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9D7703EF-F1A8-4B60-B426-36328FD0041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definedNames>
    <definedName name="limite">Desempenho!$P$3</definedName>
    <definedName name="limite1">Desempenho!$S$2</definedName>
    <definedName name="limite2">Desempenho!$S$3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4" l="1"/>
  <c r="S3" i="4"/>
  <c r="I5098" i="3"/>
  <c r="I5097" i="3"/>
  <c r="I5096" i="3"/>
  <c r="I5095" i="3"/>
  <c r="I5094" i="3"/>
  <c r="I5093" i="3"/>
  <c r="I5092" i="3"/>
  <c r="I5091" i="3"/>
  <c r="I5090" i="3"/>
  <c r="I5089" i="3"/>
  <c r="I5088" i="3"/>
  <c r="I5087" i="3"/>
  <c r="I5049" i="3" l="1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C6" i="4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4980" i="3"/>
  <c r="I4981" i="3"/>
  <c r="I4982" i="3"/>
  <c r="I4983" i="3"/>
  <c r="I4984" i="3"/>
  <c r="I4973" i="3"/>
  <c r="I4974" i="3"/>
  <c r="I4975" i="3"/>
  <c r="I4976" i="3"/>
  <c r="I4977" i="3"/>
  <c r="I4978" i="3"/>
  <c r="I4979" i="3"/>
  <c r="I4957" i="3" l="1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883" i="3"/>
  <c r="I4884" i="3"/>
  <c r="I4885" i="3"/>
  <c r="I4886" i="3"/>
  <c r="I4887" i="3"/>
  <c r="I4888" i="3"/>
  <c r="I4889" i="3"/>
  <c r="I4950" i="3" l="1"/>
  <c r="I4951" i="3"/>
  <c r="I4952" i="3"/>
  <c r="I4953" i="3"/>
  <c r="I4954" i="3"/>
  <c r="I4955" i="3"/>
  <c r="I4956" i="3"/>
  <c r="I4940" i="3"/>
  <c r="I4941" i="3"/>
  <c r="I4942" i="3"/>
  <c r="I4943" i="3"/>
  <c r="I4944" i="3"/>
  <c r="I4945" i="3"/>
  <c r="I4946" i="3"/>
  <c r="I4947" i="3"/>
  <c r="I4948" i="3"/>
  <c r="I4949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03" i="3"/>
  <c r="I4904" i="3"/>
  <c r="I4905" i="3"/>
  <c r="I4906" i="3"/>
  <c r="I4907" i="3"/>
  <c r="I4908" i="3"/>
  <c r="I4896" i="3"/>
  <c r="I4897" i="3"/>
  <c r="I4898" i="3"/>
  <c r="I4899" i="3"/>
  <c r="I4900" i="3"/>
  <c r="I4901" i="3"/>
  <c r="I4902" i="3"/>
  <c r="I4890" i="3"/>
  <c r="I4891" i="3"/>
  <c r="I4892" i="3"/>
  <c r="I4893" i="3"/>
  <c r="I4894" i="3"/>
  <c r="I4895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51" i="3"/>
  <c r="I4852" i="3"/>
  <c r="I4853" i="3"/>
  <c r="I4854" i="3"/>
  <c r="I4855" i="3"/>
  <c r="I4856" i="3"/>
  <c r="I4857" i="3"/>
  <c r="I4843" i="3"/>
  <c r="I4844" i="3"/>
  <c r="I4845" i="3"/>
  <c r="I4846" i="3"/>
  <c r="I4847" i="3"/>
  <c r="I4848" i="3"/>
  <c r="I4849" i="3"/>
  <c r="I485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728" i="3" l="1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275" i="3" l="1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B12" i="4"/>
  <c r="I12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7" i="3"/>
  <c r="I48" i="3"/>
  <c r="I49" i="3"/>
  <c r="I50" i="3"/>
  <c r="I40" i="3"/>
  <c r="I41" i="3"/>
  <c r="I42" i="3"/>
  <c r="I43" i="3"/>
  <c r="I44" i="3"/>
  <c r="I45" i="3"/>
  <c r="I46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4" i="4" l="1"/>
  <c r="G18" i="4"/>
  <c r="B8" i="4"/>
  <c r="D14" i="4"/>
  <c r="G25" i="4"/>
  <c r="C21" i="4"/>
  <c r="G15" i="4"/>
  <c r="C27" i="4"/>
  <c r="G26" i="4"/>
  <c r="G6" i="4"/>
  <c r="C28" i="4"/>
  <c r="F28" i="4"/>
  <c r="F3" i="4"/>
  <c r="F2" i="4"/>
  <c r="F10" i="4"/>
  <c r="B5" i="4"/>
  <c r="B25" i="4"/>
  <c r="B4" i="4"/>
  <c r="B26" i="4"/>
  <c r="B30" i="4"/>
  <c r="C19" i="4"/>
  <c r="C22" i="4"/>
  <c r="D8" i="4"/>
  <c r="G11" i="4"/>
  <c r="F24" i="4"/>
  <c r="F8" i="4"/>
  <c r="D21" i="4"/>
  <c r="G27" i="4"/>
  <c r="D28" i="4"/>
  <c r="F17" i="4"/>
  <c r="B19" i="4"/>
  <c r="C18" i="4"/>
  <c r="C14" i="4"/>
  <c r="D25" i="4"/>
  <c r="D9" i="4"/>
  <c r="D18" i="4"/>
  <c r="D15" i="4"/>
  <c r="D17" i="4"/>
  <c r="D26" i="4"/>
  <c r="D6" i="4"/>
  <c r="G7" i="4"/>
  <c r="F16" i="4"/>
  <c r="F20" i="4"/>
  <c r="F6" i="4"/>
  <c r="B27" i="4"/>
  <c r="C30" i="4"/>
  <c r="G19" i="4"/>
  <c r="D12" i="4"/>
  <c r="G4" i="4"/>
  <c r="F25" i="4"/>
  <c r="F15" i="4"/>
  <c r="F4" i="4"/>
  <c r="B16" i="4"/>
  <c r="B6" i="4"/>
  <c r="I6" i="4" s="1"/>
  <c r="B29" i="4"/>
  <c r="B21" i="4"/>
  <c r="F30" i="4"/>
  <c r="D19" i="4"/>
  <c r="C13" i="4"/>
  <c r="C3" i="4"/>
  <c r="D2" i="4"/>
  <c r="F13" i="4"/>
  <c r="C20" i="4"/>
  <c r="G24" i="4"/>
  <c r="D10" i="4"/>
  <c r="F27" i="4"/>
  <c r="B7" i="4"/>
  <c r="I7" i="4" s="1"/>
  <c r="C25" i="4"/>
  <c r="C29" i="4"/>
  <c r="G17" i="4"/>
  <c r="C7" i="4"/>
  <c r="C23" i="4"/>
  <c r="G8" i="4"/>
  <c r="C9" i="4"/>
  <c r="G29" i="4"/>
  <c r="G3" i="4"/>
  <c r="C17" i="4"/>
  <c r="D4" i="4"/>
  <c r="D11" i="4"/>
  <c r="D7" i="4"/>
  <c r="F21" i="4"/>
  <c r="F5" i="4"/>
  <c r="F18" i="4"/>
  <c r="B13" i="4"/>
  <c r="D30" i="4"/>
  <c r="G22" i="4"/>
  <c r="B22" i="4"/>
  <c r="C10" i="4"/>
  <c r="G14" i="4"/>
  <c r="C26" i="4"/>
  <c r="B28" i="4"/>
  <c r="D22" i="4"/>
  <c r="D23" i="4"/>
  <c r="G9" i="4"/>
  <c r="C15" i="4"/>
  <c r="D13" i="4"/>
  <c r="G23" i="4"/>
  <c r="C8" i="4"/>
  <c r="G5" i="4"/>
  <c r="D29" i="4"/>
  <c r="D3" i="4"/>
  <c r="G16" i="4"/>
  <c r="C4" i="4"/>
  <c r="C11" i="4"/>
  <c r="G2" i="4"/>
  <c r="F29" i="4"/>
  <c r="F26" i="4"/>
  <c r="F7" i="4"/>
  <c r="B23" i="4"/>
  <c r="B9" i="4"/>
  <c r="I9" i="4" s="1"/>
  <c r="B20" i="4"/>
  <c r="B24" i="4"/>
  <c r="B18" i="4"/>
  <c r="I18" i="4" s="1"/>
  <c r="G30" i="4"/>
  <c r="G12" i="4"/>
  <c r="C12" i="4"/>
  <c r="D5" i="4"/>
  <c r="B17" i="4"/>
  <c r="G20" i="4"/>
  <c r="D16" i="4"/>
  <c r="B10" i="4"/>
  <c r="F9" i="4"/>
  <c r="F19" i="4"/>
  <c r="F22" i="4"/>
  <c r="G13" i="4"/>
  <c r="D20" i="4"/>
  <c r="G21" i="4"/>
  <c r="C5" i="4"/>
  <c r="C24" i="4"/>
  <c r="D27" i="4"/>
  <c r="C16" i="4"/>
  <c r="G10" i="4"/>
  <c r="G28" i="4"/>
  <c r="F23" i="4"/>
  <c r="F11" i="4"/>
  <c r="B15" i="4"/>
  <c r="F14" i="4"/>
  <c r="B11" i="4"/>
  <c r="I11" i="4" s="1"/>
  <c r="B3" i="4"/>
  <c r="B14" i="4"/>
  <c r="I14" i="4" s="1"/>
  <c r="F12" i="4"/>
  <c r="J3" i="4" l="1"/>
  <c r="I3" i="4"/>
  <c r="J15" i="4"/>
  <c r="I15" i="4"/>
  <c r="J10" i="4"/>
  <c r="I10" i="4"/>
  <c r="J17" i="4"/>
  <c r="I17" i="4"/>
  <c r="J24" i="4"/>
  <c r="I24" i="4"/>
  <c r="J20" i="4"/>
  <c r="I20" i="4"/>
  <c r="J23" i="4"/>
  <c r="I23" i="4"/>
  <c r="J28" i="4"/>
  <c r="I28" i="4"/>
  <c r="J22" i="4"/>
  <c r="I22" i="4"/>
  <c r="J13" i="4"/>
  <c r="I13" i="4"/>
  <c r="J21" i="4"/>
  <c r="I21" i="4"/>
  <c r="J29" i="4"/>
  <c r="I29" i="4"/>
  <c r="J16" i="4"/>
  <c r="I16" i="4"/>
  <c r="J27" i="4"/>
  <c r="I27" i="4"/>
  <c r="J19" i="4"/>
  <c r="I19" i="4"/>
  <c r="J30" i="4"/>
  <c r="I30" i="4"/>
  <c r="J26" i="4"/>
  <c r="I26" i="4"/>
  <c r="J4" i="4"/>
  <c r="I4" i="4"/>
  <c r="J25" i="4"/>
  <c r="I25" i="4"/>
  <c r="J5" i="4"/>
  <c r="I5" i="4"/>
  <c r="J8" i="4"/>
  <c r="I8" i="4"/>
  <c r="H15" i="4"/>
  <c r="E15" i="4"/>
  <c r="E7" i="4"/>
  <c r="H7" i="4"/>
  <c r="H20" i="4"/>
  <c r="E20" i="4"/>
  <c r="H18" i="4"/>
  <c r="E18" i="4"/>
  <c r="H27" i="4"/>
  <c r="E27" i="4"/>
  <c r="H2" i="4"/>
  <c r="J2" i="4" s="1"/>
  <c r="E2" i="4"/>
  <c r="E12" i="4"/>
  <c r="H12" i="4"/>
  <c r="E17" i="4"/>
  <c r="H17" i="4"/>
  <c r="E29" i="4"/>
  <c r="H29" i="4"/>
  <c r="E30" i="4"/>
  <c r="H30" i="4"/>
  <c r="E22" i="4"/>
  <c r="H22" i="4"/>
  <c r="E21" i="4"/>
  <c r="H21" i="4"/>
  <c r="H16" i="4"/>
  <c r="E16" i="4"/>
  <c r="E25" i="4"/>
  <c r="H25" i="4"/>
  <c r="E3" i="4"/>
  <c r="H3" i="4"/>
  <c r="E19" i="4"/>
  <c r="H19" i="4"/>
  <c r="E8" i="4"/>
  <c r="H8" i="4"/>
  <c r="H13" i="4"/>
  <c r="E13" i="4"/>
  <c r="E26" i="4"/>
  <c r="H26" i="4"/>
  <c r="H9" i="4"/>
  <c r="E9" i="4"/>
  <c r="E28" i="4"/>
  <c r="H28" i="4"/>
  <c r="E24" i="4"/>
  <c r="H24" i="4"/>
  <c r="H5" i="4"/>
  <c r="E5" i="4"/>
  <c r="E11" i="4"/>
  <c r="H11" i="4"/>
  <c r="H4" i="4"/>
  <c r="E4" i="4"/>
  <c r="E6" i="4"/>
  <c r="H6" i="4"/>
  <c r="H10" i="4"/>
  <c r="E10" i="4"/>
  <c r="H23" i="4"/>
  <c r="E23" i="4"/>
  <c r="E14" i="4"/>
  <c r="H14" i="4"/>
  <c r="J14" i="4" l="1"/>
  <c r="J6" i="4"/>
  <c r="J11" i="4"/>
  <c r="J9" i="4"/>
  <c r="J12" i="4"/>
  <c r="J18" i="4"/>
  <c r="J7" i="4"/>
</calcChain>
</file>

<file path=xl/sharedStrings.xml><?xml version="1.0" encoding="utf-8"?>
<sst xmlns="http://schemas.openxmlformats.org/spreadsheetml/2006/main" count="20441" uniqueCount="69">
  <si>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</si>
  <si>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</si>
  <si>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</si>
  <si>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</si>
  <si>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</si>
  <si>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</si>
  <si>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</si>
  <si>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</si>
  <si>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</si>
  <si>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</si>
  <si>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</si>
  <si>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</si>
  <si>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</si>
  <si>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</si>
  <si>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</si>
  <si>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</si>
  <si>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</si>
  <si>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</si>
  <si>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</si>
  <si>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</si>
  <si>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</si>
  <si>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</si>
  <si>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</si>
  <si>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</si>
  <si>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</si>
  <si>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</si>
  <si>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</si>
  <si>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</si>
  <si>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</si>
  <si>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</si>
  <si>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</si>
  <si>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</si>
  <si>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</si>
  <si>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</si>
  <si>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</si>
  <si>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</si>
  <si>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</si>
  <si>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</si>
  <si>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</si>
  <si>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</si>
  <si>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</si>
  <si>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</si>
  <si>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</si>
  <si>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</si>
  <si>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</si>
  <si>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</si>
  <si>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</si>
  <si>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</si>
  <si>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</si>
  <si>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</si>
  <si>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</si>
  <si>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</si>
  <si>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</si>
  <si>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</si>
  <si>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</si>
  <si>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</si>
  <si>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</si>
  <si>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</si>
  <si>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</si>
  <si>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</si>
  <si>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</si>
  <si>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</si>
  <si>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</si>
  <si>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</si>
  <si>
    <t>Robert</t>
  </si>
  <si>
    <t>Rafael</t>
  </si>
  <si>
    <t>Limite</t>
  </si>
  <si>
    <t>Limite 1</t>
  </si>
  <si>
    <t>Limite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</si>
</sst>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5133" totalsRowShown="0" headerRowDxfId="14" dataDxfId="13">
  <sortState xmlns:xlrd2="http://schemas.microsoft.com/office/spreadsheetml/2017/richdata2" ref="A2:I4621">
    <sortCondition ref="B4275"/>
  </sortState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5229"/>
  <sheetViews>
    <sheetView tabSelected="1" zoomScaleNormal="100" workbookViewId="0">
      <pane ySplit="1" topLeftCell="A5005" activePane="bottomLeft" state="frozenSplit"/>
      <selection activeCell="D1" sqref="D1 D1"/>
      <selection pane="bottomLeft" activeCell="A5005" sqref="A500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43</v>
      </c>
      <c r="B40" s="1">
        <v>42971</v>
      </c>
      <c r="C40" s="6" t="s">
        <v>14</v>
      </c>
      <c r="D40" s="6" t="s">
        <v>10</v>
      </c>
      <c r="E40" s="6">
        <v>2</v>
      </c>
      <c r="F40" s="6">
        <v>6</v>
      </c>
      <c r="G40" s="6" t="s">
        <v>16</v>
      </c>
      <c r="H40" s="6" t="s">
        <v>13</v>
      </c>
      <c r="I40" s="6">
        <f>TabJogos[[#This Row],[PontosTime1]]-TabJogos[[#This Row],[PontosTime2]]</f>
        <v>-4</v>
      </c>
    </row>
    <row r="41" spans="1:9" x14ac:dyDescent="0.25">
      <c r="A41" s="7">
        <v>44</v>
      </c>
      <c r="B41" s="1">
        <v>42971</v>
      </c>
      <c r="C41" s="6" t="s">
        <v>9</v>
      </c>
      <c r="D41" s="6" t="s">
        <v>11</v>
      </c>
      <c r="E41" s="6">
        <v>6</v>
      </c>
      <c r="F41" s="6">
        <v>2</v>
      </c>
      <c r="G41" s="6" t="s">
        <v>16</v>
      </c>
      <c r="H41" s="6" t="s">
        <v>13</v>
      </c>
      <c r="I41" s="6">
        <f>TabJogos[[#This Row],[PontosTime1]]-TabJogos[[#This Row],[PontosTime2]]</f>
        <v>4</v>
      </c>
    </row>
    <row r="42" spans="1:9" x14ac:dyDescent="0.25">
      <c r="A42" s="7">
        <v>45</v>
      </c>
      <c r="B42" s="1">
        <v>42971</v>
      </c>
      <c r="C42" s="6" t="s">
        <v>10</v>
      </c>
      <c r="D42" s="6" t="s">
        <v>15</v>
      </c>
      <c r="E42" s="6">
        <v>6</v>
      </c>
      <c r="F42" s="6">
        <v>0</v>
      </c>
      <c r="G42" s="6" t="s">
        <v>11</v>
      </c>
      <c r="H42" s="6" t="s">
        <v>9</v>
      </c>
      <c r="I42" s="6">
        <f>TabJogos[[#This Row],[PontosTime1]]-TabJogos[[#This Row],[PontosTime2]]</f>
        <v>6</v>
      </c>
    </row>
    <row r="43" spans="1:9" x14ac:dyDescent="0.25">
      <c r="A43" s="7">
        <v>46</v>
      </c>
      <c r="B43" s="1">
        <v>42971</v>
      </c>
      <c r="C43" s="6" t="s">
        <v>13</v>
      </c>
      <c r="D43" s="6" t="s">
        <v>14</v>
      </c>
      <c r="E43" s="6">
        <v>5</v>
      </c>
      <c r="F43" s="6">
        <v>6</v>
      </c>
      <c r="G43" s="6" t="s">
        <v>15</v>
      </c>
      <c r="H43" s="6" t="s">
        <v>10</v>
      </c>
      <c r="I43" s="6">
        <f>TabJogos[[#This Row],[PontosTime1]]-TabJogos[[#This Row],[PontosTime2]]</f>
        <v>-1</v>
      </c>
    </row>
    <row r="44" spans="1:9" x14ac:dyDescent="0.25">
      <c r="A44" s="7">
        <v>47</v>
      </c>
      <c r="B44" s="1">
        <v>42971</v>
      </c>
      <c r="C44" s="6" t="s">
        <v>9</v>
      </c>
      <c r="D44" s="6" t="s">
        <v>15</v>
      </c>
      <c r="E44" s="6">
        <v>4</v>
      </c>
      <c r="F44" s="6">
        <v>6</v>
      </c>
      <c r="G44" s="6" t="s">
        <v>14</v>
      </c>
      <c r="H44" s="6" t="s">
        <v>11</v>
      </c>
      <c r="I44" s="6">
        <f>TabJogos[[#This Row],[PontosTime1]]-TabJogos[[#This Row],[PontosTime2]]</f>
        <v>-2</v>
      </c>
    </row>
    <row r="45" spans="1:9" x14ac:dyDescent="0.25">
      <c r="A45" s="7">
        <v>48</v>
      </c>
      <c r="B45" s="1">
        <v>42971</v>
      </c>
      <c r="C45" s="6" t="s">
        <v>13</v>
      </c>
      <c r="D45" s="6" t="s">
        <v>10</v>
      </c>
      <c r="E45" s="6">
        <v>5</v>
      </c>
      <c r="F45" s="6">
        <v>6</v>
      </c>
      <c r="G45" s="6" t="s">
        <v>14</v>
      </c>
      <c r="H45" s="6" t="s">
        <v>11</v>
      </c>
      <c r="I45" s="6">
        <f>TabJogos[[#This Row],[PontosTime1]]-TabJogos[[#This Row],[PontosTime2]]</f>
        <v>-1</v>
      </c>
    </row>
    <row r="46" spans="1:9" x14ac:dyDescent="0.25">
      <c r="A46" s="7">
        <v>49</v>
      </c>
      <c r="B46" s="1">
        <v>42971</v>
      </c>
      <c r="C46" s="6" t="s">
        <v>15</v>
      </c>
      <c r="D46" s="6" t="s">
        <v>13</v>
      </c>
      <c r="E46" s="6">
        <v>1</v>
      </c>
      <c r="F46" s="6">
        <v>6</v>
      </c>
      <c r="G46" s="6" t="s">
        <v>11</v>
      </c>
      <c r="H46" s="6" t="s">
        <v>14</v>
      </c>
      <c r="I46" s="6">
        <f>TabJogos[[#This Row],[PontosTime1]]-TabJogos[[#This Row],[PontosTime2]]</f>
        <v>-5</v>
      </c>
    </row>
    <row r="47" spans="1:9" x14ac:dyDescent="0.25">
      <c r="A47" s="7">
        <v>39</v>
      </c>
      <c r="B47" s="1">
        <v>42972</v>
      </c>
      <c r="C47" s="6" t="s">
        <v>10</v>
      </c>
      <c r="D47" s="6" t="s">
        <v>15</v>
      </c>
      <c r="E47" s="6">
        <v>6</v>
      </c>
      <c r="F47" s="6">
        <v>2</v>
      </c>
      <c r="G47" s="6" t="s">
        <v>13</v>
      </c>
      <c r="H47" s="6" t="s">
        <v>14</v>
      </c>
      <c r="I47" s="6">
        <f>TabJogos[[#This Row],[PontosTime1]]-TabJogos[[#This Row],[PontosTime2]]</f>
        <v>4</v>
      </c>
    </row>
    <row r="48" spans="1:9" x14ac:dyDescent="0.25">
      <c r="A48" s="7">
        <v>40</v>
      </c>
      <c r="B48" s="1">
        <v>42972</v>
      </c>
      <c r="C48" s="6" t="s">
        <v>10</v>
      </c>
      <c r="D48" s="6" t="s">
        <v>15</v>
      </c>
      <c r="E48" s="6">
        <v>6</v>
      </c>
      <c r="F48" s="6">
        <v>2</v>
      </c>
      <c r="G48" s="6" t="s">
        <v>14</v>
      </c>
      <c r="H48" s="6" t="s">
        <v>11</v>
      </c>
      <c r="I48" s="6">
        <f>TabJogos[[#This Row],[PontosTime1]]-TabJogos[[#This Row],[PontosTime2]]</f>
        <v>4</v>
      </c>
    </row>
    <row r="49" spans="1:9" x14ac:dyDescent="0.25">
      <c r="A49" s="7">
        <v>41</v>
      </c>
      <c r="B49" s="1">
        <v>42972</v>
      </c>
      <c r="C49" s="6" t="s">
        <v>15</v>
      </c>
      <c r="D49" s="6" t="s">
        <v>13</v>
      </c>
      <c r="E49" s="6">
        <v>7</v>
      </c>
      <c r="F49" s="6">
        <v>2</v>
      </c>
      <c r="G49" s="6" t="s">
        <v>14</v>
      </c>
      <c r="H49" s="6" t="s">
        <v>11</v>
      </c>
      <c r="I49" s="6">
        <f>TabJogos[[#This Row],[PontosTime1]]-TabJogos[[#This Row],[PontosTime2]]</f>
        <v>5</v>
      </c>
    </row>
    <row r="50" spans="1:9" x14ac:dyDescent="0.25">
      <c r="A50" s="7">
        <v>42</v>
      </c>
      <c r="B50" s="1">
        <v>42972</v>
      </c>
      <c r="C50" s="6" t="s">
        <v>15</v>
      </c>
      <c r="D50" s="6" t="s">
        <v>11</v>
      </c>
      <c r="E50" s="6">
        <v>6</v>
      </c>
      <c r="F50" s="6">
        <v>5</v>
      </c>
      <c r="G50" s="6" t="s">
        <v>14</v>
      </c>
      <c r="H50" s="6" t="s">
        <v>13</v>
      </c>
      <c r="I50" s="6">
        <f>TabJogos[[#This Row],[PontosTime1]]-TabJogos[[#This Row],[PontosTime2]]</f>
        <v>1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  <row r="4405" spans="1:9" ht="15" customHeight="1" x14ac:dyDescent="0.25">
      <c r="A4405" s="7">
        <v>4404</v>
      </c>
      <c r="B4405" s="1">
        <v>43724</v>
      </c>
      <c r="C4405" s="6" t="s">
        <v>11</v>
      </c>
      <c r="D4405" s="6" t="s">
        <v>10</v>
      </c>
      <c r="E4405" s="6">
        <v>3</v>
      </c>
      <c r="F4405" s="6">
        <v>1</v>
      </c>
      <c r="G4405" s="6" t="s">
        <v>13</v>
      </c>
      <c r="H4405" s="6" t="s">
        <v>12</v>
      </c>
      <c r="I4405" s="6">
        <f>TabJogos[[#This Row],[PontosTime1]]-TabJogos[[#This Row],[PontosTime2]]</f>
        <v>2</v>
      </c>
    </row>
    <row r="4406" spans="1:9" ht="15" customHeight="1" x14ac:dyDescent="0.25">
      <c r="A4406" s="7">
        <v>4405</v>
      </c>
      <c r="B4406" s="1">
        <v>43724</v>
      </c>
      <c r="C4406" s="6" t="s">
        <v>13</v>
      </c>
      <c r="D4406" s="6" t="s">
        <v>10</v>
      </c>
      <c r="E4406" s="6">
        <v>2</v>
      </c>
      <c r="F4406" s="6">
        <v>4</v>
      </c>
      <c r="G4406" s="6" t="s">
        <v>11</v>
      </c>
      <c r="H4406" s="6" t="s">
        <v>12</v>
      </c>
      <c r="I4406" s="6">
        <f>TabJogos[[#This Row],[PontosTime1]]-TabJogos[[#This Row],[PontosTime2]]</f>
        <v>-2</v>
      </c>
    </row>
    <row r="4407" spans="1:9" ht="15" customHeight="1" x14ac:dyDescent="0.25">
      <c r="A4407" s="7">
        <v>4406</v>
      </c>
      <c r="B4407" s="1">
        <v>43724</v>
      </c>
      <c r="C4407" s="6" t="s">
        <v>17</v>
      </c>
      <c r="D4407" s="6" t="s">
        <v>11</v>
      </c>
      <c r="E4407" s="6">
        <v>3</v>
      </c>
      <c r="F4407" s="6">
        <v>0</v>
      </c>
      <c r="G4407" s="6" t="s">
        <v>12</v>
      </c>
      <c r="H4407" s="6" t="s">
        <v>10</v>
      </c>
      <c r="I4407" s="6">
        <f>TabJogos[[#This Row],[PontosTime1]]-TabJogos[[#This Row],[PontosTime2]]</f>
        <v>3</v>
      </c>
    </row>
    <row r="4408" spans="1:9" ht="15" customHeight="1" x14ac:dyDescent="0.25">
      <c r="A4408" s="7">
        <v>4407</v>
      </c>
      <c r="B4408" s="1">
        <v>43724</v>
      </c>
      <c r="C4408" s="6" t="s">
        <v>13</v>
      </c>
      <c r="D4408" s="6" t="s">
        <v>11</v>
      </c>
      <c r="E4408" s="6">
        <v>3</v>
      </c>
      <c r="F4408" s="6">
        <v>1</v>
      </c>
      <c r="G4408" s="6" t="s">
        <v>17</v>
      </c>
      <c r="H4408" s="6" t="s">
        <v>10</v>
      </c>
      <c r="I4408" s="6">
        <f>TabJogos[[#This Row],[PontosTime1]]-TabJogos[[#This Row],[PontosTime2]]</f>
        <v>2</v>
      </c>
    </row>
    <row r="4409" spans="1:9" ht="15" customHeight="1" x14ac:dyDescent="0.25">
      <c r="A4409" s="7">
        <v>4408</v>
      </c>
      <c r="B4409" s="1">
        <v>43724</v>
      </c>
      <c r="C4409" s="6" t="s">
        <v>11</v>
      </c>
      <c r="D4409" s="6" t="s">
        <v>41</v>
      </c>
      <c r="E4409" s="6">
        <v>1</v>
      </c>
      <c r="F4409" s="6">
        <v>4</v>
      </c>
      <c r="G4409" s="6" t="s">
        <v>13</v>
      </c>
      <c r="H4409" s="6" t="s">
        <v>17</v>
      </c>
      <c r="I4409" s="6">
        <f>TabJogos[[#This Row],[PontosTime1]]-TabJogos[[#This Row],[PontosTime2]]</f>
        <v>-3</v>
      </c>
    </row>
    <row r="4410" spans="1:9" ht="15" customHeight="1" x14ac:dyDescent="0.25">
      <c r="A4410" s="7">
        <v>4409</v>
      </c>
      <c r="B4410" s="1">
        <v>43724</v>
      </c>
      <c r="C4410" s="6" t="s">
        <v>13</v>
      </c>
      <c r="D4410" s="6" t="s">
        <v>41</v>
      </c>
      <c r="E4410" s="6">
        <v>3</v>
      </c>
      <c r="F4410" s="6">
        <v>0</v>
      </c>
      <c r="G4410" s="6" t="s">
        <v>11</v>
      </c>
      <c r="H4410" s="6" t="s">
        <v>17</v>
      </c>
      <c r="I4410" s="6">
        <f>TabJogos[[#This Row],[PontosTime1]]-TabJogos[[#This Row],[PontosTime2]]</f>
        <v>3</v>
      </c>
    </row>
    <row r="4411" spans="1:9" ht="15" customHeight="1" x14ac:dyDescent="0.25">
      <c r="A4411" s="7">
        <v>4410</v>
      </c>
      <c r="B4411" s="1">
        <v>43724</v>
      </c>
      <c r="C4411" s="6" t="s">
        <v>11</v>
      </c>
      <c r="D4411" s="6" t="s">
        <v>13</v>
      </c>
      <c r="E4411" s="6">
        <v>3</v>
      </c>
      <c r="F4411" s="6">
        <v>2</v>
      </c>
      <c r="G4411" s="6" t="s">
        <v>17</v>
      </c>
      <c r="H4411" s="6" t="s">
        <v>41</v>
      </c>
      <c r="I4411" s="6">
        <f>TabJogos[[#This Row],[PontosTime1]]-TabJogos[[#This Row],[PontosTime2]]</f>
        <v>1</v>
      </c>
    </row>
    <row r="4412" spans="1:9" ht="15" customHeight="1" x14ac:dyDescent="0.25">
      <c r="A4412" s="7">
        <v>4411</v>
      </c>
      <c r="B4412" s="1">
        <v>43724</v>
      </c>
      <c r="C4412" s="6" t="s">
        <v>11</v>
      </c>
      <c r="D4412" s="6" t="s">
        <v>41</v>
      </c>
      <c r="E4412" s="6">
        <v>3</v>
      </c>
      <c r="F4412" s="6">
        <v>2</v>
      </c>
      <c r="G4412" s="6" t="s">
        <v>13</v>
      </c>
      <c r="H4412" s="6" t="s">
        <v>17</v>
      </c>
      <c r="I4412" s="6">
        <f>TabJogos[[#This Row],[PontosTime1]]-TabJogos[[#This Row],[PontosTime2]]</f>
        <v>1</v>
      </c>
    </row>
    <row r="4413" spans="1:9" ht="15" customHeight="1" x14ac:dyDescent="0.25">
      <c r="A4413" s="7">
        <v>4412</v>
      </c>
      <c r="B4413" s="1">
        <v>43724</v>
      </c>
      <c r="C4413" s="6" t="s">
        <v>13</v>
      </c>
      <c r="D4413" s="6" t="s">
        <v>41</v>
      </c>
      <c r="E4413" s="6">
        <v>3</v>
      </c>
      <c r="F4413" s="6">
        <v>1</v>
      </c>
      <c r="G4413" s="6" t="s">
        <v>11</v>
      </c>
      <c r="H4413" s="6" t="s">
        <v>17</v>
      </c>
      <c r="I4413" s="6">
        <f>TabJogos[[#This Row],[PontosTime1]]-TabJogos[[#This Row],[PontosTime2]]</f>
        <v>2</v>
      </c>
    </row>
    <row r="4414" spans="1:9" ht="15" customHeight="1" x14ac:dyDescent="0.25">
      <c r="A4414" s="7">
        <v>4413</v>
      </c>
      <c r="B4414" s="1">
        <v>43724</v>
      </c>
      <c r="C4414" s="6" t="s">
        <v>17</v>
      </c>
      <c r="D4414" s="6" t="s">
        <v>41</v>
      </c>
      <c r="E4414" s="6">
        <v>4</v>
      </c>
      <c r="F4414" s="6">
        <v>0</v>
      </c>
      <c r="G4414" s="6" t="s">
        <v>11</v>
      </c>
      <c r="H4414" s="6" t="s">
        <v>13</v>
      </c>
      <c r="I4414" s="6">
        <f>TabJogos[[#This Row],[PontosTime1]]-TabJogos[[#This Row],[PontosTime2]]</f>
        <v>4</v>
      </c>
    </row>
    <row r="4415" spans="1:9" ht="15" customHeight="1" x14ac:dyDescent="0.25">
      <c r="A4415" s="7">
        <v>4414</v>
      </c>
      <c r="B4415" s="1">
        <v>43724</v>
      </c>
      <c r="C4415" s="6" t="s">
        <v>11</v>
      </c>
      <c r="D4415" s="6" t="s">
        <v>41</v>
      </c>
      <c r="E4415" s="6">
        <v>3</v>
      </c>
      <c r="F4415" s="6">
        <v>2</v>
      </c>
      <c r="G4415" s="6" t="s">
        <v>13</v>
      </c>
      <c r="H4415" s="6" t="s">
        <v>17</v>
      </c>
      <c r="I4415" s="6">
        <f>TabJogos[[#This Row],[PontosTime1]]-TabJogos[[#This Row],[PontosTime2]]</f>
        <v>1</v>
      </c>
    </row>
    <row r="4416" spans="1:9" ht="15" customHeight="1" x14ac:dyDescent="0.25">
      <c r="A4416" s="7">
        <v>4415</v>
      </c>
      <c r="B4416" s="1">
        <v>43724</v>
      </c>
      <c r="C4416" s="6" t="s">
        <v>11</v>
      </c>
      <c r="D4416" s="6" t="s">
        <v>17</v>
      </c>
      <c r="E4416" s="6">
        <v>3</v>
      </c>
      <c r="F4416" s="6">
        <v>1</v>
      </c>
      <c r="G4416" s="6" t="s">
        <v>41</v>
      </c>
      <c r="H4416" s="6" t="s">
        <v>13</v>
      </c>
      <c r="I4416" s="6">
        <f>TabJogos[[#This Row],[PontosTime1]]-TabJogos[[#This Row],[PontosTime2]]</f>
        <v>2</v>
      </c>
    </row>
    <row r="4417" spans="1:9" ht="15" customHeight="1" x14ac:dyDescent="0.25">
      <c r="A4417" s="7">
        <v>4453</v>
      </c>
      <c r="B4417" s="1">
        <v>43725</v>
      </c>
      <c r="C4417" s="6" t="s">
        <v>13</v>
      </c>
      <c r="D4417" s="6" t="s">
        <v>27</v>
      </c>
      <c r="E4417" s="6">
        <v>3</v>
      </c>
      <c r="F4417" s="6">
        <v>1</v>
      </c>
      <c r="G4417" s="6" t="s">
        <v>11</v>
      </c>
      <c r="H4417" s="6" t="s">
        <v>33</v>
      </c>
      <c r="I4417" s="6">
        <f>TabJogos[[#This Row],[PontosTime1]]-TabJogos[[#This Row],[PontosTime2]]</f>
        <v>2</v>
      </c>
    </row>
    <row r="4418" spans="1:9" ht="15" customHeight="1" x14ac:dyDescent="0.25">
      <c r="A4418" s="7">
        <v>4454</v>
      </c>
      <c r="B4418" s="1">
        <v>43725</v>
      </c>
      <c r="C4418" s="6" t="s">
        <v>13</v>
      </c>
      <c r="D4418" s="6" t="s">
        <v>33</v>
      </c>
      <c r="E4418" s="6">
        <v>3</v>
      </c>
      <c r="F4418" s="6">
        <v>1</v>
      </c>
      <c r="G4418" s="6" t="s">
        <v>11</v>
      </c>
      <c r="H4418" s="6" t="s">
        <v>27</v>
      </c>
      <c r="I4418" s="6">
        <f>TabJogos[[#This Row],[PontosTime1]]-TabJogos[[#This Row],[PontosTime2]]</f>
        <v>2</v>
      </c>
    </row>
    <row r="4419" spans="1:9" ht="15" customHeight="1" x14ac:dyDescent="0.25">
      <c r="A4419" s="7">
        <v>4455</v>
      </c>
      <c r="B4419" s="26">
        <v>43725</v>
      </c>
      <c r="C4419" s="6" t="s">
        <v>13</v>
      </c>
      <c r="D4419" s="6" t="s">
        <v>11</v>
      </c>
      <c r="E4419" s="6">
        <v>1</v>
      </c>
      <c r="F4419" s="6">
        <v>4</v>
      </c>
      <c r="G4419" s="6" t="s">
        <v>27</v>
      </c>
      <c r="H4419" s="6" t="s">
        <v>33</v>
      </c>
      <c r="I4419" s="6">
        <f>TabJogos[[#This Row],[PontosTime1]]-TabJogos[[#This Row],[PontosTime2]]</f>
        <v>-3</v>
      </c>
    </row>
    <row r="4420" spans="1:9" ht="15" customHeight="1" x14ac:dyDescent="0.25">
      <c r="A4420" s="7">
        <v>4456</v>
      </c>
      <c r="B4420" s="1">
        <v>43725</v>
      </c>
      <c r="C4420" s="6" t="s">
        <v>11</v>
      </c>
      <c r="D4420" s="6" t="s">
        <v>32</v>
      </c>
      <c r="E4420" s="6">
        <v>3</v>
      </c>
      <c r="F4420" s="6">
        <v>2</v>
      </c>
      <c r="G4420" s="6" t="s">
        <v>13</v>
      </c>
      <c r="H4420" s="6" t="s">
        <v>27</v>
      </c>
      <c r="I4420" s="6">
        <f>TabJogos[[#This Row],[PontosTime1]]-TabJogos[[#This Row],[PontosTime2]]</f>
        <v>1</v>
      </c>
    </row>
    <row r="4421" spans="1:9" ht="15" customHeight="1" x14ac:dyDescent="0.25">
      <c r="A4421" s="7">
        <v>4457</v>
      </c>
      <c r="B4421" s="1">
        <v>43725</v>
      </c>
      <c r="C4421" s="6" t="s">
        <v>13</v>
      </c>
      <c r="D4421" s="6" t="s">
        <v>32</v>
      </c>
      <c r="E4421" s="6">
        <v>3</v>
      </c>
      <c r="F4421" s="6">
        <v>2</v>
      </c>
      <c r="G4421" s="6" t="s">
        <v>11</v>
      </c>
      <c r="H4421" s="6" t="s">
        <v>27</v>
      </c>
      <c r="I4421" s="6">
        <f>TabJogos[[#This Row],[PontosTime1]]-TabJogos[[#This Row],[PontosTime2]]</f>
        <v>1</v>
      </c>
    </row>
    <row r="4422" spans="1:9" ht="15" customHeight="1" x14ac:dyDescent="0.25">
      <c r="A4422" s="7">
        <v>4458</v>
      </c>
      <c r="B4422" s="1">
        <v>43725</v>
      </c>
      <c r="C4422" s="6" t="s">
        <v>27</v>
      </c>
      <c r="D4422" s="6" t="s">
        <v>32</v>
      </c>
      <c r="E4422" s="6">
        <v>2</v>
      </c>
      <c r="F4422" s="6">
        <v>3</v>
      </c>
      <c r="G4422" s="6" t="s">
        <v>11</v>
      </c>
      <c r="H4422" s="6" t="s">
        <v>13</v>
      </c>
      <c r="I4422" s="6">
        <f>TabJogos[[#This Row],[PontosTime1]]-TabJogos[[#This Row],[PontosTime2]]</f>
        <v>-1</v>
      </c>
    </row>
    <row r="4423" spans="1:9" ht="15" customHeight="1" x14ac:dyDescent="0.25">
      <c r="A4423" s="7">
        <v>4459</v>
      </c>
      <c r="B4423" s="1">
        <v>43725</v>
      </c>
      <c r="C4423" s="6" t="s">
        <v>11</v>
      </c>
      <c r="D4423" s="6" t="s">
        <v>32</v>
      </c>
      <c r="E4423" s="6">
        <v>3</v>
      </c>
      <c r="F4423" s="6">
        <v>0</v>
      </c>
      <c r="G4423" s="6" t="s">
        <v>13</v>
      </c>
      <c r="H4423" s="6" t="s">
        <v>27</v>
      </c>
      <c r="I4423" s="6">
        <f>TabJogos[[#This Row],[PontosTime1]]-TabJogos[[#This Row],[PontosTime2]]</f>
        <v>3</v>
      </c>
    </row>
    <row r="4424" spans="1:9" ht="15" customHeight="1" x14ac:dyDescent="0.25">
      <c r="A4424" s="7">
        <v>4460</v>
      </c>
      <c r="B4424" s="1">
        <v>43725</v>
      </c>
      <c r="C4424" s="6" t="s">
        <v>11</v>
      </c>
      <c r="D4424" s="6" t="s">
        <v>41</v>
      </c>
      <c r="E4424" s="6">
        <v>1</v>
      </c>
      <c r="F4424" s="6">
        <v>3</v>
      </c>
      <c r="G4424" s="6" t="s">
        <v>13</v>
      </c>
      <c r="H4424" s="6" t="s">
        <v>32</v>
      </c>
      <c r="I4424" s="6">
        <f>TabJogos[[#This Row],[PontosTime1]]-TabJogos[[#This Row],[PontosTime2]]</f>
        <v>-2</v>
      </c>
    </row>
    <row r="4425" spans="1:9" ht="15" customHeight="1" x14ac:dyDescent="0.25">
      <c r="A4425" s="7">
        <v>4416</v>
      </c>
      <c r="B4425" s="1">
        <v>43726</v>
      </c>
      <c r="C4425" s="6" t="s">
        <v>11</v>
      </c>
      <c r="D4425" s="6" t="s">
        <v>12</v>
      </c>
      <c r="E4425" s="6">
        <v>3</v>
      </c>
      <c r="F4425" s="6">
        <v>1</v>
      </c>
      <c r="G4425" s="6" t="s">
        <v>13</v>
      </c>
      <c r="H4425" s="6" t="s">
        <v>17</v>
      </c>
      <c r="I4425" s="6">
        <f>TabJogos[[#This Row],[PontosTime1]]-TabJogos[[#This Row],[PontosTime2]]</f>
        <v>2</v>
      </c>
    </row>
    <row r="4426" spans="1:9" ht="15" customHeight="1" x14ac:dyDescent="0.25">
      <c r="A4426" s="7">
        <v>4417</v>
      </c>
      <c r="B4426" s="1">
        <v>43726</v>
      </c>
      <c r="C4426" s="6" t="s">
        <v>11</v>
      </c>
      <c r="D4426" s="6" t="s">
        <v>13</v>
      </c>
      <c r="E4426" s="6">
        <v>4</v>
      </c>
      <c r="F4426" s="6">
        <v>0</v>
      </c>
      <c r="G4426" s="6" t="s">
        <v>12</v>
      </c>
      <c r="H4426" s="6" t="s">
        <v>17</v>
      </c>
      <c r="I4426" s="6">
        <f>TabJogos[[#This Row],[PontosTime1]]-TabJogos[[#This Row],[PontosTime2]]</f>
        <v>4</v>
      </c>
    </row>
    <row r="4427" spans="1:9" ht="15" customHeight="1" x14ac:dyDescent="0.25">
      <c r="A4427" s="7">
        <v>4418</v>
      </c>
      <c r="B4427" s="33">
        <v>43726</v>
      </c>
      <c r="C4427" s="6" t="s">
        <v>11</v>
      </c>
      <c r="D4427" s="6" t="s">
        <v>17</v>
      </c>
      <c r="E4427" s="6">
        <v>3</v>
      </c>
      <c r="F4427" s="6">
        <v>1</v>
      </c>
      <c r="G4427" s="6" t="s">
        <v>12</v>
      </c>
      <c r="H4427" s="6" t="s">
        <v>13</v>
      </c>
      <c r="I4427" s="6">
        <f>TabJogos[[#This Row],[PontosTime1]]-TabJogos[[#This Row],[PontosTime2]]</f>
        <v>2</v>
      </c>
    </row>
    <row r="4428" spans="1:9" ht="15" customHeight="1" x14ac:dyDescent="0.25">
      <c r="A4428" s="7">
        <v>4461</v>
      </c>
      <c r="B4428" s="1">
        <v>43727</v>
      </c>
      <c r="C4428" s="6" t="s">
        <v>41</v>
      </c>
      <c r="D4428" s="6" t="s">
        <v>11</v>
      </c>
      <c r="E4428" s="6">
        <v>0</v>
      </c>
      <c r="F4428" s="6">
        <v>3</v>
      </c>
      <c r="G4428" s="6" t="s">
        <v>12</v>
      </c>
      <c r="H4428" s="6" t="s">
        <v>13</v>
      </c>
      <c r="I4428" s="6">
        <f>TabJogos[[#This Row],[PontosTime1]]-TabJogos[[#This Row],[PontosTime2]]</f>
        <v>-3</v>
      </c>
    </row>
    <row r="4429" spans="1:9" ht="15" customHeight="1" x14ac:dyDescent="0.25">
      <c r="A4429" s="7">
        <v>4462</v>
      </c>
      <c r="B4429" s="1">
        <v>43727</v>
      </c>
      <c r="C4429" s="6" t="s">
        <v>17</v>
      </c>
      <c r="D4429" s="6" t="s">
        <v>12</v>
      </c>
      <c r="E4429" s="6">
        <v>3</v>
      </c>
      <c r="F4429" s="6">
        <v>0</v>
      </c>
      <c r="G4429" s="6" t="s">
        <v>13</v>
      </c>
      <c r="H4429" s="6" t="s">
        <v>27</v>
      </c>
      <c r="I4429" s="6">
        <f>TabJogos[[#This Row],[PontosTime1]]-TabJogos[[#This Row],[PontosTime2]]</f>
        <v>3</v>
      </c>
    </row>
    <row r="4430" spans="1:9" ht="15" customHeight="1" x14ac:dyDescent="0.25">
      <c r="A4430" s="7">
        <v>4463</v>
      </c>
      <c r="B4430" s="1">
        <v>43727</v>
      </c>
      <c r="C4430" s="6" t="s">
        <v>12</v>
      </c>
      <c r="D4430" s="6" t="s">
        <v>41</v>
      </c>
      <c r="E4430" s="6">
        <v>4</v>
      </c>
      <c r="F4430" s="6">
        <v>2</v>
      </c>
      <c r="G4430" s="6" t="s">
        <v>17</v>
      </c>
      <c r="H4430" s="6" t="s">
        <v>11</v>
      </c>
      <c r="I4430" s="6">
        <f>TabJogos[[#This Row],[PontosTime1]]-TabJogos[[#This Row],[PontosTime2]]</f>
        <v>2</v>
      </c>
    </row>
    <row r="4431" spans="1:9" ht="15" customHeight="1" x14ac:dyDescent="0.25">
      <c r="A4431" s="7">
        <v>4464</v>
      </c>
      <c r="B4431" s="1">
        <v>43727</v>
      </c>
      <c r="C4431" s="6" t="s">
        <v>12</v>
      </c>
      <c r="D4431" s="6" t="s">
        <v>27</v>
      </c>
      <c r="E4431" s="6">
        <v>3</v>
      </c>
      <c r="F4431" s="6">
        <v>1</v>
      </c>
      <c r="G4431" s="6" t="s">
        <v>13</v>
      </c>
      <c r="H4431" s="6" t="s">
        <v>41</v>
      </c>
      <c r="I4431" s="6">
        <f>TabJogos[[#This Row],[PontosTime1]]-TabJogos[[#This Row],[PontosTime2]]</f>
        <v>2</v>
      </c>
    </row>
    <row r="4432" spans="1:9" ht="15" customHeight="1" x14ac:dyDescent="0.25">
      <c r="A4432" s="7">
        <v>4465</v>
      </c>
      <c r="B4432" s="1">
        <v>43727</v>
      </c>
      <c r="C4432" s="6" t="s">
        <v>41</v>
      </c>
      <c r="D4432" s="6" t="s">
        <v>17</v>
      </c>
      <c r="E4432" s="6">
        <v>0</v>
      </c>
      <c r="F4432" s="6">
        <v>3</v>
      </c>
      <c r="G4432" s="6" t="s">
        <v>11</v>
      </c>
      <c r="H4432" s="6" t="s">
        <v>13</v>
      </c>
      <c r="I4432" s="6">
        <f>TabJogos[[#This Row],[PontosTime1]]-TabJogos[[#This Row],[PontosTime2]]</f>
        <v>-3</v>
      </c>
    </row>
    <row r="4433" spans="1:9" ht="15" customHeight="1" x14ac:dyDescent="0.25">
      <c r="A4433" s="7">
        <v>4466</v>
      </c>
      <c r="B4433" s="1">
        <v>43727</v>
      </c>
      <c r="C4433" s="6" t="s">
        <v>17</v>
      </c>
      <c r="D4433" s="6" t="s">
        <v>13</v>
      </c>
      <c r="E4433" s="6">
        <v>2</v>
      </c>
      <c r="F4433" s="6">
        <v>3</v>
      </c>
      <c r="G4433" s="6" t="s">
        <v>27</v>
      </c>
      <c r="H4433" s="6" t="s">
        <v>11</v>
      </c>
      <c r="I4433" s="6">
        <f>TabJogos[[#This Row],[PontosTime1]]-TabJogos[[#This Row],[PontosTime2]]</f>
        <v>-1</v>
      </c>
    </row>
    <row r="4434" spans="1:9" ht="15" customHeight="1" x14ac:dyDescent="0.25">
      <c r="A4434" s="7">
        <v>4467</v>
      </c>
      <c r="B4434" s="1">
        <v>43727</v>
      </c>
      <c r="C4434" s="6" t="s">
        <v>11</v>
      </c>
      <c r="D4434" s="6" t="s">
        <v>41</v>
      </c>
      <c r="E4434" s="6">
        <v>3</v>
      </c>
      <c r="F4434" s="6">
        <v>0</v>
      </c>
      <c r="G4434" s="6" t="s">
        <v>27</v>
      </c>
      <c r="H4434" s="6" t="s">
        <v>17</v>
      </c>
      <c r="I4434" s="6">
        <f>TabJogos[[#This Row],[PontosTime1]]-TabJogos[[#This Row],[PontosTime2]]</f>
        <v>3</v>
      </c>
    </row>
    <row r="4435" spans="1:9" ht="15" customHeight="1" x14ac:dyDescent="0.25">
      <c r="A4435" s="7">
        <v>4468</v>
      </c>
      <c r="B4435" s="1">
        <v>43727</v>
      </c>
      <c r="C4435" s="6" t="s">
        <v>11</v>
      </c>
      <c r="D4435" s="6" t="s">
        <v>13</v>
      </c>
      <c r="E4435" s="6">
        <v>3</v>
      </c>
      <c r="F4435" s="6">
        <v>1</v>
      </c>
      <c r="G4435" s="6" t="s">
        <v>27</v>
      </c>
      <c r="H4435" s="6" t="s">
        <v>41</v>
      </c>
      <c r="I4435" s="6">
        <f>TabJogos[[#This Row],[PontosTime1]]-TabJogos[[#This Row],[PontosTime2]]</f>
        <v>2</v>
      </c>
    </row>
    <row r="4436" spans="1:9" ht="15" customHeight="1" x14ac:dyDescent="0.25">
      <c r="A4436" s="7">
        <v>4469</v>
      </c>
      <c r="B4436" s="1">
        <v>43727</v>
      </c>
      <c r="C4436" s="6" t="s">
        <v>11</v>
      </c>
      <c r="D4436" s="6" t="s">
        <v>27</v>
      </c>
      <c r="E4436" s="6">
        <v>3</v>
      </c>
      <c r="F4436" s="6">
        <v>2</v>
      </c>
      <c r="G4436" s="6" t="s">
        <v>41</v>
      </c>
      <c r="H4436" s="6" t="s">
        <v>13</v>
      </c>
      <c r="I4436" s="6">
        <f>TabJogos[[#This Row],[PontosTime1]]-TabJogos[[#This Row],[PontosTime2]]</f>
        <v>1</v>
      </c>
    </row>
    <row r="4437" spans="1:9" ht="15" customHeight="1" x14ac:dyDescent="0.25">
      <c r="A4437" s="7">
        <v>4470</v>
      </c>
      <c r="B4437" s="1">
        <v>43727</v>
      </c>
      <c r="C4437" s="6" t="s">
        <v>11</v>
      </c>
      <c r="D4437" s="6" t="s">
        <v>41</v>
      </c>
      <c r="E4437" s="6">
        <v>3</v>
      </c>
      <c r="F4437" s="6">
        <v>1</v>
      </c>
      <c r="G4437" s="6" t="s">
        <v>27</v>
      </c>
      <c r="H4437" s="6" t="s">
        <v>13</v>
      </c>
      <c r="I4437" s="6">
        <f>TabJogos[[#This Row],[PontosTime1]]-TabJogos[[#This Row],[PontosTime2]]</f>
        <v>2</v>
      </c>
    </row>
    <row r="4438" spans="1:9" ht="15" customHeight="1" x14ac:dyDescent="0.25">
      <c r="A4438" s="7">
        <v>4471</v>
      </c>
      <c r="B4438" s="1">
        <v>43727</v>
      </c>
      <c r="C4438" s="6" t="s">
        <v>11</v>
      </c>
      <c r="D4438" s="6" t="s">
        <v>13</v>
      </c>
      <c r="E4438" s="6">
        <v>3</v>
      </c>
      <c r="F4438" s="6">
        <v>2</v>
      </c>
      <c r="G4438" s="6" t="s">
        <v>32</v>
      </c>
      <c r="H4438" s="6" t="s">
        <v>27</v>
      </c>
      <c r="I4438" s="6">
        <f>TabJogos[[#This Row],[PontosTime1]]-TabJogos[[#This Row],[PontosTime2]]</f>
        <v>1</v>
      </c>
    </row>
    <row r="4439" spans="1:9" ht="15" customHeight="1" x14ac:dyDescent="0.25">
      <c r="A4439" s="7">
        <v>4472</v>
      </c>
      <c r="B4439" s="1">
        <v>43727</v>
      </c>
      <c r="C4439" s="6" t="s">
        <v>11</v>
      </c>
      <c r="D4439" s="6" t="s">
        <v>27</v>
      </c>
      <c r="E4439" s="6">
        <v>2</v>
      </c>
      <c r="F4439" s="6">
        <v>3</v>
      </c>
      <c r="G4439" s="6" t="s">
        <v>13</v>
      </c>
      <c r="H4439" s="6" t="s">
        <v>41</v>
      </c>
      <c r="I4439" s="6">
        <f>TabJogos[[#This Row],[PontosTime1]]-TabJogos[[#This Row],[PontosTime2]]</f>
        <v>-1</v>
      </c>
    </row>
    <row r="4440" spans="1:9" ht="15" customHeight="1" x14ac:dyDescent="0.25">
      <c r="A4440" s="7">
        <v>4419</v>
      </c>
      <c r="B4440" s="1">
        <v>43728</v>
      </c>
      <c r="C4440" s="6" t="s">
        <v>11</v>
      </c>
      <c r="D4440" s="6" t="s">
        <v>10</v>
      </c>
      <c r="E4440" s="6">
        <v>0</v>
      </c>
      <c r="F4440" s="6">
        <v>3</v>
      </c>
      <c r="G4440" s="6" t="s">
        <v>13</v>
      </c>
      <c r="H4440" s="6" t="s">
        <v>12</v>
      </c>
      <c r="I4440" s="6">
        <f>TabJogos[[#This Row],[PontosTime1]]-TabJogos[[#This Row],[PontosTime2]]</f>
        <v>-3</v>
      </c>
    </row>
    <row r="4441" spans="1:9" ht="15" customHeight="1" x14ac:dyDescent="0.25">
      <c r="A4441" s="7">
        <v>4420</v>
      </c>
      <c r="B4441" s="1">
        <v>43728</v>
      </c>
      <c r="C4441" s="6" t="s">
        <v>11</v>
      </c>
      <c r="D4441" s="6" t="s">
        <v>12</v>
      </c>
      <c r="E4441" s="6">
        <v>3</v>
      </c>
      <c r="F4441" s="6">
        <v>0</v>
      </c>
      <c r="G4441" s="6" t="s">
        <v>13</v>
      </c>
      <c r="H4441" s="6" t="s">
        <v>11</v>
      </c>
      <c r="I4441" s="6">
        <f>TabJogos[[#This Row],[PontosTime1]]-TabJogos[[#This Row],[PontosTime2]]</f>
        <v>3</v>
      </c>
    </row>
    <row r="4442" spans="1:9" ht="15" customHeight="1" x14ac:dyDescent="0.25">
      <c r="A4442" s="7">
        <v>4421</v>
      </c>
      <c r="B4442" s="1">
        <v>43728</v>
      </c>
      <c r="C4442" s="6" t="s">
        <v>17</v>
      </c>
      <c r="D4442" s="6" t="s">
        <v>41</v>
      </c>
      <c r="E4442" s="6">
        <v>0</v>
      </c>
      <c r="F4442" s="6">
        <v>3</v>
      </c>
      <c r="G4442" s="6" t="s">
        <v>10</v>
      </c>
      <c r="H4442" s="6" t="s">
        <v>12</v>
      </c>
      <c r="I4442" s="6">
        <f>TabJogos[[#This Row],[PontosTime1]]-TabJogos[[#This Row],[PontosTime2]]</f>
        <v>-3</v>
      </c>
    </row>
    <row r="4443" spans="1:9" ht="15" customHeight="1" x14ac:dyDescent="0.25">
      <c r="A4443" s="7">
        <v>4422</v>
      </c>
      <c r="B4443" s="1">
        <v>43728</v>
      </c>
      <c r="C4443" s="6" t="s">
        <v>12</v>
      </c>
      <c r="D4443" s="6" t="s">
        <v>11</v>
      </c>
      <c r="E4443" s="6">
        <v>4</v>
      </c>
      <c r="F4443" s="6">
        <v>0</v>
      </c>
      <c r="G4443" s="6" t="s">
        <v>13</v>
      </c>
      <c r="H4443" s="6" t="s">
        <v>10</v>
      </c>
      <c r="I4443" s="6">
        <f>TabJogos[[#This Row],[PontosTime1]]-TabJogos[[#This Row],[PontosTime2]]</f>
        <v>4</v>
      </c>
    </row>
    <row r="4444" spans="1:9" ht="15" customHeight="1" x14ac:dyDescent="0.25">
      <c r="A4444" s="7">
        <v>4423</v>
      </c>
      <c r="B4444" s="1">
        <v>43728</v>
      </c>
      <c r="C4444" s="6" t="s">
        <v>17</v>
      </c>
      <c r="D4444" s="6" t="s">
        <v>12</v>
      </c>
      <c r="E4444" s="6">
        <v>2</v>
      </c>
      <c r="F4444" s="6">
        <v>3</v>
      </c>
      <c r="G4444" s="6" t="s">
        <v>41</v>
      </c>
      <c r="H4444" s="6" t="s">
        <v>11</v>
      </c>
      <c r="I4444" s="6">
        <f>TabJogos[[#This Row],[PontosTime1]]-TabJogos[[#This Row],[PontosTime2]]</f>
        <v>-1</v>
      </c>
    </row>
    <row r="4445" spans="1:9" ht="15" customHeight="1" x14ac:dyDescent="0.25">
      <c r="A4445" s="7">
        <v>4424</v>
      </c>
      <c r="B4445" s="1">
        <v>43728</v>
      </c>
      <c r="C4445" s="6" t="s">
        <v>10</v>
      </c>
      <c r="D4445" s="6" t="s">
        <v>41</v>
      </c>
      <c r="E4445" s="6">
        <v>0</v>
      </c>
      <c r="F4445" s="6">
        <v>6</v>
      </c>
      <c r="G4445" s="6" t="s">
        <v>13</v>
      </c>
      <c r="H4445" s="6" t="s">
        <v>11</v>
      </c>
      <c r="I4445" s="6">
        <f>TabJogos[[#This Row],[PontosTime1]]-TabJogos[[#This Row],[PontosTime2]]</f>
        <v>-6</v>
      </c>
    </row>
    <row r="4446" spans="1:9" ht="15" customHeight="1" x14ac:dyDescent="0.25">
      <c r="A4446" s="7">
        <v>4425</v>
      </c>
      <c r="B4446" s="1">
        <v>43728</v>
      </c>
      <c r="C4446" s="6" t="s">
        <v>13</v>
      </c>
      <c r="D4446" s="6" t="s">
        <v>10</v>
      </c>
      <c r="E4446" s="6">
        <v>0</v>
      </c>
      <c r="F4446" s="6">
        <v>3</v>
      </c>
      <c r="G4446" s="6" t="s">
        <v>11</v>
      </c>
      <c r="H4446" s="6" t="s">
        <v>17</v>
      </c>
      <c r="I4446" s="6">
        <f>TabJogos[[#This Row],[PontosTime1]]-TabJogos[[#This Row],[PontosTime2]]</f>
        <v>-3</v>
      </c>
    </row>
    <row r="4447" spans="1:9" ht="15" customHeight="1" x14ac:dyDescent="0.25">
      <c r="A4447" s="7">
        <v>4426</v>
      </c>
      <c r="B4447" s="1">
        <v>43728</v>
      </c>
      <c r="C4447" s="6" t="s">
        <v>10</v>
      </c>
      <c r="D4447" s="6" t="s">
        <v>11</v>
      </c>
      <c r="E4447" s="6">
        <v>3</v>
      </c>
      <c r="F4447" s="6">
        <v>2</v>
      </c>
      <c r="G4447" s="6" t="s">
        <v>41</v>
      </c>
      <c r="H4447" s="6" t="s">
        <v>17</v>
      </c>
      <c r="I4447" s="6">
        <f>TabJogos[[#This Row],[PontosTime1]]-TabJogos[[#This Row],[PontosTime2]]</f>
        <v>1</v>
      </c>
    </row>
    <row r="4448" spans="1:9" ht="15" customHeight="1" x14ac:dyDescent="0.25">
      <c r="A4448" s="7">
        <v>4427</v>
      </c>
      <c r="B4448" s="1">
        <v>43728</v>
      </c>
      <c r="C4448" s="6" t="s">
        <v>13</v>
      </c>
      <c r="D4448" s="6" t="s">
        <v>11</v>
      </c>
      <c r="E4448" s="6">
        <v>5</v>
      </c>
      <c r="F4448" s="6">
        <v>2</v>
      </c>
      <c r="G4448" s="6" t="s">
        <v>10</v>
      </c>
      <c r="H4448" s="6" t="s">
        <v>17</v>
      </c>
      <c r="I4448" s="6">
        <f>TabJogos[[#This Row],[PontosTime1]]-TabJogos[[#This Row],[PontosTime2]]</f>
        <v>3</v>
      </c>
    </row>
    <row r="4449" spans="1:9" ht="15" customHeight="1" x14ac:dyDescent="0.25">
      <c r="A4449" s="7">
        <v>4428</v>
      </c>
      <c r="B4449" s="1">
        <v>43728</v>
      </c>
      <c r="C4449" s="6" t="s">
        <v>41</v>
      </c>
      <c r="D4449" s="6" t="s">
        <v>11</v>
      </c>
      <c r="E4449" s="6">
        <v>1</v>
      </c>
      <c r="F4449" s="6">
        <v>4</v>
      </c>
      <c r="G4449" s="6" t="s">
        <v>13</v>
      </c>
      <c r="H4449" s="6" t="s">
        <v>10</v>
      </c>
      <c r="I4449" s="6">
        <f>TabJogos[[#This Row],[PontosTime1]]-TabJogos[[#This Row],[PontosTime2]]</f>
        <v>-3</v>
      </c>
    </row>
    <row r="4450" spans="1:9" ht="15" customHeight="1" x14ac:dyDescent="0.25">
      <c r="A4450" s="7">
        <v>4429</v>
      </c>
      <c r="B4450" s="1">
        <v>43728</v>
      </c>
      <c r="C4450" s="6" t="s">
        <v>11</v>
      </c>
      <c r="D4450" s="6" t="s">
        <v>41</v>
      </c>
      <c r="E4450" s="6">
        <v>3</v>
      </c>
      <c r="F4450" s="6">
        <v>0</v>
      </c>
      <c r="G4450" s="6" t="s">
        <v>13</v>
      </c>
      <c r="H4450" s="6" t="s">
        <v>10</v>
      </c>
      <c r="I4450" s="6">
        <f>TabJogos[[#This Row],[PontosTime1]]-TabJogos[[#This Row],[PontosTime2]]</f>
        <v>3</v>
      </c>
    </row>
    <row r="4451" spans="1:9" ht="15" customHeight="1" x14ac:dyDescent="0.25">
      <c r="A4451" s="7">
        <v>4430</v>
      </c>
      <c r="B4451" s="1">
        <v>43731</v>
      </c>
      <c r="C4451" s="6" t="s">
        <v>11</v>
      </c>
      <c r="D4451" s="6" t="s">
        <v>13</v>
      </c>
      <c r="E4451" s="6">
        <v>4</v>
      </c>
      <c r="F4451" s="6">
        <v>0</v>
      </c>
      <c r="G4451" s="6" t="s">
        <v>9</v>
      </c>
      <c r="H4451" s="6" t="s">
        <v>12</v>
      </c>
      <c r="I4451" s="6">
        <f>TabJogos[[#This Row],[PontosTime1]]-TabJogos[[#This Row],[PontosTime2]]</f>
        <v>4</v>
      </c>
    </row>
    <row r="4452" spans="1:9" ht="15" customHeight="1" x14ac:dyDescent="0.25">
      <c r="A4452" s="7">
        <v>4431</v>
      </c>
      <c r="B4452" s="1">
        <v>43731</v>
      </c>
      <c r="C4452" s="6" t="s">
        <v>9</v>
      </c>
      <c r="D4452" s="6" t="s">
        <v>13</v>
      </c>
      <c r="E4452" s="6">
        <v>3</v>
      </c>
      <c r="F4452" s="6">
        <v>0</v>
      </c>
      <c r="G4452" s="6" t="s">
        <v>11</v>
      </c>
      <c r="H4452" s="6" t="s">
        <v>12</v>
      </c>
      <c r="I4452" s="6">
        <f>TabJogos[[#This Row],[PontosTime1]]-TabJogos[[#This Row],[PontosTime2]]</f>
        <v>3</v>
      </c>
    </row>
    <row r="4453" spans="1:9" ht="15" customHeight="1" x14ac:dyDescent="0.25">
      <c r="A4453" s="7">
        <v>4432</v>
      </c>
      <c r="B4453" s="1">
        <v>43731</v>
      </c>
      <c r="C4453" s="6" t="s">
        <v>11</v>
      </c>
      <c r="D4453" s="6" t="s">
        <v>9</v>
      </c>
      <c r="E4453" s="6">
        <v>3</v>
      </c>
      <c r="F4453" s="6">
        <v>2</v>
      </c>
      <c r="G4453" s="6" t="s">
        <v>12</v>
      </c>
      <c r="H4453" s="6" t="s">
        <v>13</v>
      </c>
      <c r="I4453" s="6">
        <f>TabJogos[[#This Row],[PontosTime1]]-TabJogos[[#This Row],[PontosTime2]]</f>
        <v>1</v>
      </c>
    </row>
    <row r="4454" spans="1:9" ht="15" customHeight="1" x14ac:dyDescent="0.25">
      <c r="A4454" s="7">
        <v>4433</v>
      </c>
      <c r="B4454" s="1">
        <v>43732</v>
      </c>
      <c r="C4454" s="6" t="s">
        <v>11</v>
      </c>
      <c r="D4454" s="6" t="s">
        <v>27</v>
      </c>
      <c r="E4454" s="6">
        <v>4</v>
      </c>
      <c r="F4454" s="6">
        <v>2</v>
      </c>
      <c r="G4454" s="6" t="s">
        <v>12</v>
      </c>
      <c r="H4454" s="6" t="s">
        <v>10</v>
      </c>
      <c r="I4454" s="6">
        <f>TabJogos[[#This Row],[PontosTime1]]-TabJogos[[#This Row],[PontosTime2]]</f>
        <v>2</v>
      </c>
    </row>
    <row r="4455" spans="1:9" ht="15" customHeight="1" x14ac:dyDescent="0.25">
      <c r="A4455" s="7">
        <v>4434</v>
      </c>
      <c r="B4455" s="1">
        <v>43732</v>
      </c>
      <c r="C4455" s="6" t="s">
        <v>11</v>
      </c>
      <c r="D4455" s="6" t="s">
        <v>12</v>
      </c>
      <c r="E4455" s="6">
        <v>5</v>
      </c>
      <c r="F4455" s="6">
        <v>0</v>
      </c>
      <c r="G4455" s="6" t="s">
        <v>10</v>
      </c>
      <c r="H4455" s="6" t="s">
        <v>27</v>
      </c>
      <c r="I4455" s="6">
        <f>TabJogos[[#This Row],[PontosTime1]]-TabJogos[[#This Row],[PontosTime2]]</f>
        <v>5</v>
      </c>
    </row>
    <row r="4456" spans="1:9" ht="15" customHeight="1" x14ac:dyDescent="0.25">
      <c r="A4456" s="7">
        <v>4435</v>
      </c>
      <c r="B4456" s="1">
        <v>43732</v>
      </c>
      <c r="C4456" s="6" t="s">
        <v>13</v>
      </c>
      <c r="D4456" s="6" t="s">
        <v>11</v>
      </c>
      <c r="E4456" s="6">
        <v>2</v>
      </c>
      <c r="F4456" s="6">
        <v>4</v>
      </c>
      <c r="G4456" s="6" t="s">
        <v>12</v>
      </c>
      <c r="H4456" s="6" t="s">
        <v>27</v>
      </c>
      <c r="I4456" s="6">
        <f>TabJogos[[#This Row],[PontosTime1]]-TabJogos[[#This Row],[PontosTime2]]</f>
        <v>-2</v>
      </c>
    </row>
    <row r="4457" spans="1:9" ht="15" customHeight="1" x14ac:dyDescent="0.25">
      <c r="A4457" s="7">
        <v>4436</v>
      </c>
      <c r="B4457" s="1">
        <v>43732</v>
      </c>
      <c r="C4457" s="6" t="s">
        <v>13</v>
      </c>
      <c r="D4457" s="6" t="s">
        <v>27</v>
      </c>
      <c r="E4457" s="6">
        <v>3</v>
      </c>
      <c r="F4457" s="6">
        <v>0</v>
      </c>
      <c r="G4457" s="6" t="s">
        <v>12</v>
      </c>
      <c r="H4457" s="6" t="s">
        <v>10</v>
      </c>
      <c r="I4457" s="6">
        <f>TabJogos[[#This Row],[PontosTime1]]-TabJogos[[#This Row],[PontosTime2]]</f>
        <v>3</v>
      </c>
    </row>
    <row r="4458" spans="1:9" ht="15" customHeight="1" x14ac:dyDescent="0.25">
      <c r="A4458" s="7">
        <v>4437</v>
      </c>
      <c r="B4458" s="1">
        <v>43732</v>
      </c>
      <c r="C4458" s="6" t="s">
        <v>11</v>
      </c>
      <c r="D4458" s="6" t="s">
        <v>27</v>
      </c>
      <c r="E4458" s="6">
        <v>3</v>
      </c>
      <c r="F4458" s="6">
        <v>2</v>
      </c>
      <c r="G4458" s="6" t="s">
        <v>10</v>
      </c>
      <c r="H4458" s="6" t="s">
        <v>13</v>
      </c>
      <c r="I4458" s="6">
        <f>TabJogos[[#This Row],[PontosTime1]]-TabJogos[[#This Row],[PontosTime2]]</f>
        <v>1</v>
      </c>
    </row>
    <row r="4459" spans="1:9" ht="15" customHeight="1" x14ac:dyDescent="0.25">
      <c r="A4459" s="7">
        <v>4438</v>
      </c>
      <c r="B4459" s="1">
        <v>43732</v>
      </c>
      <c r="C4459" s="6" t="s">
        <v>11</v>
      </c>
      <c r="D4459" s="6" t="s">
        <v>13</v>
      </c>
      <c r="E4459" s="6">
        <v>2</v>
      </c>
      <c r="F4459" s="6">
        <v>3</v>
      </c>
      <c r="G4459" s="6" t="s">
        <v>10</v>
      </c>
      <c r="H4459" s="6" t="s">
        <v>27</v>
      </c>
      <c r="I4459" s="6">
        <f>TabJogos[[#This Row],[PontosTime1]]-TabJogos[[#This Row],[PontosTime2]]</f>
        <v>-1</v>
      </c>
    </row>
    <row r="4460" spans="1:9" ht="15" customHeight="1" x14ac:dyDescent="0.25">
      <c r="A4460" s="7">
        <v>4439</v>
      </c>
      <c r="B4460" s="1">
        <v>43732</v>
      </c>
      <c r="C4460" s="6" t="s">
        <v>11</v>
      </c>
      <c r="D4460" s="6" t="s">
        <v>10</v>
      </c>
      <c r="E4460" s="6">
        <v>1</v>
      </c>
      <c r="F4460" s="6">
        <v>4</v>
      </c>
      <c r="G4460" s="6" t="s">
        <v>13</v>
      </c>
      <c r="H4460" s="6" t="s">
        <v>27</v>
      </c>
      <c r="I4460" s="6">
        <f>TabJogos[[#This Row],[PontosTime1]]-TabJogos[[#This Row],[PontosTime2]]</f>
        <v>-3</v>
      </c>
    </row>
    <row r="4461" spans="1:9" ht="15" customHeight="1" x14ac:dyDescent="0.25">
      <c r="A4461" s="7">
        <v>4473</v>
      </c>
      <c r="B4461" s="1">
        <v>43733</v>
      </c>
      <c r="C4461" s="6" t="s">
        <v>27</v>
      </c>
      <c r="D4461" s="6" t="s">
        <v>11</v>
      </c>
      <c r="E4461" s="6">
        <v>3</v>
      </c>
      <c r="F4461" s="6">
        <v>0</v>
      </c>
      <c r="G4461" s="6" t="s">
        <v>10</v>
      </c>
      <c r="H4461" s="6" t="s">
        <v>12</v>
      </c>
      <c r="I4461" s="6">
        <f>TabJogos[[#This Row],[PontosTime1]]-TabJogos[[#This Row],[PontosTime2]]</f>
        <v>3</v>
      </c>
    </row>
    <row r="4462" spans="1:9" ht="15" customHeight="1" x14ac:dyDescent="0.25">
      <c r="A4462" s="7">
        <v>4474</v>
      </c>
      <c r="B4462" s="1">
        <v>43733</v>
      </c>
      <c r="C4462" s="6" t="s">
        <v>27</v>
      </c>
      <c r="D4462" s="6" t="s">
        <v>12</v>
      </c>
      <c r="E4462" s="6">
        <v>3</v>
      </c>
      <c r="F4462" s="6">
        <v>2</v>
      </c>
      <c r="G4462" s="6" t="s">
        <v>11</v>
      </c>
      <c r="H4462" s="6" t="s">
        <v>10</v>
      </c>
      <c r="I4462" s="6">
        <f>TabJogos[[#This Row],[PontosTime1]]-TabJogos[[#This Row],[PontosTime2]]</f>
        <v>1</v>
      </c>
    </row>
    <row r="4463" spans="1:9" ht="15" customHeight="1" x14ac:dyDescent="0.25">
      <c r="A4463" s="7">
        <v>4475</v>
      </c>
      <c r="B4463" s="1">
        <v>43733</v>
      </c>
      <c r="C4463" s="6" t="s">
        <v>11</v>
      </c>
      <c r="D4463" s="6" t="s">
        <v>12</v>
      </c>
      <c r="E4463" s="6">
        <v>3</v>
      </c>
      <c r="F4463" s="6">
        <v>2</v>
      </c>
      <c r="G4463" s="6" t="s">
        <v>10</v>
      </c>
      <c r="H4463" s="6" t="s">
        <v>27</v>
      </c>
      <c r="I4463" s="6">
        <f>TabJogos[[#This Row],[PontosTime1]]-TabJogos[[#This Row],[PontosTime2]]</f>
        <v>1</v>
      </c>
    </row>
    <row r="4464" spans="1:9" ht="15" customHeight="1" x14ac:dyDescent="0.25">
      <c r="A4464" s="7">
        <v>4476</v>
      </c>
      <c r="B4464" s="1">
        <v>43733</v>
      </c>
      <c r="C4464" s="6" t="s">
        <v>10</v>
      </c>
      <c r="D4464" s="6" t="s">
        <v>13</v>
      </c>
      <c r="E4464" s="6">
        <v>3</v>
      </c>
      <c r="F4464" s="6">
        <v>2</v>
      </c>
      <c r="G4464" s="6" t="s">
        <v>11</v>
      </c>
      <c r="H4464" s="6" t="s">
        <v>27</v>
      </c>
      <c r="I4464" s="6">
        <f>TabJogos[[#This Row],[PontosTime1]]-TabJogos[[#This Row],[PontosTime2]]</f>
        <v>1</v>
      </c>
    </row>
    <row r="4465" spans="1:9" ht="15" customHeight="1" x14ac:dyDescent="0.25">
      <c r="A4465" s="7">
        <v>4477</v>
      </c>
      <c r="B4465" s="1">
        <v>43733</v>
      </c>
      <c r="C4465" s="6" t="s">
        <v>11</v>
      </c>
      <c r="D4465" s="6" t="s">
        <v>10</v>
      </c>
      <c r="E4465" s="6">
        <v>1</v>
      </c>
      <c r="F4465" s="6">
        <v>3</v>
      </c>
      <c r="G4465" s="6" t="s">
        <v>27</v>
      </c>
      <c r="H4465" s="6" t="s">
        <v>13</v>
      </c>
      <c r="I4465" s="6">
        <f>TabJogos[[#This Row],[PontosTime1]]-TabJogos[[#This Row],[PontosTime2]]</f>
        <v>-2</v>
      </c>
    </row>
    <row r="4466" spans="1:9" ht="15" customHeight="1" x14ac:dyDescent="0.25">
      <c r="A4466" s="7">
        <v>4478</v>
      </c>
      <c r="B4466" s="1">
        <v>43733</v>
      </c>
      <c r="C4466" s="6" t="s">
        <v>27</v>
      </c>
      <c r="D4466" s="6" t="s">
        <v>10</v>
      </c>
      <c r="E4466" s="6">
        <v>4</v>
      </c>
      <c r="F4466" s="6">
        <v>1</v>
      </c>
      <c r="G4466" s="6" t="s">
        <v>13</v>
      </c>
      <c r="H4466" s="6" t="s">
        <v>11</v>
      </c>
      <c r="I4466" s="6">
        <f>TabJogos[[#This Row],[PontosTime1]]-TabJogos[[#This Row],[PontosTime2]]</f>
        <v>3</v>
      </c>
    </row>
    <row r="4467" spans="1:9" ht="15" customHeight="1" x14ac:dyDescent="0.25">
      <c r="A4467" s="7">
        <v>4479</v>
      </c>
      <c r="B4467" s="1">
        <v>43733</v>
      </c>
      <c r="C4467" s="6" t="s">
        <v>10</v>
      </c>
      <c r="D4467" s="6" t="s">
        <v>13</v>
      </c>
      <c r="E4467" s="6">
        <v>3</v>
      </c>
      <c r="F4467" s="6">
        <v>1</v>
      </c>
      <c r="G4467" s="6" t="s">
        <v>11</v>
      </c>
      <c r="H4467" s="6" t="s">
        <v>27</v>
      </c>
      <c r="I4467" s="6">
        <f>TabJogos[[#This Row],[PontosTime1]]-TabJogos[[#This Row],[PontosTime2]]</f>
        <v>2</v>
      </c>
    </row>
    <row r="4468" spans="1:9" ht="15" customHeight="1" x14ac:dyDescent="0.25">
      <c r="A4468" s="7">
        <v>4480</v>
      </c>
      <c r="B4468" s="1">
        <v>43733</v>
      </c>
      <c r="C4468" s="6" t="s">
        <v>27</v>
      </c>
      <c r="D4468" s="6" t="s">
        <v>13</v>
      </c>
      <c r="E4468" s="6">
        <v>3</v>
      </c>
      <c r="F4468" s="6">
        <v>0</v>
      </c>
      <c r="G4468" s="6" t="s">
        <v>11</v>
      </c>
      <c r="H4468" s="6" t="s">
        <v>10</v>
      </c>
      <c r="I4468" s="6">
        <f>TabJogos[[#This Row],[PontosTime1]]-TabJogos[[#This Row],[PontosTime2]]</f>
        <v>3</v>
      </c>
    </row>
    <row r="4469" spans="1:9" ht="15" customHeight="1" x14ac:dyDescent="0.25">
      <c r="A4469" s="7">
        <v>4481</v>
      </c>
      <c r="B4469" s="1">
        <v>43733</v>
      </c>
      <c r="C4469" s="6" t="s">
        <v>27</v>
      </c>
      <c r="D4469" s="6" t="s">
        <v>10</v>
      </c>
      <c r="E4469" s="6">
        <v>3</v>
      </c>
      <c r="F4469" s="6">
        <v>0</v>
      </c>
      <c r="G4469" s="6" t="s">
        <v>11</v>
      </c>
      <c r="H4469" s="6" t="s">
        <v>13</v>
      </c>
      <c r="I4469" s="6">
        <f>TabJogos[[#This Row],[PontosTime1]]-TabJogos[[#This Row],[PontosTime2]]</f>
        <v>3</v>
      </c>
    </row>
    <row r="4470" spans="1:9" ht="15" customHeight="1" x14ac:dyDescent="0.25">
      <c r="A4470" s="7">
        <v>4482</v>
      </c>
      <c r="B4470" s="1">
        <v>43734</v>
      </c>
      <c r="C4470" s="6" t="s">
        <v>11</v>
      </c>
      <c r="D4470" s="6" t="s">
        <v>17</v>
      </c>
      <c r="E4470" s="6">
        <v>3</v>
      </c>
      <c r="F4470" s="6">
        <v>0</v>
      </c>
      <c r="G4470" s="6" t="s">
        <v>9</v>
      </c>
      <c r="H4470" s="6" t="s">
        <v>13</v>
      </c>
      <c r="I4470" s="6">
        <f>TabJogos[[#This Row],[PontosTime1]]-TabJogos[[#This Row],[PontosTime2]]</f>
        <v>3</v>
      </c>
    </row>
    <row r="4471" spans="1:9" ht="15" customHeight="1" x14ac:dyDescent="0.25">
      <c r="A4471" s="7">
        <v>4483</v>
      </c>
      <c r="B4471" s="1">
        <v>43734</v>
      </c>
      <c r="C4471" s="6" t="s">
        <v>11</v>
      </c>
      <c r="D4471" s="6" t="s">
        <v>13</v>
      </c>
      <c r="E4471" s="6">
        <v>2</v>
      </c>
      <c r="F4471" s="6">
        <v>3</v>
      </c>
      <c r="G4471" s="6" t="s">
        <v>17</v>
      </c>
      <c r="H4471" s="6" t="s">
        <v>9</v>
      </c>
      <c r="I4471" s="6">
        <f>TabJogos[[#This Row],[PontosTime1]]-TabJogos[[#This Row],[PontosTime2]]</f>
        <v>-1</v>
      </c>
    </row>
    <row r="4472" spans="1:9" ht="15" customHeight="1" x14ac:dyDescent="0.25">
      <c r="A4472" s="7">
        <v>4484</v>
      </c>
      <c r="B4472" s="1">
        <v>43734</v>
      </c>
      <c r="C4472" s="6" t="s">
        <v>11</v>
      </c>
      <c r="D4472" s="6" t="s">
        <v>9</v>
      </c>
      <c r="E4472" s="6">
        <v>3</v>
      </c>
      <c r="F4472" s="6">
        <v>1</v>
      </c>
      <c r="G4472" s="6" t="s">
        <v>17</v>
      </c>
      <c r="H4472" s="6" t="s">
        <v>13</v>
      </c>
      <c r="I4472" s="6">
        <f>TabJogos[[#This Row],[PontosTime1]]-TabJogos[[#This Row],[PontosTime2]]</f>
        <v>2</v>
      </c>
    </row>
    <row r="4473" spans="1:9" ht="15" customHeight="1" x14ac:dyDescent="0.25">
      <c r="A4473" s="7">
        <v>4485</v>
      </c>
      <c r="B4473" s="1">
        <v>43734</v>
      </c>
      <c r="C4473" s="6" t="s">
        <v>11</v>
      </c>
      <c r="D4473" s="6" t="s">
        <v>17</v>
      </c>
      <c r="E4473" s="6">
        <v>3</v>
      </c>
      <c r="F4473" s="6">
        <v>0</v>
      </c>
      <c r="G4473" s="6" t="s">
        <v>9</v>
      </c>
      <c r="H4473" s="6" t="s">
        <v>13</v>
      </c>
      <c r="I4473" s="6">
        <f>TabJogos[[#This Row],[PontosTime1]]-TabJogos[[#This Row],[PontosTime2]]</f>
        <v>3</v>
      </c>
    </row>
    <row r="4474" spans="1:9" ht="15" customHeight="1" x14ac:dyDescent="0.25">
      <c r="A4474" s="7">
        <v>4486</v>
      </c>
      <c r="B4474" s="1">
        <v>43734</v>
      </c>
      <c r="C4474" s="6" t="s">
        <v>9</v>
      </c>
      <c r="D4474" s="6" t="s">
        <v>17</v>
      </c>
      <c r="E4474" s="6">
        <v>4</v>
      </c>
      <c r="F4474" s="6">
        <v>0</v>
      </c>
      <c r="G4474" s="6" t="s">
        <v>11</v>
      </c>
      <c r="H4474" s="6" t="s">
        <v>41</v>
      </c>
      <c r="I4474" s="6">
        <f>TabJogos[[#This Row],[PontosTime1]]-TabJogos[[#This Row],[PontosTime2]]</f>
        <v>4</v>
      </c>
    </row>
    <row r="4475" spans="1:9" ht="15" customHeight="1" x14ac:dyDescent="0.25">
      <c r="A4475" s="7">
        <v>4487</v>
      </c>
      <c r="B4475" s="1">
        <v>43734</v>
      </c>
      <c r="C4475" s="6" t="s">
        <v>17</v>
      </c>
      <c r="D4475" s="6" t="s">
        <v>13</v>
      </c>
      <c r="E4475" s="6">
        <v>2</v>
      </c>
      <c r="F4475" s="6">
        <v>3</v>
      </c>
      <c r="G4475" s="6" t="s">
        <v>41</v>
      </c>
      <c r="H4475" s="6" t="s">
        <v>9</v>
      </c>
      <c r="I4475" s="6">
        <f>TabJogos[[#This Row],[PontosTime1]]-TabJogos[[#This Row],[PontosTime2]]</f>
        <v>-1</v>
      </c>
    </row>
    <row r="4476" spans="1:9" ht="15" customHeight="1" x14ac:dyDescent="0.25">
      <c r="A4476" s="7">
        <v>4488</v>
      </c>
      <c r="B4476" s="1">
        <v>43734</v>
      </c>
      <c r="C4476" s="6" t="s">
        <v>11</v>
      </c>
      <c r="D4476" s="6" t="s">
        <v>9</v>
      </c>
      <c r="E4476" s="6">
        <v>3</v>
      </c>
      <c r="F4476" s="6">
        <v>0</v>
      </c>
      <c r="G4476" s="6" t="s">
        <v>13</v>
      </c>
      <c r="H4476" s="6" t="s">
        <v>41</v>
      </c>
      <c r="I4476" s="6">
        <f>TabJogos[[#This Row],[PontosTime1]]-TabJogos[[#This Row],[PontosTime2]]</f>
        <v>3</v>
      </c>
    </row>
    <row r="4477" spans="1:9" ht="15" customHeight="1" x14ac:dyDescent="0.25">
      <c r="A4477" s="7">
        <v>4489</v>
      </c>
      <c r="B4477" s="1">
        <v>43734</v>
      </c>
      <c r="C4477" s="6" t="s">
        <v>9</v>
      </c>
      <c r="D4477" s="6" t="s">
        <v>17</v>
      </c>
      <c r="E4477" s="6">
        <v>3</v>
      </c>
      <c r="F4477" s="6">
        <v>0</v>
      </c>
      <c r="G4477" s="6" t="s">
        <v>41</v>
      </c>
      <c r="H4477" s="6" t="s">
        <v>11</v>
      </c>
      <c r="I4477" s="6">
        <f>TabJogos[[#This Row],[PontosTime1]]-TabJogos[[#This Row],[PontosTime2]]</f>
        <v>3</v>
      </c>
    </row>
    <row r="4478" spans="1:9" ht="15" customHeight="1" x14ac:dyDescent="0.25">
      <c r="A4478" s="7">
        <v>4490</v>
      </c>
      <c r="B4478" s="1">
        <v>43734</v>
      </c>
      <c r="C4478" s="6" t="s">
        <v>11</v>
      </c>
      <c r="D4478" s="6" t="s">
        <v>17</v>
      </c>
      <c r="E4478" s="6">
        <v>2</v>
      </c>
      <c r="F4478" s="6">
        <v>3</v>
      </c>
      <c r="G4478" s="6" t="s">
        <v>9</v>
      </c>
      <c r="H4478" s="6" t="s">
        <v>13</v>
      </c>
      <c r="I4478" s="6">
        <f>TabJogos[[#This Row],[PontosTime1]]-TabJogos[[#This Row],[PontosTime2]]</f>
        <v>-1</v>
      </c>
    </row>
    <row r="4479" spans="1:9" ht="15" customHeight="1" x14ac:dyDescent="0.25">
      <c r="A4479" s="7">
        <v>4440</v>
      </c>
      <c r="B4479" s="1">
        <v>43735</v>
      </c>
      <c r="C4479" s="6" t="s">
        <v>13</v>
      </c>
      <c r="D4479" s="6" t="s">
        <v>41</v>
      </c>
      <c r="E4479" s="6">
        <v>3</v>
      </c>
      <c r="F4479" s="6">
        <v>2</v>
      </c>
      <c r="G4479" s="6" t="s">
        <v>11</v>
      </c>
      <c r="H4479" s="6" t="s">
        <v>10</v>
      </c>
      <c r="I4479" s="6">
        <f>TabJogos[[#This Row],[PontosTime1]]-TabJogos[[#This Row],[PontosTime2]]</f>
        <v>1</v>
      </c>
    </row>
    <row r="4480" spans="1:9" ht="15" customHeight="1" x14ac:dyDescent="0.25">
      <c r="A4480" s="7">
        <v>4441</v>
      </c>
      <c r="B4480" s="1">
        <v>43735</v>
      </c>
      <c r="C4480" s="6" t="s">
        <v>13</v>
      </c>
      <c r="D4480" s="6" t="s">
        <v>10</v>
      </c>
      <c r="E4480" s="6">
        <v>5</v>
      </c>
      <c r="F4480" s="6">
        <v>1</v>
      </c>
      <c r="G4480" s="6" t="s">
        <v>41</v>
      </c>
      <c r="H4480" s="6" t="s">
        <v>32</v>
      </c>
      <c r="I4480" s="6">
        <f>TabJogos[[#This Row],[PontosTime1]]-TabJogos[[#This Row],[PontosTime2]]</f>
        <v>4</v>
      </c>
    </row>
    <row r="4481" spans="1:9" ht="15" customHeight="1" x14ac:dyDescent="0.25">
      <c r="A4481" s="7">
        <v>4442</v>
      </c>
      <c r="B4481" s="1">
        <v>43735</v>
      </c>
      <c r="C4481" s="6" t="s">
        <v>11</v>
      </c>
      <c r="D4481" s="6" t="s">
        <v>13</v>
      </c>
      <c r="E4481" s="6">
        <v>3</v>
      </c>
      <c r="F4481" s="6">
        <v>2</v>
      </c>
      <c r="G4481" s="6" t="s">
        <v>12</v>
      </c>
      <c r="H4481" s="6" t="s">
        <v>10</v>
      </c>
      <c r="I4481" s="6">
        <f>TabJogos[[#This Row],[PontosTime1]]-TabJogos[[#This Row],[PontosTime2]]</f>
        <v>1</v>
      </c>
    </row>
    <row r="4482" spans="1:9" ht="15" customHeight="1" x14ac:dyDescent="0.25">
      <c r="A4482" s="7">
        <v>4443</v>
      </c>
      <c r="B4482" s="1">
        <v>43735</v>
      </c>
      <c r="C4482" s="6" t="s">
        <v>13</v>
      </c>
      <c r="D4482" s="6" t="s">
        <v>27</v>
      </c>
      <c r="E4482" s="6">
        <v>4</v>
      </c>
      <c r="F4482" s="6">
        <v>2</v>
      </c>
      <c r="G4482" s="6" t="s">
        <v>11</v>
      </c>
      <c r="H4482" s="6" t="s">
        <v>41</v>
      </c>
      <c r="I4482" s="6">
        <f>TabJogos[[#This Row],[PontosTime1]]-TabJogos[[#This Row],[PontosTime2]]</f>
        <v>2</v>
      </c>
    </row>
    <row r="4483" spans="1:9" ht="15" customHeight="1" x14ac:dyDescent="0.25">
      <c r="A4483" s="7">
        <v>4444</v>
      </c>
      <c r="B4483" s="1">
        <v>43735</v>
      </c>
      <c r="C4483" s="6" t="s">
        <v>27</v>
      </c>
      <c r="D4483" s="6" t="s">
        <v>11</v>
      </c>
      <c r="E4483" s="6">
        <v>3</v>
      </c>
      <c r="F4483" s="6">
        <v>0</v>
      </c>
      <c r="G4483" s="6" t="s">
        <v>13</v>
      </c>
      <c r="H4483" s="6" t="s">
        <v>41</v>
      </c>
      <c r="I4483" s="6">
        <f>TabJogos[[#This Row],[PontosTime1]]-TabJogos[[#This Row],[PontosTime2]]</f>
        <v>3</v>
      </c>
    </row>
    <row r="4484" spans="1:9" ht="15" customHeight="1" x14ac:dyDescent="0.25">
      <c r="A4484" s="7">
        <v>4445</v>
      </c>
      <c r="B4484" s="1">
        <v>43735</v>
      </c>
      <c r="C4484" s="6" t="s">
        <v>11</v>
      </c>
      <c r="D4484" s="6" t="s">
        <v>13</v>
      </c>
      <c r="E4484" s="6">
        <v>3</v>
      </c>
      <c r="F4484" s="6">
        <v>0</v>
      </c>
      <c r="G4484" s="6" t="s">
        <v>41</v>
      </c>
      <c r="H4484" s="6" t="s">
        <v>27</v>
      </c>
      <c r="I4484" s="6">
        <f>TabJogos[[#This Row],[PontosTime1]]-TabJogos[[#This Row],[PontosTime2]]</f>
        <v>3</v>
      </c>
    </row>
    <row r="4485" spans="1:9" ht="15" customHeight="1" x14ac:dyDescent="0.25">
      <c r="A4485" s="7">
        <v>4446</v>
      </c>
      <c r="B4485" s="1">
        <v>43735</v>
      </c>
      <c r="C4485" s="6" t="s">
        <v>13</v>
      </c>
      <c r="D4485" s="6" t="s">
        <v>27</v>
      </c>
      <c r="E4485" s="6">
        <v>3</v>
      </c>
      <c r="F4485" s="6">
        <v>2</v>
      </c>
      <c r="G4485" s="6" t="s">
        <v>11</v>
      </c>
      <c r="H4485" s="6" t="s">
        <v>41</v>
      </c>
      <c r="I4485" s="6">
        <f>TabJogos[[#This Row],[PontosTime1]]-TabJogos[[#This Row],[PontosTime2]]</f>
        <v>1</v>
      </c>
    </row>
    <row r="4486" spans="1:9" ht="15" customHeight="1" x14ac:dyDescent="0.25">
      <c r="A4486" s="7">
        <v>4447</v>
      </c>
      <c r="B4486" s="1">
        <v>43738</v>
      </c>
      <c r="C4486" s="6" t="s">
        <v>13</v>
      </c>
      <c r="D4486" s="6" t="s">
        <v>18</v>
      </c>
      <c r="E4486" s="6">
        <v>0</v>
      </c>
      <c r="F4486" s="6">
        <v>3</v>
      </c>
      <c r="G4486" s="6" t="s">
        <v>11</v>
      </c>
      <c r="H4486" s="6" t="s">
        <v>17</v>
      </c>
      <c r="I4486" s="6">
        <f>TabJogos[[#This Row],[PontosTime1]]-TabJogos[[#This Row],[PontosTime2]]</f>
        <v>-3</v>
      </c>
    </row>
    <row r="4487" spans="1:9" ht="15" customHeight="1" x14ac:dyDescent="0.25">
      <c r="A4487" s="7">
        <v>4448</v>
      </c>
      <c r="B4487" s="1">
        <v>43738</v>
      </c>
      <c r="C4487" s="6" t="s">
        <v>11</v>
      </c>
      <c r="D4487" s="6" t="s">
        <v>18</v>
      </c>
      <c r="E4487" s="6">
        <v>1</v>
      </c>
      <c r="F4487" s="6">
        <v>6</v>
      </c>
      <c r="G4487" s="6" t="s">
        <v>11</v>
      </c>
      <c r="H4487" s="6" t="s">
        <v>13</v>
      </c>
      <c r="I4487" s="6">
        <f>TabJogos[[#This Row],[PontosTime1]]-TabJogos[[#This Row],[PontosTime2]]</f>
        <v>-5</v>
      </c>
    </row>
    <row r="4488" spans="1:9" ht="15" customHeight="1" x14ac:dyDescent="0.25">
      <c r="A4488" s="7">
        <v>4449</v>
      </c>
      <c r="B4488" s="1">
        <v>43738</v>
      </c>
      <c r="C4488" s="6" t="s">
        <v>11</v>
      </c>
      <c r="D4488" s="6" t="s">
        <v>13</v>
      </c>
      <c r="E4488" s="6">
        <v>2</v>
      </c>
      <c r="F4488" s="6">
        <v>3</v>
      </c>
      <c r="G4488" s="6" t="s">
        <v>17</v>
      </c>
      <c r="H4488" s="6" t="s">
        <v>18</v>
      </c>
      <c r="I4488" s="6">
        <f>TabJogos[[#This Row],[PontosTime1]]-TabJogos[[#This Row],[PontosTime2]]</f>
        <v>-1</v>
      </c>
    </row>
    <row r="4489" spans="1:9" ht="15" customHeight="1" x14ac:dyDescent="0.25">
      <c r="A4489" s="7">
        <v>4450</v>
      </c>
      <c r="B4489" s="1">
        <v>43738</v>
      </c>
      <c r="C4489" s="6" t="s">
        <v>11</v>
      </c>
      <c r="D4489" s="6" t="s">
        <v>17</v>
      </c>
      <c r="E4489" s="6">
        <v>3</v>
      </c>
      <c r="F4489" s="6">
        <v>2</v>
      </c>
      <c r="G4489" s="6" t="s">
        <v>27</v>
      </c>
      <c r="H4489" s="6" t="s">
        <v>18</v>
      </c>
      <c r="I4489" s="6">
        <f>TabJogos[[#This Row],[PontosTime1]]-TabJogos[[#This Row],[PontosTime2]]</f>
        <v>1</v>
      </c>
    </row>
    <row r="4490" spans="1:9" ht="15" customHeight="1" x14ac:dyDescent="0.25">
      <c r="A4490" s="7">
        <v>4451</v>
      </c>
      <c r="B4490" s="1">
        <v>43738</v>
      </c>
      <c r="C4490" s="6" t="s">
        <v>17</v>
      </c>
      <c r="D4490" s="6" t="s">
        <v>13</v>
      </c>
      <c r="E4490" s="6">
        <v>4</v>
      </c>
      <c r="F4490" s="6">
        <v>2</v>
      </c>
      <c r="G4490" s="6" t="s">
        <v>11</v>
      </c>
      <c r="H4490" s="6" t="s">
        <v>18</v>
      </c>
      <c r="I4490" s="6">
        <f>TabJogos[[#This Row],[PontosTime1]]-TabJogos[[#This Row],[PontosTime2]]</f>
        <v>2</v>
      </c>
    </row>
    <row r="4491" spans="1:9" ht="15" customHeight="1" x14ac:dyDescent="0.25">
      <c r="A4491" s="7">
        <v>4452</v>
      </c>
      <c r="B4491" s="1">
        <v>43738</v>
      </c>
      <c r="C4491" s="6" t="s">
        <v>11</v>
      </c>
      <c r="D4491" s="6" t="s">
        <v>13</v>
      </c>
      <c r="E4491" s="6">
        <v>4</v>
      </c>
      <c r="F4491" s="6">
        <v>0</v>
      </c>
      <c r="G4491" s="6" t="s">
        <v>17</v>
      </c>
      <c r="H4491" s="6" t="s">
        <v>18</v>
      </c>
      <c r="I4491" s="6">
        <f>TabJogos[[#This Row],[PontosTime1]]-TabJogos[[#This Row],[PontosTime2]]</f>
        <v>4</v>
      </c>
    </row>
    <row r="4492" spans="1:9" ht="15" customHeight="1" x14ac:dyDescent="0.25">
      <c r="A4492" s="7">
        <v>4453</v>
      </c>
      <c r="B4492" s="1">
        <v>43739</v>
      </c>
      <c r="C4492" s="6" t="s">
        <v>11</v>
      </c>
      <c r="D4492" s="6" t="s">
        <v>32</v>
      </c>
      <c r="E4492" s="6">
        <v>3</v>
      </c>
      <c r="F4492" s="6">
        <v>2</v>
      </c>
      <c r="G4492" s="6" t="s">
        <v>13</v>
      </c>
      <c r="H4492" s="6" t="s">
        <v>10</v>
      </c>
      <c r="I4492" s="6">
        <f>TabJogos[[#This Row],[PontosTime1]]-TabJogos[[#This Row],[PontosTime2]]</f>
        <v>1</v>
      </c>
    </row>
    <row r="4493" spans="1:9" ht="15" customHeight="1" x14ac:dyDescent="0.25">
      <c r="A4493" s="7">
        <v>4454</v>
      </c>
      <c r="B4493" s="1">
        <v>43739</v>
      </c>
      <c r="C4493" s="6" t="s">
        <v>32</v>
      </c>
      <c r="D4493" s="6" t="s">
        <v>10</v>
      </c>
      <c r="E4493" s="6">
        <v>1</v>
      </c>
      <c r="F4493" s="6">
        <v>6</v>
      </c>
      <c r="G4493" s="6" t="s">
        <v>27</v>
      </c>
      <c r="H4493" s="6" t="s">
        <v>11</v>
      </c>
      <c r="I4493" s="6">
        <f>TabJogos[[#This Row],[PontosTime1]]-TabJogos[[#This Row],[PontosTime2]]</f>
        <v>-5</v>
      </c>
    </row>
    <row r="4494" spans="1:9" ht="15" customHeight="1" x14ac:dyDescent="0.25">
      <c r="A4494" s="7">
        <v>4455</v>
      </c>
      <c r="B4494" s="1">
        <v>43739</v>
      </c>
      <c r="C4494" s="6" t="s">
        <v>11</v>
      </c>
      <c r="D4494" s="6" t="s">
        <v>13</v>
      </c>
      <c r="E4494" s="6">
        <v>3</v>
      </c>
      <c r="F4494" s="6">
        <v>0</v>
      </c>
      <c r="G4494" s="6" t="s">
        <v>27</v>
      </c>
      <c r="H4494" s="6" t="s">
        <v>32</v>
      </c>
      <c r="I4494" s="6">
        <f>TabJogos[[#This Row],[PontosTime1]]-TabJogos[[#This Row],[PontosTime2]]</f>
        <v>3</v>
      </c>
    </row>
    <row r="4495" spans="1:9" ht="15" customHeight="1" x14ac:dyDescent="0.25">
      <c r="A4495" s="7">
        <v>4456</v>
      </c>
      <c r="B4495" s="1">
        <v>43739</v>
      </c>
      <c r="C4495" s="6" t="s">
        <v>11</v>
      </c>
      <c r="D4495" s="6" t="s">
        <v>10</v>
      </c>
      <c r="E4495" s="6">
        <v>3</v>
      </c>
      <c r="F4495" s="6">
        <v>2</v>
      </c>
      <c r="G4495" s="6" t="s">
        <v>13</v>
      </c>
      <c r="H4495" s="6" t="s">
        <v>27</v>
      </c>
      <c r="I4495" s="6">
        <f>TabJogos[[#This Row],[PontosTime1]]-TabJogos[[#This Row],[PontosTime2]]</f>
        <v>1</v>
      </c>
    </row>
    <row r="4496" spans="1:9" ht="15" customHeight="1" x14ac:dyDescent="0.25">
      <c r="A4496" s="7">
        <v>4457</v>
      </c>
      <c r="B4496" s="1">
        <v>43739</v>
      </c>
      <c r="C4496" s="6" t="s">
        <v>13</v>
      </c>
      <c r="D4496" s="6" t="s">
        <v>10</v>
      </c>
      <c r="E4496" s="6">
        <v>3</v>
      </c>
      <c r="F4496" s="6">
        <v>1</v>
      </c>
      <c r="G4496" s="6" t="s">
        <v>11</v>
      </c>
      <c r="H4496" s="6" t="s">
        <v>27</v>
      </c>
      <c r="I4496" s="6">
        <f>TabJogos[[#This Row],[PontosTime1]]-TabJogos[[#This Row],[PontosTime2]]</f>
        <v>2</v>
      </c>
    </row>
    <row r="4497" spans="1:9" ht="15" customHeight="1" x14ac:dyDescent="0.25">
      <c r="A4497" s="7">
        <v>4458</v>
      </c>
      <c r="B4497" s="1">
        <v>43739</v>
      </c>
      <c r="C4497" s="6" t="s">
        <v>27</v>
      </c>
      <c r="D4497" s="6" t="s">
        <v>10</v>
      </c>
      <c r="E4497" s="6">
        <v>3</v>
      </c>
      <c r="F4497" s="6">
        <v>2</v>
      </c>
      <c r="G4497" s="6" t="s">
        <v>11</v>
      </c>
      <c r="H4497" s="6" t="s">
        <v>13</v>
      </c>
      <c r="I4497" s="6">
        <f>TabJogos[[#This Row],[PontosTime1]]-TabJogos[[#This Row],[PontosTime2]]</f>
        <v>1</v>
      </c>
    </row>
    <row r="4498" spans="1:9" ht="15" customHeight="1" x14ac:dyDescent="0.25">
      <c r="A4498" s="7">
        <v>4459</v>
      </c>
      <c r="B4498" s="1">
        <v>43739</v>
      </c>
      <c r="C4498" s="6" t="s">
        <v>11</v>
      </c>
      <c r="D4498" s="6" t="s">
        <v>10</v>
      </c>
      <c r="E4498" s="6">
        <v>3</v>
      </c>
      <c r="F4498" s="6">
        <v>0</v>
      </c>
      <c r="G4498" s="6" t="s">
        <v>18</v>
      </c>
      <c r="H4498" s="6" t="s">
        <v>27</v>
      </c>
      <c r="I4498" s="6">
        <f>TabJogos[[#This Row],[PontosTime1]]-TabJogos[[#This Row],[PontosTime2]]</f>
        <v>3</v>
      </c>
    </row>
    <row r="4499" spans="1:9" ht="15" customHeight="1" x14ac:dyDescent="0.25">
      <c r="A4499" s="7">
        <v>4460</v>
      </c>
      <c r="B4499" s="1">
        <v>43739</v>
      </c>
      <c r="C4499" s="6" t="s">
        <v>11</v>
      </c>
      <c r="D4499" s="6" t="s">
        <v>27</v>
      </c>
      <c r="E4499" s="6">
        <v>3</v>
      </c>
      <c r="F4499" s="6">
        <v>0</v>
      </c>
      <c r="G4499" s="6" t="s">
        <v>10</v>
      </c>
      <c r="H4499" s="6" t="s">
        <v>13</v>
      </c>
      <c r="I4499" s="6">
        <f>TabJogos[[#This Row],[PontosTime1]]-TabJogos[[#This Row],[PontosTime2]]</f>
        <v>3</v>
      </c>
    </row>
    <row r="4500" spans="1:9" ht="15" customHeight="1" x14ac:dyDescent="0.25">
      <c r="A4500" s="7">
        <v>4461</v>
      </c>
      <c r="B4500" s="1">
        <v>43739</v>
      </c>
      <c r="C4500" s="6" t="s">
        <v>11</v>
      </c>
      <c r="D4500" s="6" t="s">
        <v>18</v>
      </c>
      <c r="E4500" s="6">
        <v>3</v>
      </c>
      <c r="F4500" s="6">
        <v>2</v>
      </c>
      <c r="G4500" s="6" t="s">
        <v>27</v>
      </c>
      <c r="H4500" s="6" t="s">
        <v>10</v>
      </c>
      <c r="I4500" s="6">
        <f>TabJogos[[#This Row],[PontosTime1]]-TabJogos[[#This Row],[PontosTime2]]</f>
        <v>1</v>
      </c>
    </row>
    <row r="4501" spans="1:9" ht="15" customHeight="1" x14ac:dyDescent="0.25">
      <c r="A4501" s="7">
        <v>4462</v>
      </c>
      <c r="B4501" s="1">
        <v>43739</v>
      </c>
      <c r="C4501" s="6" t="s">
        <v>18</v>
      </c>
      <c r="D4501" s="6" t="s">
        <v>10</v>
      </c>
      <c r="E4501" s="6">
        <v>1</v>
      </c>
      <c r="F4501" s="6">
        <v>3</v>
      </c>
      <c r="G4501" s="6" t="s">
        <v>13</v>
      </c>
      <c r="H4501" s="6" t="s">
        <v>11</v>
      </c>
      <c r="I4501" s="6">
        <f>TabJogos[[#This Row],[PontosTime1]]-TabJogos[[#This Row],[PontosTime2]]</f>
        <v>-2</v>
      </c>
    </row>
    <row r="4502" spans="1:9" ht="15" customHeight="1" x14ac:dyDescent="0.25">
      <c r="A4502" s="7">
        <v>4463</v>
      </c>
      <c r="B4502" s="1">
        <v>43739</v>
      </c>
      <c r="C4502" s="6" t="s">
        <v>18</v>
      </c>
      <c r="D4502" s="6" t="s">
        <v>13</v>
      </c>
      <c r="E4502" s="6">
        <v>2</v>
      </c>
      <c r="F4502" s="6">
        <v>4</v>
      </c>
      <c r="G4502" s="6" t="s">
        <v>10</v>
      </c>
      <c r="H4502" s="6" t="s">
        <v>11</v>
      </c>
      <c r="I4502" s="6">
        <f>TabJogos[[#This Row],[PontosTime1]]-TabJogos[[#This Row],[PontosTime2]]</f>
        <v>-2</v>
      </c>
    </row>
    <row r="4503" spans="1:9" ht="15" customHeight="1" x14ac:dyDescent="0.25">
      <c r="A4503" s="7">
        <v>4464</v>
      </c>
      <c r="B4503" s="1">
        <v>43739</v>
      </c>
      <c r="C4503" s="6" t="s">
        <v>18</v>
      </c>
      <c r="D4503" s="6" t="s">
        <v>32</v>
      </c>
      <c r="E4503" s="6">
        <v>3</v>
      </c>
      <c r="F4503" s="6">
        <v>1</v>
      </c>
      <c r="G4503" s="6" t="s">
        <v>13</v>
      </c>
      <c r="H4503" s="6" t="s">
        <v>17</v>
      </c>
      <c r="I4503" s="6">
        <f>TabJogos[[#This Row],[PontosTime1]]-TabJogos[[#This Row],[PontosTime2]]</f>
        <v>2</v>
      </c>
    </row>
    <row r="4504" spans="1:9" ht="15" customHeight="1" x14ac:dyDescent="0.25">
      <c r="A4504" s="7">
        <v>4465</v>
      </c>
      <c r="B4504" s="1">
        <v>43739</v>
      </c>
      <c r="C4504" s="6" t="s">
        <v>11</v>
      </c>
      <c r="D4504" s="6" t="s">
        <v>41</v>
      </c>
      <c r="E4504" s="6">
        <v>0</v>
      </c>
      <c r="F4504" s="6">
        <v>4</v>
      </c>
      <c r="G4504" s="6" t="s">
        <v>17</v>
      </c>
      <c r="H4504" s="6" t="s">
        <v>18</v>
      </c>
      <c r="I4504" s="6">
        <f>TabJogos[[#This Row],[PontosTime1]]-TabJogos[[#This Row],[PontosTime2]]</f>
        <v>-4</v>
      </c>
    </row>
    <row r="4505" spans="1:9" ht="15" customHeight="1" x14ac:dyDescent="0.25">
      <c r="A4505" s="7">
        <v>4466</v>
      </c>
      <c r="B4505" s="1">
        <v>43740</v>
      </c>
      <c r="C4505" s="6" t="s">
        <v>11</v>
      </c>
      <c r="D4505" s="6" t="s">
        <v>13</v>
      </c>
      <c r="E4505" s="6">
        <v>1</v>
      </c>
      <c r="F4505" s="6">
        <v>3</v>
      </c>
      <c r="G4505" s="6" t="s">
        <v>10</v>
      </c>
      <c r="H4505" s="6" t="s">
        <v>12</v>
      </c>
      <c r="I4505" s="6">
        <f>TabJogos[[#This Row],[PontosTime1]]-TabJogos[[#This Row],[PontosTime2]]</f>
        <v>-2</v>
      </c>
    </row>
    <row r="4506" spans="1:9" ht="15" customHeight="1" x14ac:dyDescent="0.25">
      <c r="A4506" s="7">
        <v>4467</v>
      </c>
      <c r="B4506" s="1">
        <v>43740</v>
      </c>
      <c r="C4506" s="6" t="s">
        <v>11</v>
      </c>
      <c r="D4506" s="6" t="s">
        <v>12</v>
      </c>
      <c r="E4506" s="6">
        <v>3</v>
      </c>
      <c r="F4506" s="6">
        <v>2</v>
      </c>
      <c r="G4506" s="6" t="s">
        <v>13</v>
      </c>
      <c r="H4506" s="6" t="s">
        <v>10</v>
      </c>
      <c r="I4506" s="6">
        <f>TabJogos[[#This Row],[PontosTime1]]-TabJogos[[#This Row],[PontosTime2]]</f>
        <v>1</v>
      </c>
    </row>
    <row r="4507" spans="1:9" ht="15" customHeight="1" x14ac:dyDescent="0.25">
      <c r="A4507" s="7">
        <v>4468</v>
      </c>
      <c r="B4507" s="1">
        <v>43740</v>
      </c>
      <c r="C4507" s="6" t="s">
        <v>11</v>
      </c>
      <c r="D4507" s="6" t="s">
        <v>10</v>
      </c>
      <c r="E4507" s="6">
        <v>3</v>
      </c>
      <c r="F4507" s="6">
        <v>1</v>
      </c>
      <c r="G4507" s="6" t="s">
        <v>13</v>
      </c>
      <c r="H4507" s="6" t="s">
        <v>12</v>
      </c>
      <c r="I4507" s="6">
        <f>TabJogos[[#This Row],[PontosTime1]]-TabJogos[[#This Row],[PontosTime2]]</f>
        <v>2</v>
      </c>
    </row>
    <row r="4508" spans="1:9" ht="15" customHeight="1" x14ac:dyDescent="0.25">
      <c r="A4508" s="7">
        <v>4469</v>
      </c>
      <c r="B4508" s="1">
        <v>43740</v>
      </c>
      <c r="C4508" s="6" t="s">
        <v>11</v>
      </c>
      <c r="D4508" s="6" t="s">
        <v>18</v>
      </c>
      <c r="E4508" s="6">
        <v>3</v>
      </c>
      <c r="F4508" s="6">
        <v>2</v>
      </c>
      <c r="G4508" s="6" t="s">
        <v>32</v>
      </c>
      <c r="H4508" s="6" t="s">
        <v>13</v>
      </c>
      <c r="I4508" s="6">
        <f>TabJogos[[#This Row],[PontosTime1]]-TabJogos[[#This Row],[PontosTime2]]</f>
        <v>1</v>
      </c>
    </row>
    <row r="4509" spans="1:9" ht="15" customHeight="1" x14ac:dyDescent="0.25">
      <c r="A4509" s="7">
        <v>4470</v>
      </c>
      <c r="B4509" s="1">
        <v>43740</v>
      </c>
      <c r="C4509" s="6" t="s">
        <v>11</v>
      </c>
      <c r="D4509" s="6" t="s">
        <v>27</v>
      </c>
      <c r="E4509" s="6">
        <v>1</v>
      </c>
      <c r="F4509" s="6">
        <v>3</v>
      </c>
      <c r="G4509" s="6" t="s">
        <v>13</v>
      </c>
      <c r="H4509" s="6" t="s">
        <v>18</v>
      </c>
      <c r="I4509" s="6">
        <f>TabJogos[[#This Row],[PontosTime1]]-TabJogos[[#This Row],[PontosTime2]]</f>
        <v>-2</v>
      </c>
    </row>
    <row r="4510" spans="1:9" ht="15" customHeight="1" x14ac:dyDescent="0.25">
      <c r="A4510" s="7">
        <v>4471</v>
      </c>
      <c r="B4510" s="1">
        <v>43740</v>
      </c>
      <c r="C4510" s="6" t="s">
        <v>32</v>
      </c>
      <c r="D4510" s="6" t="s">
        <v>18</v>
      </c>
      <c r="E4510" s="6">
        <v>1</v>
      </c>
      <c r="F4510" s="6">
        <v>3</v>
      </c>
      <c r="G4510" s="6" t="s">
        <v>11</v>
      </c>
      <c r="H4510" s="6" t="s">
        <v>13</v>
      </c>
      <c r="I4510" s="6">
        <f>TabJogos[[#This Row],[PontosTime1]]-TabJogos[[#This Row],[PontosTime2]]</f>
        <v>-2</v>
      </c>
    </row>
    <row r="4511" spans="1:9" ht="15" customHeight="1" x14ac:dyDescent="0.25">
      <c r="A4511" s="7">
        <v>4472</v>
      </c>
      <c r="B4511" s="1">
        <v>43740</v>
      </c>
      <c r="C4511" s="6" t="s">
        <v>11</v>
      </c>
      <c r="D4511" s="6" t="s">
        <v>32</v>
      </c>
      <c r="E4511" s="6">
        <v>1</v>
      </c>
      <c r="F4511" s="6">
        <v>4</v>
      </c>
      <c r="G4511" s="6" t="s">
        <v>13</v>
      </c>
      <c r="H4511" s="6" t="s">
        <v>27</v>
      </c>
      <c r="I4511" s="6">
        <f>TabJogos[[#This Row],[PontosTime1]]-TabJogos[[#This Row],[PontosTime2]]</f>
        <v>-3</v>
      </c>
    </row>
    <row r="4512" spans="1:9" ht="15" customHeight="1" x14ac:dyDescent="0.25">
      <c r="A4512" s="7">
        <v>4473</v>
      </c>
      <c r="B4512" s="1">
        <v>43740</v>
      </c>
      <c r="C4512" s="6" t="s">
        <v>27</v>
      </c>
      <c r="D4512" s="6" t="s">
        <v>32</v>
      </c>
      <c r="E4512" s="6">
        <v>4</v>
      </c>
      <c r="F4512" s="6">
        <v>2</v>
      </c>
      <c r="G4512" s="6" t="s">
        <v>13</v>
      </c>
      <c r="H4512" s="6" t="s">
        <v>18</v>
      </c>
      <c r="I4512" s="6">
        <f>TabJogos[[#This Row],[PontosTime1]]-TabJogos[[#This Row],[PontosTime2]]</f>
        <v>2</v>
      </c>
    </row>
    <row r="4513" spans="1:9" ht="15" customHeight="1" x14ac:dyDescent="0.25">
      <c r="A4513" s="7">
        <v>4474</v>
      </c>
      <c r="B4513" s="1">
        <v>43740</v>
      </c>
      <c r="C4513" s="6" t="s">
        <v>11</v>
      </c>
      <c r="D4513" s="6" t="s">
        <v>27</v>
      </c>
      <c r="E4513" s="6">
        <v>3</v>
      </c>
      <c r="F4513" s="6">
        <v>1</v>
      </c>
      <c r="G4513" s="6" t="s">
        <v>13</v>
      </c>
      <c r="H4513" s="6" t="s">
        <v>32</v>
      </c>
      <c r="I4513" s="6">
        <f>TabJogos[[#This Row],[PontosTime1]]-TabJogos[[#This Row],[PontosTime2]]</f>
        <v>2</v>
      </c>
    </row>
    <row r="4514" spans="1:9" ht="15" customHeight="1" x14ac:dyDescent="0.25">
      <c r="A4514" s="7">
        <v>4475</v>
      </c>
      <c r="B4514" s="1">
        <v>43740</v>
      </c>
      <c r="C4514" s="6" t="s">
        <v>27</v>
      </c>
      <c r="D4514" s="6" t="s">
        <v>18</v>
      </c>
      <c r="E4514" s="6">
        <v>4</v>
      </c>
      <c r="F4514" s="6">
        <v>2</v>
      </c>
      <c r="G4514" s="6" t="s">
        <v>13</v>
      </c>
      <c r="H4514" s="6" t="s">
        <v>11</v>
      </c>
      <c r="I4514" s="6">
        <f>TabJogos[[#This Row],[PontosTime1]]-TabJogos[[#This Row],[PontosTime2]]</f>
        <v>2</v>
      </c>
    </row>
    <row r="4515" spans="1:9" ht="15" customHeight="1" x14ac:dyDescent="0.25">
      <c r="A4515" s="7">
        <v>4476</v>
      </c>
      <c r="B4515" s="1">
        <v>43740</v>
      </c>
      <c r="C4515" s="6" t="s">
        <v>11</v>
      </c>
      <c r="D4515" s="6" t="s">
        <v>18</v>
      </c>
      <c r="E4515" s="6">
        <v>3</v>
      </c>
      <c r="F4515" s="6">
        <v>1</v>
      </c>
      <c r="G4515" s="6" t="s">
        <v>17</v>
      </c>
      <c r="H4515" s="6" t="s">
        <v>13</v>
      </c>
      <c r="I4515" s="6">
        <f>TabJogos[[#This Row],[PontosTime1]]-TabJogos[[#This Row],[PontosTime2]]</f>
        <v>2</v>
      </c>
    </row>
    <row r="4516" spans="1:9" ht="15" customHeight="1" x14ac:dyDescent="0.25">
      <c r="A4516" s="7">
        <v>4477</v>
      </c>
      <c r="B4516" s="1">
        <v>43740</v>
      </c>
      <c r="C4516" s="6" t="s">
        <v>11</v>
      </c>
      <c r="D4516" s="6" t="s">
        <v>17</v>
      </c>
      <c r="E4516" s="6">
        <v>1</v>
      </c>
      <c r="F4516" s="6">
        <v>3</v>
      </c>
      <c r="G4516" s="6" t="s">
        <v>13</v>
      </c>
      <c r="H4516" s="6" t="s">
        <v>18</v>
      </c>
      <c r="I4516" s="6">
        <f>TabJogos[[#This Row],[PontosTime1]]-TabJogos[[#This Row],[PontosTime2]]</f>
        <v>-2</v>
      </c>
    </row>
    <row r="4517" spans="1:9" ht="15" customHeight="1" x14ac:dyDescent="0.25">
      <c r="A4517" s="7">
        <v>4478</v>
      </c>
      <c r="B4517" s="1">
        <v>43740</v>
      </c>
      <c r="C4517" s="6" t="s">
        <v>11</v>
      </c>
      <c r="D4517" s="6" t="s">
        <v>13</v>
      </c>
      <c r="E4517" s="6">
        <v>2</v>
      </c>
      <c r="F4517" s="6">
        <v>3</v>
      </c>
      <c r="G4517" s="6" t="s">
        <v>17</v>
      </c>
      <c r="H4517" s="6" t="s">
        <v>18</v>
      </c>
      <c r="I4517" s="6">
        <f>TabJogos[[#This Row],[PontosTime1]]-TabJogos[[#This Row],[PontosTime2]]</f>
        <v>-1</v>
      </c>
    </row>
    <row r="4518" spans="1:9" ht="15" customHeight="1" x14ac:dyDescent="0.25">
      <c r="A4518" s="7">
        <v>4479</v>
      </c>
      <c r="B4518" s="1">
        <v>43741</v>
      </c>
      <c r="C4518" s="6" t="s">
        <v>9</v>
      </c>
      <c r="D4518" s="6" t="s">
        <v>13</v>
      </c>
      <c r="E4518" s="6">
        <v>3</v>
      </c>
      <c r="F4518" s="6">
        <v>1</v>
      </c>
      <c r="G4518" s="6" t="s">
        <v>12</v>
      </c>
      <c r="H4518" s="6" t="s">
        <v>11</v>
      </c>
      <c r="I4518" s="6">
        <f>TabJogos[[#This Row],[PontosTime1]]-TabJogos[[#This Row],[PontosTime2]]</f>
        <v>2</v>
      </c>
    </row>
    <row r="4519" spans="1:9" ht="15" customHeight="1" x14ac:dyDescent="0.25">
      <c r="A4519" s="7">
        <v>4480</v>
      </c>
      <c r="B4519" s="1">
        <v>43741</v>
      </c>
      <c r="C4519" s="6" t="s">
        <v>9</v>
      </c>
      <c r="D4519" s="6" t="s">
        <v>18</v>
      </c>
      <c r="E4519" s="6">
        <v>3</v>
      </c>
      <c r="F4519" s="6">
        <v>2</v>
      </c>
      <c r="G4519" s="6" t="s">
        <v>13</v>
      </c>
      <c r="H4519" s="6" t="s">
        <v>27</v>
      </c>
      <c r="I4519" s="6">
        <f>TabJogos[[#This Row],[PontosTime1]]-TabJogos[[#This Row],[PontosTime2]]</f>
        <v>1</v>
      </c>
    </row>
    <row r="4520" spans="1:9" ht="15" customHeight="1" x14ac:dyDescent="0.25">
      <c r="A4520" s="7">
        <v>4481</v>
      </c>
      <c r="B4520" s="1">
        <v>43741</v>
      </c>
      <c r="C4520" s="6" t="s">
        <v>11</v>
      </c>
      <c r="D4520" s="6" t="s">
        <v>18</v>
      </c>
      <c r="E4520" s="6">
        <v>0</v>
      </c>
      <c r="F4520" s="6">
        <v>3</v>
      </c>
      <c r="G4520" s="6" t="s">
        <v>9</v>
      </c>
      <c r="H4520" s="6" t="s">
        <v>27</v>
      </c>
      <c r="I4520" s="6">
        <f>TabJogos[[#This Row],[PontosTime1]]-TabJogos[[#This Row],[PontosTime2]]</f>
        <v>-3</v>
      </c>
    </row>
    <row r="4521" spans="1:9" ht="15" customHeight="1" x14ac:dyDescent="0.25">
      <c r="A4521" s="7">
        <v>4482</v>
      </c>
      <c r="B4521" s="1">
        <v>43741</v>
      </c>
      <c r="C4521" s="6" t="s">
        <v>9</v>
      </c>
      <c r="D4521" s="6" t="s">
        <v>13</v>
      </c>
      <c r="E4521" s="6">
        <v>2</v>
      </c>
      <c r="F4521" s="6">
        <v>3</v>
      </c>
      <c r="G4521" s="6" t="s">
        <v>27</v>
      </c>
      <c r="H4521" s="6" t="s">
        <v>11</v>
      </c>
      <c r="I4521" s="6">
        <f>TabJogos[[#This Row],[PontosTime1]]-TabJogos[[#This Row],[PontosTime2]]</f>
        <v>-1</v>
      </c>
    </row>
    <row r="4522" spans="1:9" ht="15" customHeight="1" x14ac:dyDescent="0.25">
      <c r="A4522" s="7">
        <v>4483</v>
      </c>
      <c r="B4522" s="1">
        <v>43741</v>
      </c>
      <c r="C4522" s="6" t="s">
        <v>11</v>
      </c>
      <c r="D4522" s="6" t="s">
        <v>17</v>
      </c>
      <c r="E4522" s="6">
        <v>3</v>
      </c>
      <c r="F4522" s="6">
        <v>0</v>
      </c>
      <c r="G4522" s="6" t="s">
        <v>27</v>
      </c>
      <c r="H4522" s="6" t="s">
        <v>18</v>
      </c>
      <c r="I4522" s="6">
        <f>TabJogos[[#This Row],[PontosTime1]]-TabJogos[[#This Row],[PontosTime2]]</f>
        <v>3</v>
      </c>
    </row>
    <row r="4523" spans="1:9" ht="15" customHeight="1" x14ac:dyDescent="0.25">
      <c r="A4523" s="7">
        <v>4484</v>
      </c>
      <c r="B4523" s="1">
        <v>43741</v>
      </c>
      <c r="C4523" s="6" t="s">
        <v>9</v>
      </c>
      <c r="D4523" s="6" t="s">
        <v>17</v>
      </c>
      <c r="E4523" s="6">
        <v>3</v>
      </c>
      <c r="F4523" s="6">
        <v>0</v>
      </c>
      <c r="G4523" s="6" t="s">
        <v>11</v>
      </c>
      <c r="H4523" s="6" t="s">
        <v>13</v>
      </c>
      <c r="I4523" s="6">
        <f>TabJogos[[#This Row],[PontosTime1]]-TabJogos[[#This Row],[PontosTime2]]</f>
        <v>3</v>
      </c>
    </row>
    <row r="4524" spans="1:9" ht="15" customHeight="1" x14ac:dyDescent="0.25">
      <c r="A4524" s="7">
        <v>4485</v>
      </c>
      <c r="B4524" s="1">
        <v>43741</v>
      </c>
      <c r="C4524" s="6" t="s">
        <v>9</v>
      </c>
      <c r="D4524" s="6" t="s">
        <v>18</v>
      </c>
      <c r="E4524" s="6">
        <v>5</v>
      </c>
      <c r="F4524" s="6">
        <v>1</v>
      </c>
      <c r="G4524" s="6" t="s">
        <v>17</v>
      </c>
      <c r="H4524" s="6" t="s">
        <v>27</v>
      </c>
      <c r="I4524" s="6">
        <f>TabJogos[[#This Row],[PontosTime1]]-TabJogos[[#This Row],[PontosTime2]]</f>
        <v>4</v>
      </c>
    </row>
    <row r="4525" spans="1:9" ht="15" customHeight="1" x14ac:dyDescent="0.25">
      <c r="A4525" s="7">
        <v>4486</v>
      </c>
      <c r="B4525" s="1">
        <v>43741</v>
      </c>
      <c r="C4525" s="6" t="s">
        <v>9</v>
      </c>
      <c r="D4525" s="6" t="s">
        <v>11</v>
      </c>
      <c r="E4525" s="6">
        <v>3</v>
      </c>
      <c r="F4525" s="6">
        <v>0</v>
      </c>
      <c r="G4525" s="6" t="s">
        <v>13</v>
      </c>
      <c r="H4525" s="6" t="s">
        <v>18</v>
      </c>
      <c r="I4525" s="6">
        <f>TabJogos[[#This Row],[PontosTime1]]-TabJogos[[#This Row],[PontosTime2]]</f>
        <v>3</v>
      </c>
    </row>
    <row r="4526" spans="1:9" ht="15" customHeight="1" x14ac:dyDescent="0.25">
      <c r="A4526" s="7">
        <v>4487</v>
      </c>
      <c r="B4526" s="1">
        <v>43741</v>
      </c>
      <c r="C4526" s="6" t="s">
        <v>9</v>
      </c>
      <c r="D4526" s="6" t="s">
        <v>27</v>
      </c>
      <c r="E4526" s="6">
        <v>3</v>
      </c>
      <c r="F4526" s="6">
        <v>0</v>
      </c>
      <c r="G4526" s="6" t="s">
        <v>11</v>
      </c>
      <c r="H4526" s="6" t="s">
        <v>17</v>
      </c>
      <c r="I4526" s="6">
        <f>TabJogos[[#This Row],[PontosTime1]]-TabJogos[[#This Row],[PontosTime2]]</f>
        <v>3</v>
      </c>
    </row>
    <row r="4527" spans="1:9" ht="15" customHeight="1" x14ac:dyDescent="0.25">
      <c r="A4527" s="7">
        <v>4488</v>
      </c>
      <c r="B4527" s="1">
        <v>43741</v>
      </c>
      <c r="C4527" s="6" t="s">
        <v>9</v>
      </c>
      <c r="D4527" s="6" t="s">
        <v>13</v>
      </c>
      <c r="E4527" s="6">
        <v>3</v>
      </c>
      <c r="F4527" s="6">
        <v>0</v>
      </c>
      <c r="G4527" s="6" t="s">
        <v>27</v>
      </c>
      <c r="H4527" s="6" t="s">
        <v>18</v>
      </c>
      <c r="I4527" s="6">
        <f>TabJogos[[#This Row],[PontosTime1]]-TabJogos[[#This Row],[PontosTime2]]</f>
        <v>3</v>
      </c>
    </row>
    <row r="4528" spans="1:9" ht="15" customHeight="1" x14ac:dyDescent="0.25">
      <c r="A4528" s="7">
        <v>4489</v>
      </c>
      <c r="B4528" s="1">
        <v>43741</v>
      </c>
      <c r="C4528" s="6" t="s">
        <v>9</v>
      </c>
      <c r="D4528" s="6" t="s">
        <v>11</v>
      </c>
      <c r="E4528" s="6">
        <v>1</v>
      </c>
      <c r="F4528" s="6">
        <v>3</v>
      </c>
      <c r="G4528" s="6" t="s">
        <v>13</v>
      </c>
      <c r="H4528" s="6" t="s">
        <v>17</v>
      </c>
      <c r="I4528" s="6">
        <f>TabJogos[[#This Row],[PontosTime1]]-TabJogos[[#This Row],[PontosTime2]]</f>
        <v>-2</v>
      </c>
    </row>
    <row r="4529" spans="1:9" ht="15" customHeight="1" x14ac:dyDescent="0.25">
      <c r="A4529" s="7">
        <v>4490</v>
      </c>
      <c r="B4529" s="1">
        <v>43741</v>
      </c>
      <c r="C4529" s="6" t="s">
        <v>18</v>
      </c>
      <c r="D4529" s="6" t="s">
        <v>17</v>
      </c>
      <c r="E4529" s="6">
        <v>0</v>
      </c>
      <c r="F4529" s="6">
        <v>3</v>
      </c>
      <c r="G4529" s="6" t="s">
        <v>13</v>
      </c>
      <c r="H4529" s="6" t="s">
        <v>27</v>
      </c>
      <c r="I4529" s="6">
        <f>TabJogos[[#This Row],[PontosTime1]]-TabJogos[[#This Row],[PontosTime2]]</f>
        <v>-3</v>
      </c>
    </row>
    <row r="4530" spans="1:9" ht="15" customHeight="1" x14ac:dyDescent="0.25">
      <c r="A4530" s="7">
        <v>4491</v>
      </c>
      <c r="B4530" s="1">
        <v>43741</v>
      </c>
      <c r="C4530" s="6" t="s">
        <v>9</v>
      </c>
      <c r="D4530" s="6" t="s">
        <v>27</v>
      </c>
      <c r="E4530" s="6">
        <v>4</v>
      </c>
      <c r="F4530" s="6">
        <v>0</v>
      </c>
      <c r="G4530" s="6" t="s">
        <v>13</v>
      </c>
      <c r="H4530" s="6" t="s">
        <v>11</v>
      </c>
      <c r="I4530" s="6">
        <f>TabJogos[[#This Row],[PontosTime1]]-TabJogos[[#This Row],[PontosTime2]]</f>
        <v>4</v>
      </c>
    </row>
    <row r="4531" spans="1:9" ht="15" customHeight="1" x14ac:dyDescent="0.25">
      <c r="A4531" s="7">
        <v>4492</v>
      </c>
      <c r="B4531" s="1">
        <v>43741</v>
      </c>
      <c r="C4531" s="6" t="s">
        <v>9</v>
      </c>
      <c r="D4531" s="6" t="s">
        <v>18</v>
      </c>
      <c r="E4531" s="6">
        <v>4</v>
      </c>
      <c r="F4531" s="6">
        <v>2</v>
      </c>
      <c r="G4531" s="6" t="s">
        <v>27</v>
      </c>
      <c r="H4531" s="6" t="s">
        <v>17</v>
      </c>
      <c r="I4531" s="6">
        <f>TabJogos[[#This Row],[PontosTime1]]-TabJogos[[#This Row],[PontosTime2]]</f>
        <v>2</v>
      </c>
    </row>
    <row r="4532" spans="1:9" ht="15" customHeight="1" x14ac:dyDescent="0.25">
      <c r="A4532" s="7">
        <v>4493</v>
      </c>
      <c r="B4532" s="1">
        <v>43741</v>
      </c>
      <c r="C4532" s="6" t="s">
        <v>11</v>
      </c>
      <c r="D4532" s="6" t="s">
        <v>18</v>
      </c>
      <c r="E4532" s="6">
        <v>5</v>
      </c>
      <c r="F4532" s="6">
        <v>0</v>
      </c>
      <c r="G4532" s="6" t="s">
        <v>9</v>
      </c>
      <c r="H4532" s="6" t="s">
        <v>13</v>
      </c>
      <c r="I4532" s="6">
        <f>TabJogos[[#This Row],[PontosTime1]]-TabJogos[[#This Row],[PontosTime2]]</f>
        <v>5</v>
      </c>
    </row>
    <row r="4533" spans="1:9" ht="15" customHeight="1" x14ac:dyDescent="0.25">
      <c r="A4533" s="7">
        <v>4494</v>
      </c>
      <c r="B4533" s="1">
        <v>43741</v>
      </c>
      <c r="C4533" s="6" t="s">
        <v>11</v>
      </c>
      <c r="D4533" s="6" t="s">
        <v>17</v>
      </c>
      <c r="E4533" s="6">
        <v>4</v>
      </c>
      <c r="F4533" s="6">
        <v>0</v>
      </c>
      <c r="G4533" s="6" t="s">
        <v>18</v>
      </c>
      <c r="H4533" s="6" t="s">
        <v>13</v>
      </c>
      <c r="I4533" s="6">
        <f>TabJogos[[#This Row],[PontosTime1]]-TabJogos[[#This Row],[PontosTime2]]</f>
        <v>4</v>
      </c>
    </row>
    <row r="4534" spans="1:9" ht="15" customHeight="1" x14ac:dyDescent="0.25">
      <c r="A4534" s="7">
        <v>4495</v>
      </c>
      <c r="B4534" s="1">
        <v>43741</v>
      </c>
      <c r="C4534" s="6" t="s">
        <v>11</v>
      </c>
      <c r="D4534" s="6" t="s">
        <v>13</v>
      </c>
      <c r="E4534" s="6">
        <v>3</v>
      </c>
      <c r="F4534" s="6">
        <v>2</v>
      </c>
      <c r="G4534" s="6" t="s">
        <v>18</v>
      </c>
      <c r="H4534" s="6" t="s">
        <v>17</v>
      </c>
      <c r="I4534" s="6">
        <f>TabJogos[[#This Row],[PontosTime1]]-TabJogos[[#This Row],[PontosTime2]]</f>
        <v>1</v>
      </c>
    </row>
    <row r="4535" spans="1:9" ht="15" customHeight="1" x14ac:dyDescent="0.25">
      <c r="A4535" s="7">
        <v>4496</v>
      </c>
      <c r="B4535" s="1">
        <v>43742</v>
      </c>
      <c r="C4535" s="6" t="s">
        <v>11</v>
      </c>
      <c r="D4535" s="6" t="s">
        <v>12</v>
      </c>
      <c r="E4535" s="6">
        <v>3</v>
      </c>
      <c r="F4535" s="6">
        <v>2</v>
      </c>
      <c r="G4535" s="6" t="s">
        <v>13</v>
      </c>
      <c r="H4535" s="6" t="s">
        <v>10</v>
      </c>
      <c r="I4535" s="6">
        <f>TabJogos[[#This Row],[PontosTime1]]-TabJogos[[#This Row],[PontosTime2]]</f>
        <v>1</v>
      </c>
    </row>
    <row r="4536" spans="1:9" ht="15" customHeight="1" x14ac:dyDescent="0.25">
      <c r="A4536" s="7">
        <v>4497</v>
      </c>
      <c r="B4536" s="1">
        <v>43742</v>
      </c>
      <c r="C4536" s="6" t="s">
        <v>10</v>
      </c>
      <c r="D4536" s="6" t="s">
        <v>12</v>
      </c>
      <c r="E4536" s="6">
        <v>4</v>
      </c>
      <c r="F4536" s="6">
        <v>1</v>
      </c>
      <c r="G4536" s="6" t="s">
        <v>11</v>
      </c>
      <c r="H4536" s="6" t="s">
        <v>13</v>
      </c>
      <c r="I4536" s="6">
        <f>TabJogos[[#This Row],[PontosTime1]]-TabJogos[[#This Row],[PontosTime2]]</f>
        <v>3</v>
      </c>
    </row>
    <row r="4537" spans="1:9" ht="15" customHeight="1" x14ac:dyDescent="0.25">
      <c r="A4537" s="7">
        <v>4498</v>
      </c>
      <c r="B4537" s="1">
        <v>43742</v>
      </c>
      <c r="C4537" s="6" t="s">
        <v>27</v>
      </c>
      <c r="D4537" s="6" t="s">
        <v>12</v>
      </c>
      <c r="E4537" s="6">
        <v>3</v>
      </c>
      <c r="F4537" s="6">
        <v>1</v>
      </c>
      <c r="G4537" s="6" t="s">
        <v>17</v>
      </c>
      <c r="H4537" s="6" t="s">
        <v>10</v>
      </c>
      <c r="I4537" s="6">
        <f>TabJogos[[#This Row],[PontosTime1]]-TabJogos[[#This Row],[PontosTime2]]</f>
        <v>2</v>
      </c>
    </row>
    <row r="4538" spans="1:9" ht="15" customHeight="1" x14ac:dyDescent="0.25">
      <c r="A4538" s="7">
        <v>4499</v>
      </c>
      <c r="B4538" s="1">
        <v>43742</v>
      </c>
      <c r="C4538" s="6" t="s">
        <v>11</v>
      </c>
      <c r="D4538" s="6" t="s">
        <v>27</v>
      </c>
      <c r="E4538" s="6">
        <v>1</v>
      </c>
      <c r="F4538" s="6">
        <v>4</v>
      </c>
      <c r="G4538" s="6" t="s">
        <v>13</v>
      </c>
      <c r="H4538" s="6" t="s">
        <v>18</v>
      </c>
      <c r="I4538" s="6">
        <f>TabJogos[[#This Row],[PontosTime1]]-TabJogos[[#This Row],[PontosTime2]]</f>
        <v>-3</v>
      </c>
    </row>
    <row r="4539" spans="1:9" ht="15" customHeight="1" x14ac:dyDescent="0.25">
      <c r="A4539" s="7">
        <v>4500</v>
      </c>
      <c r="B4539" s="1">
        <v>43742</v>
      </c>
      <c r="C4539" s="6" t="s">
        <v>10</v>
      </c>
      <c r="D4539" s="6" t="s">
        <v>18</v>
      </c>
      <c r="E4539" s="6">
        <v>3</v>
      </c>
      <c r="F4539" s="6">
        <v>2</v>
      </c>
      <c r="G4539" s="6" t="s">
        <v>13</v>
      </c>
      <c r="H4539" s="6" t="s">
        <v>17</v>
      </c>
      <c r="I4539" s="6">
        <f>TabJogos[[#This Row],[PontosTime1]]-TabJogos[[#This Row],[PontosTime2]]</f>
        <v>1</v>
      </c>
    </row>
    <row r="4540" spans="1:9" ht="15" customHeight="1" x14ac:dyDescent="0.25">
      <c r="A4540" s="7">
        <v>4501</v>
      </c>
      <c r="B4540" s="1">
        <v>43742</v>
      </c>
      <c r="C4540" s="6" t="s">
        <v>27</v>
      </c>
      <c r="D4540" s="6" t="s">
        <v>10</v>
      </c>
      <c r="E4540" s="6">
        <v>3</v>
      </c>
      <c r="F4540" s="6">
        <v>2</v>
      </c>
      <c r="G4540" s="6" t="s">
        <v>18</v>
      </c>
      <c r="H4540" s="6" t="s">
        <v>11</v>
      </c>
      <c r="I4540" s="6">
        <f>TabJogos[[#This Row],[PontosTime1]]-TabJogos[[#This Row],[PontosTime2]]</f>
        <v>1</v>
      </c>
    </row>
    <row r="4541" spans="1:9" ht="15" customHeight="1" x14ac:dyDescent="0.25">
      <c r="A4541" s="7">
        <v>4502</v>
      </c>
      <c r="B4541" s="1">
        <v>43742</v>
      </c>
      <c r="C4541" s="6" t="s">
        <v>13</v>
      </c>
      <c r="D4541" s="6" t="s">
        <v>10</v>
      </c>
      <c r="E4541" s="6">
        <v>3</v>
      </c>
      <c r="F4541" s="6">
        <v>0</v>
      </c>
      <c r="G4541" s="6" t="s">
        <v>27</v>
      </c>
      <c r="H4541" s="6" t="s">
        <v>17</v>
      </c>
      <c r="I4541" s="6">
        <f>TabJogos[[#This Row],[PontosTime1]]-TabJogos[[#This Row],[PontosTime2]]</f>
        <v>3</v>
      </c>
    </row>
    <row r="4542" spans="1:9" ht="15" customHeight="1" x14ac:dyDescent="0.25">
      <c r="A4542" s="7">
        <v>4503</v>
      </c>
      <c r="B4542" s="1">
        <v>43742</v>
      </c>
      <c r="C4542" s="6" t="s">
        <v>13</v>
      </c>
      <c r="D4542" s="6" t="s">
        <v>18</v>
      </c>
      <c r="E4542" s="6">
        <v>4</v>
      </c>
      <c r="F4542" s="6">
        <v>1</v>
      </c>
      <c r="G4542" s="6" t="s">
        <v>11</v>
      </c>
      <c r="H4542" s="6" t="s">
        <v>10</v>
      </c>
      <c r="I4542" s="6">
        <f>TabJogos[[#This Row],[PontosTime1]]-TabJogos[[#This Row],[PontosTime2]]</f>
        <v>3</v>
      </c>
    </row>
    <row r="4543" spans="1:9" ht="15" customHeight="1" x14ac:dyDescent="0.25">
      <c r="A4543" s="7">
        <v>4504</v>
      </c>
      <c r="B4543" s="1">
        <v>43742</v>
      </c>
      <c r="C4543" s="6" t="s">
        <v>13</v>
      </c>
      <c r="D4543" s="6" t="s">
        <v>27</v>
      </c>
      <c r="E4543" s="6">
        <v>3</v>
      </c>
      <c r="F4543" s="6">
        <v>2</v>
      </c>
      <c r="G4543" s="6" t="s">
        <v>17</v>
      </c>
      <c r="H4543" s="6" t="s">
        <v>18</v>
      </c>
      <c r="I4543" s="6">
        <f>TabJogos[[#This Row],[PontosTime1]]-TabJogos[[#This Row],[PontosTime2]]</f>
        <v>1</v>
      </c>
    </row>
    <row r="4544" spans="1:9" ht="15" customHeight="1" x14ac:dyDescent="0.25">
      <c r="A4544" s="7">
        <v>4505</v>
      </c>
      <c r="B4544" s="1">
        <v>43742</v>
      </c>
      <c r="C4544" s="6" t="s">
        <v>41</v>
      </c>
      <c r="D4544" s="6" t="s">
        <v>18</v>
      </c>
      <c r="E4544" s="6">
        <v>3</v>
      </c>
      <c r="F4544" s="6">
        <v>2</v>
      </c>
      <c r="G4544" s="6" t="s">
        <v>13</v>
      </c>
      <c r="H4544" s="6" t="s">
        <v>11</v>
      </c>
      <c r="I4544" s="6">
        <f>TabJogos[[#This Row],[PontosTime1]]-TabJogos[[#This Row],[PontosTime2]]</f>
        <v>1</v>
      </c>
    </row>
    <row r="4545" spans="1:9" ht="15" customHeight="1" x14ac:dyDescent="0.25">
      <c r="A4545" s="7">
        <v>4506</v>
      </c>
      <c r="B4545" s="1">
        <v>43742</v>
      </c>
      <c r="C4545" s="6" t="s">
        <v>13</v>
      </c>
      <c r="D4545" s="6" t="s">
        <v>41</v>
      </c>
      <c r="E4545" s="6">
        <v>0</v>
      </c>
      <c r="F4545" s="6">
        <v>3</v>
      </c>
      <c r="G4545" s="6" t="s">
        <v>11</v>
      </c>
      <c r="H4545" s="6" t="s">
        <v>18</v>
      </c>
      <c r="I4545" s="6">
        <f>TabJogos[[#This Row],[PontosTime1]]-TabJogos[[#This Row],[PontosTime2]]</f>
        <v>-3</v>
      </c>
    </row>
    <row r="4546" spans="1:9" ht="15" customHeight="1" x14ac:dyDescent="0.25">
      <c r="A4546" s="7">
        <v>4507</v>
      </c>
      <c r="B4546" s="1">
        <v>43742</v>
      </c>
      <c r="C4546" s="6" t="s">
        <v>11</v>
      </c>
      <c r="D4546" s="6" t="s">
        <v>41</v>
      </c>
      <c r="E4546" s="6">
        <v>4</v>
      </c>
      <c r="F4546" s="6">
        <v>0</v>
      </c>
      <c r="G4546" s="6" t="s">
        <v>18</v>
      </c>
      <c r="H4546" s="6" t="s">
        <v>13</v>
      </c>
      <c r="I4546" s="6">
        <f>TabJogos[[#This Row],[PontosTime1]]-TabJogos[[#This Row],[PontosTime2]]</f>
        <v>4</v>
      </c>
    </row>
    <row r="4547" spans="1:9" ht="15" customHeight="1" x14ac:dyDescent="0.25">
      <c r="A4547" s="7">
        <v>4508</v>
      </c>
      <c r="B4547" s="1">
        <v>43745</v>
      </c>
      <c r="C4547" s="6" t="s">
        <v>9</v>
      </c>
      <c r="D4547" s="6" t="s">
        <v>11</v>
      </c>
      <c r="E4547" s="6">
        <v>3</v>
      </c>
      <c r="F4547" s="6">
        <v>1</v>
      </c>
      <c r="G4547" s="6" t="s">
        <v>12</v>
      </c>
      <c r="H4547" s="6" t="s">
        <v>10</v>
      </c>
      <c r="I4547" s="6">
        <f>TabJogos[[#This Row],[PontosTime1]]-TabJogos[[#This Row],[PontosTime2]]</f>
        <v>2</v>
      </c>
    </row>
    <row r="4548" spans="1:9" ht="15" customHeight="1" x14ac:dyDescent="0.25">
      <c r="A4548" s="7">
        <v>4509</v>
      </c>
      <c r="B4548" s="1">
        <v>43745</v>
      </c>
      <c r="C4548" s="6" t="s">
        <v>9</v>
      </c>
      <c r="D4548" s="6" t="s">
        <v>17</v>
      </c>
      <c r="E4548" s="6">
        <v>2</v>
      </c>
      <c r="F4548" s="6">
        <v>3</v>
      </c>
      <c r="G4548" s="6" t="s">
        <v>13</v>
      </c>
      <c r="H4548" s="6" t="s">
        <v>11</v>
      </c>
      <c r="I4548" s="6">
        <f>TabJogos[[#This Row],[PontosTime1]]-TabJogos[[#This Row],[PontosTime2]]</f>
        <v>-1</v>
      </c>
    </row>
    <row r="4549" spans="1:9" ht="15" customHeight="1" x14ac:dyDescent="0.25">
      <c r="A4549" s="7">
        <v>4510</v>
      </c>
      <c r="B4549" s="1">
        <v>43745</v>
      </c>
      <c r="C4549" s="6" t="s">
        <v>11</v>
      </c>
      <c r="D4549" s="6" t="s">
        <v>10</v>
      </c>
      <c r="E4549" s="6">
        <v>3</v>
      </c>
      <c r="F4549" s="6">
        <v>2</v>
      </c>
      <c r="G4549" s="6" t="s">
        <v>18</v>
      </c>
      <c r="H4549" s="6" t="s">
        <v>13</v>
      </c>
      <c r="I4549" s="6">
        <f>TabJogos[[#This Row],[PontosTime1]]-TabJogos[[#This Row],[PontosTime2]]</f>
        <v>1</v>
      </c>
    </row>
    <row r="4550" spans="1:9" ht="15" customHeight="1" x14ac:dyDescent="0.25">
      <c r="A4550" s="7">
        <v>4511</v>
      </c>
      <c r="B4550" s="1">
        <v>43745</v>
      </c>
      <c r="C4550" s="6" t="s">
        <v>9</v>
      </c>
      <c r="D4550" s="6" t="s">
        <v>10</v>
      </c>
      <c r="E4550" s="6">
        <v>3</v>
      </c>
      <c r="F4550" s="6">
        <v>1</v>
      </c>
      <c r="G4550" s="6" t="s">
        <v>11</v>
      </c>
      <c r="H4550" s="6" t="s">
        <v>17</v>
      </c>
      <c r="I4550" s="6">
        <f>TabJogos[[#This Row],[PontosTime1]]-TabJogos[[#This Row],[PontosTime2]]</f>
        <v>2</v>
      </c>
    </row>
    <row r="4551" spans="1:9" ht="15" customHeight="1" x14ac:dyDescent="0.25">
      <c r="A4551" s="7">
        <v>4512</v>
      </c>
      <c r="B4551" s="1">
        <v>43745</v>
      </c>
      <c r="C4551" s="6" t="s">
        <v>13</v>
      </c>
      <c r="D4551" s="6" t="s">
        <v>10</v>
      </c>
      <c r="E4551" s="6">
        <v>3</v>
      </c>
      <c r="F4551" s="6">
        <v>0</v>
      </c>
      <c r="G4551" s="6" t="s">
        <v>18</v>
      </c>
      <c r="H4551" s="6" t="s">
        <v>9</v>
      </c>
      <c r="I4551" s="6">
        <f>TabJogos[[#This Row],[PontosTime1]]-TabJogos[[#This Row],[PontosTime2]]</f>
        <v>3</v>
      </c>
    </row>
    <row r="4552" spans="1:9" ht="15" customHeight="1" x14ac:dyDescent="0.25">
      <c r="A4552" s="7">
        <v>4513</v>
      </c>
      <c r="B4552" s="1">
        <v>43745</v>
      </c>
      <c r="C4552" s="6" t="s">
        <v>11</v>
      </c>
      <c r="D4552" s="6" t="s">
        <v>13</v>
      </c>
      <c r="E4552" s="6">
        <v>3</v>
      </c>
      <c r="F4552" s="6">
        <v>1</v>
      </c>
      <c r="G4552" s="6" t="s">
        <v>17</v>
      </c>
      <c r="H4552" s="6" t="s">
        <v>10</v>
      </c>
      <c r="I4552" s="6">
        <f>TabJogos[[#This Row],[PontosTime1]]-TabJogos[[#This Row],[PontosTime2]]</f>
        <v>2</v>
      </c>
    </row>
    <row r="4553" spans="1:9" ht="15" customHeight="1" x14ac:dyDescent="0.25">
      <c r="A4553" s="7">
        <v>4514</v>
      </c>
      <c r="B4553" s="1">
        <v>43745</v>
      </c>
      <c r="C4553" s="6" t="s">
        <v>11</v>
      </c>
      <c r="D4553" s="6" t="s">
        <v>18</v>
      </c>
      <c r="E4553" s="6">
        <v>1</v>
      </c>
      <c r="F4553" s="6">
        <v>3</v>
      </c>
      <c r="G4553" s="6" t="s">
        <v>9</v>
      </c>
      <c r="H4553" s="6" t="s">
        <v>13</v>
      </c>
      <c r="I4553" s="6">
        <f>TabJogos[[#This Row],[PontosTime1]]-TabJogos[[#This Row],[PontosTime2]]</f>
        <v>-2</v>
      </c>
    </row>
    <row r="4554" spans="1:9" ht="15" customHeight="1" x14ac:dyDescent="0.25">
      <c r="A4554" s="7">
        <v>4515</v>
      </c>
      <c r="B4554" s="1">
        <v>43745</v>
      </c>
      <c r="C4554" s="6" t="s">
        <v>9</v>
      </c>
      <c r="D4554" s="6" t="s">
        <v>17</v>
      </c>
      <c r="E4554" s="6">
        <v>1</v>
      </c>
      <c r="F4554" s="6">
        <v>3</v>
      </c>
      <c r="G4554" s="6" t="s">
        <v>18</v>
      </c>
      <c r="H4554" s="6" t="s">
        <v>13</v>
      </c>
      <c r="I4554" s="6">
        <f>TabJogos[[#This Row],[PontosTime1]]-TabJogos[[#This Row],[PontosTime2]]</f>
        <v>-2</v>
      </c>
    </row>
    <row r="4555" spans="1:9" ht="15" customHeight="1" x14ac:dyDescent="0.25">
      <c r="A4555" s="7">
        <v>4516</v>
      </c>
      <c r="B4555" s="1">
        <v>43745</v>
      </c>
      <c r="C4555" s="6" t="s">
        <v>9</v>
      </c>
      <c r="D4555" s="6" t="s">
        <v>18</v>
      </c>
      <c r="E4555" s="6">
        <v>3</v>
      </c>
      <c r="F4555" s="6">
        <v>1</v>
      </c>
      <c r="G4555" s="6" t="s">
        <v>11</v>
      </c>
      <c r="H4555" s="6" t="s">
        <v>13</v>
      </c>
      <c r="I4555" s="6">
        <f>TabJogos[[#This Row],[PontosTime1]]-TabJogos[[#This Row],[PontosTime2]]</f>
        <v>2</v>
      </c>
    </row>
    <row r="4556" spans="1:9" ht="15" customHeight="1" x14ac:dyDescent="0.25">
      <c r="A4556" s="7">
        <v>4517</v>
      </c>
      <c r="B4556" s="1">
        <v>43745</v>
      </c>
      <c r="C4556" s="6" t="s">
        <v>11</v>
      </c>
      <c r="D4556" s="6" t="s">
        <v>9</v>
      </c>
      <c r="E4556" s="6">
        <v>5</v>
      </c>
      <c r="F4556" s="6">
        <v>1</v>
      </c>
      <c r="G4556" s="6" t="s">
        <v>17</v>
      </c>
      <c r="H4556" s="6" t="s">
        <v>18</v>
      </c>
      <c r="I4556" s="6">
        <f>TabJogos[[#This Row],[PontosTime1]]-TabJogos[[#This Row],[PontosTime2]]</f>
        <v>4</v>
      </c>
    </row>
    <row r="4557" spans="1:9" ht="15" customHeight="1" x14ac:dyDescent="0.25">
      <c r="A4557" s="7">
        <v>4518</v>
      </c>
      <c r="B4557" s="1">
        <v>43745</v>
      </c>
      <c r="C4557" s="6" t="s">
        <v>9</v>
      </c>
      <c r="D4557" s="6" t="s">
        <v>13</v>
      </c>
      <c r="E4557" s="6">
        <v>3</v>
      </c>
      <c r="F4557" s="6">
        <v>2</v>
      </c>
      <c r="G4557" s="6" t="s">
        <v>11</v>
      </c>
      <c r="H4557" s="6" t="s">
        <v>32</v>
      </c>
      <c r="I4557" s="6">
        <f>TabJogos[[#This Row],[PontosTime1]]-TabJogos[[#This Row],[PontosTime2]]</f>
        <v>1</v>
      </c>
    </row>
    <row r="4558" spans="1:9" ht="15" customHeight="1" x14ac:dyDescent="0.25">
      <c r="A4558" s="7">
        <v>4519</v>
      </c>
      <c r="B4558" s="1">
        <v>43745</v>
      </c>
      <c r="C4558" s="6" t="s">
        <v>11</v>
      </c>
      <c r="D4558" s="6" t="s">
        <v>13</v>
      </c>
      <c r="E4558" s="6">
        <v>3</v>
      </c>
      <c r="F4558" s="6">
        <v>1</v>
      </c>
      <c r="G4558" s="6" t="s">
        <v>9</v>
      </c>
      <c r="H4558" s="6" t="s">
        <v>18</v>
      </c>
      <c r="I4558" s="6">
        <f>TabJogos[[#This Row],[PontosTime1]]-TabJogos[[#This Row],[PontosTime2]]</f>
        <v>2</v>
      </c>
    </row>
    <row r="4559" spans="1:9" ht="15" customHeight="1" x14ac:dyDescent="0.25">
      <c r="A4559" s="7">
        <v>4520</v>
      </c>
      <c r="B4559" s="1">
        <v>43745</v>
      </c>
      <c r="C4559" s="6" t="s">
        <v>11</v>
      </c>
      <c r="D4559" s="6" t="s">
        <v>9</v>
      </c>
      <c r="E4559" s="6">
        <v>1</v>
      </c>
      <c r="F4559" s="6">
        <v>3</v>
      </c>
      <c r="G4559" s="6" t="s">
        <v>17</v>
      </c>
      <c r="H4559" s="6" t="s">
        <v>13</v>
      </c>
      <c r="I4559" s="6">
        <f>TabJogos[[#This Row],[PontosTime1]]-TabJogos[[#This Row],[PontosTime2]]</f>
        <v>-2</v>
      </c>
    </row>
    <row r="4560" spans="1:9" ht="15" customHeight="1" x14ac:dyDescent="0.25">
      <c r="A4560" s="7">
        <v>4521</v>
      </c>
      <c r="B4560" s="1">
        <v>43745</v>
      </c>
      <c r="C4560" s="6" t="s">
        <v>11</v>
      </c>
      <c r="D4560" s="6" t="s">
        <v>17</v>
      </c>
      <c r="E4560" s="6">
        <v>1</v>
      </c>
      <c r="F4560" s="6">
        <v>3</v>
      </c>
      <c r="G4560" s="6" t="s">
        <v>13</v>
      </c>
      <c r="H4560" s="6" t="s">
        <v>18</v>
      </c>
      <c r="I4560" s="6">
        <f>TabJogos[[#This Row],[PontosTime1]]-TabJogos[[#This Row],[PontosTime2]]</f>
        <v>-2</v>
      </c>
    </row>
    <row r="4561" spans="1:9" ht="15" customHeight="1" x14ac:dyDescent="0.25">
      <c r="A4561" s="7">
        <v>4522</v>
      </c>
      <c r="B4561" s="1">
        <v>43745</v>
      </c>
      <c r="C4561" s="6" t="s">
        <v>11</v>
      </c>
      <c r="D4561" s="6" t="s">
        <v>13</v>
      </c>
      <c r="E4561" s="6">
        <v>3</v>
      </c>
      <c r="F4561" s="6">
        <v>1</v>
      </c>
      <c r="G4561" s="6" t="s">
        <v>17</v>
      </c>
      <c r="H4561" s="6" t="s">
        <v>18</v>
      </c>
      <c r="I4561" s="6">
        <f>TabJogos[[#This Row],[PontosTime1]]-TabJogos[[#This Row],[PontosTime2]]</f>
        <v>2</v>
      </c>
    </row>
    <row r="4562" spans="1:9" ht="15" customHeight="1" x14ac:dyDescent="0.25">
      <c r="A4562" s="7">
        <v>4523</v>
      </c>
      <c r="B4562" s="1">
        <v>43745</v>
      </c>
      <c r="C4562" s="6" t="s">
        <v>11</v>
      </c>
      <c r="D4562" s="6" t="s">
        <v>18</v>
      </c>
      <c r="E4562" s="6">
        <v>3</v>
      </c>
      <c r="F4562" s="6">
        <v>2</v>
      </c>
      <c r="G4562" s="6" t="s">
        <v>17</v>
      </c>
      <c r="H4562" s="6" t="s">
        <v>13</v>
      </c>
      <c r="I4562" s="6">
        <f>TabJogos[[#This Row],[PontosTime1]]-TabJogos[[#This Row],[PontosTime2]]</f>
        <v>1</v>
      </c>
    </row>
    <row r="4563" spans="1:9" ht="15" customHeight="1" x14ac:dyDescent="0.25">
      <c r="A4563" s="7">
        <v>4524</v>
      </c>
      <c r="B4563" s="1">
        <v>43746</v>
      </c>
      <c r="C4563" s="6" t="s">
        <v>13</v>
      </c>
      <c r="D4563" s="6" t="s">
        <v>32</v>
      </c>
      <c r="E4563" s="6">
        <v>3</v>
      </c>
      <c r="F4563" s="6">
        <v>1</v>
      </c>
      <c r="G4563" s="6" t="s">
        <v>11</v>
      </c>
      <c r="H4563" s="6" t="s">
        <v>41</v>
      </c>
      <c r="I4563" s="6">
        <f>TabJogos[[#This Row],[PontosTime1]]-TabJogos[[#This Row],[PontosTime2]]</f>
        <v>2</v>
      </c>
    </row>
    <row r="4564" spans="1:9" ht="15" customHeight="1" x14ac:dyDescent="0.25">
      <c r="A4564" s="7">
        <v>4525</v>
      </c>
      <c r="B4564" s="1">
        <v>43746</v>
      </c>
      <c r="C4564" s="6" t="s">
        <v>17</v>
      </c>
      <c r="D4564" s="6" t="s">
        <v>32</v>
      </c>
      <c r="E4564" s="6">
        <v>2</v>
      </c>
      <c r="F4564" s="6">
        <v>3</v>
      </c>
      <c r="G4564" s="6" t="s">
        <v>13</v>
      </c>
      <c r="H4564" s="6" t="s">
        <v>41</v>
      </c>
      <c r="I4564" s="6">
        <f>TabJogos[[#This Row],[PontosTime1]]-TabJogos[[#This Row],[PontosTime2]]</f>
        <v>-1</v>
      </c>
    </row>
    <row r="4565" spans="1:9" ht="15" customHeight="1" x14ac:dyDescent="0.25">
      <c r="A4565" s="7">
        <v>4526</v>
      </c>
      <c r="B4565" s="1">
        <v>43746</v>
      </c>
      <c r="C4565" s="6" t="s">
        <v>17</v>
      </c>
      <c r="D4565" s="6" t="s">
        <v>41</v>
      </c>
      <c r="E4565" s="6">
        <v>0</v>
      </c>
      <c r="F4565" s="6">
        <v>3</v>
      </c>
      <c r="G4565" s="6" t="s">
        <v>13</v>
      </c>
      <c r="H4565" s="6" t="s">
        <v>11</v>
      </c>
      <c r="I4565" s="6">
        <f>TabJogos[[#This Row],[PontosTime1]]-TabJogos[[#This Row],[PontosTime2]]</f>
        <v>-3</v>
      </c>
    </row>
    <row r="4566" spans="1:9" ht="15" customHeight="1" x14ac:dyDescent="0.25">
      <c r="A4566" s="7">
        <v>4527</v>
      </c>
      <c r="B4566" s="1">
        <v>43746</v>
      </c>
      <c r="C4566" s="6" t="s">
        <v>27</v>
      </c>
      <c r="D4566" s="6" t="s">
        <v>32</v>
      </c>
      <c r="E4566" s="6">
        <v>3</v>
      </c>
      <c r="F4566" s="6">
        <v>0</v>
      </c>
      <c r="G4566" s="6" t="s">
        <v>41</v>
      </c>
      <c r="H4566" s="6" t="s">
        <v>13</v>
      </c>
      <c r="I4566" s="6">
        <f>TabJogos[[#This Row],[PontosTime1]]-TabJogos[[#This Row],[PontosTime2]]</f>
        <v>3</v>
      </c>
    </row>
    <row r="4567" spans="1:9" ht="15" customHeight="1" x14ac:dyDescent="0.25">
      <c r="A4567" s="7">
        <v>4528</v>
      </c>
      <c r="B4567" s="1">
        <v>43746</v>
      </c>
      <c r="C4567" s="6" t="s">
        <v>11</v>
      </c>
      <c r="D4567" s="6" t="s">
        <v>41</v>
      </c>
      <c r="E4567" s="6">
        <v>4</v>
      </c>
      <c r="F4567" s="6">
        <v>0</v>
      </c>
      <c r="G4567" s="6" t="s">
        <v>13</v>
      </c>
      <c r="H4567" s="6" t="s">
        <v>17</v>
      </c>
      <c r="I4567" s="6">
        <f>TabJogos[[#This Row],[PontosTime1]]-TabJogos[[#This Row],[PontosTime2]]</f>
        <v>4</v>
      </c>
    </row>
    <row r="4568" spans="1:9" ht="15" customHeight="1" x14ac:dyDescent="0.25">
      <c r="A4568" s="7">
        <v>4529</v>
      </c>
      <c r="B4568" s="1">
        <v>43746</v>
      </c>
      <c r="C4568" s="6" t="s">
        <v>11</v>
      </c>
      <c r="D4568" s="6" t="s">
        <v>17</v>
      </c>
      <c r="E4568" s="6">
        <v>2</v>
      </c>
      <c r="F4568" s="6">
        <v>3</v>
      </c>
      <c r="G4568" s="6" t="s">
        <v>13</v>
      </c>
      <c r="H4568" s="6" t="s">
        <v>41</v>
      </c>
      <c r="I4568" s="6">
        <f>TabJogos[[#This Row],[PontosTime1]]-TabJogos[[#This Row],[PontosTime2]]</f>
        <v>-1</v>
      </c>
    </row>
    <row r="4569" spans="1:9" ht="15" customHeight="1" x14ac:dyDescent="0.25">
      <c r="A4569" s="7">
        <v>4530</v>
      </c>
      <c r="B4569" s="1">
        <v>43747</v>
      </c>
      <c r="C4569" s="6" t="s">
        <v>9</v>
      </c>
      <c r="D4569" s="6" t="s">
        <v>13</v>
      </c>
      <c r="E4569" s="6">
        <v>4</v>
      </c>
      <c r="F4569" s="6">
        <v>0</v>
      </c>
      <c r="G4569" s="6" t="s">
        <v>10</v>
      </c>
      <c r="H4569" s="6" t="s">
        <v>11</v>
      </c>
      <c r="I4569" s="6">
        <f>TabJogos[[#This Row],[PontosTime1]]-TabJogos[[#This Row],[PontosTime2]]</f>
        <v>4</v>
      </c>
    </row>
    <row r="4570" spans="1:9" ht="15" customHeight="1" x14ac:dyDescent="0.25">
      <c r="A4570" s="7">
        <v>4531</v>
      </c>
      <c r="B4570" s="1">
        <v>43747</v>
      </c>
      <c r="C4570" s="6" t="s">
        <v>9</v>
      </c>
      <c r="D4570" s="6" t="s">
        <v>10</v>
      </c>
      <c r="E4570" s="6">
        <v>3</v>
      </c>
      <c r="F4570" s="6">
        <v>1</v>
      </c>
      <c r="G4570" s="6" t="s">
        <v>13</v>
      </c>
      <c r="H4570" s="6" t="s">
        <v>11</v>
      </c>
      <c r="I4570" s="6">
        <f>TabJogos[[#This Row],[PontosTime1]]-TabJogos[[#This Row],[PontosTime2]]</f>
        <v>2</v>
      </c>
    </row>
    <row r="4571" spans="1:9" ht="15" customHeight="1" x14ac:dyDescent="0.25">
      <c r="A4571" s="7">
        <v>4532</v>
      </c>
      <c r="B4571" s="1">
        <v>43747</v>
      </c>
      <c r="C4571" s="6" t="s">
        <v>9</v>
      </c>
      <c r="D4571" s="6" t="s">
        <v>18</v>
      </c>
      <c r="E4571" s="6">
        <v>3</v>
      </c>
      <c r="F4571" s="6">
        <v>2</v>
      </c>
      <c r="G4571" s="6" t="s">
        <v>10</v>
      </c>
      <c r="H4571" s="6" t="s">
        <v>13</v>
      </c>
      <c r="I4571" s="6">
        <f>TabJogos[[#This Row],[PontosTime1]]-TabJogos[[#This Row],[PontosTime2]]</f>
        <v>1</v>
      </c>
    </row>
    <row r="4572" spans="1:9" ht="15" customHeight="1" x14ac:dyDescent="0.25">
      <c r="A4572" s="7">
        <v>4533</v>
      </c>
      <c r="B4572" s="1">
        <v>43747</v>
      </c>
      <c r="C4572" s="6" t="s">
        <v>18</v>
      </c>
      <c r="D4572" s="6" t="s">
        <v>10</v>
      </c>
      <c r="E4572" s="6">
        <v>4</v>
      </c>
      <c r="F4572" s="6">
        <v>1</v>
      </c>
      <c r="G4572" s="6" t="s">
        <v>9</v>
      </c>
      <c r="H4572" s="6" t="s">
        <v>11</v>
      </c>
      <c r="I4572" s="6">
        <f>TabJogos[[#This Row],[PontosTime1]]-TabJogos[[#This Row],[PontosTime2]]</f>
        <v>3</v>
      </c>
    </row>
    <row r="4573" spans="1:9" ht="15" customHeight="1" x14ac:dyDescent="0.25">
      <c r="A4573" s="7">
        <v>4534</v>
      </c>
      <c r="B4573" s="1">
        <v>43747</v>
      </c>
      <c r="C4573" s="6" t="s">
        <v>10</v>
      </c>
      <c r="D4573" s="6" t="s">
        <v>11</v>
      </c>
      <c r="E4573" s="6">
        <v>3</v>
      </c>
      <c r="F4573" s="6">
        <v>1</v>
      </c>
      <c r="G4573" s="6" t="s">
        <v>18</v>
      </c>
      <c r="H4573" s="6" t="s">
        <v>13</v>
      </c>
      <c r="I4573" s="6">
        <f>TabJogos[[#This Row],[PontosTime1]]-TabJogos[[#This Row],[PontosTime2]]</f>
        <v>2</v>
      </c>
    </row>
    <row r="4574" spans="1:9" ht="15" customHeight="1" x14ac:dyDescent="0.25">
      <c r="A4574" s="7">
        <v>4535</v>
      </c>
      <c r="B4574" s="1">
        <v>43747</v>
      </c>
      <c r="C4574" s="6" t="s">
        <v>9</v>
      </c>
      <c r="D4574" s="6" t="s">
        <v>10</v>
      </c>
      <c r="E4574" s="6">
        <v>0</v>
      </c>
      <c r="F4574" s="6">
        <v>3</v>
      </c>
      <c r="G4574" s="6" t="s">
        <v>13</v>
      </c>
      <c r="H4574" s="6" t="s">
        <v>11</v>
      </c>
      <c r="I4574" s="6">
        <f>TabJogos[[#This Row],[PontosTime1]]-TabJogos[[#This Row],[PontosTime2]]</f>
        <v>-3</v>
      </c>
    </row>
    <row r="4575" spans="1:9" ht="15" customHeight="1" x14ac:dyDescent="0.25">
      <c r="A4575" s="7">
        <v>4536</v>
      </c>
      <c r="B4575" s="1">
        <v>43747</v>
      </c>
      <c r="C4575" s="6" t="s">
        <v>11</v>
      </c>
      <c r="D4575" s="6" t="s">
        <v>18</v>
      </c>
      <c r="E4575" s="6">
        <v>4</v>
      </c>
      <c r="F4575" s="6">
        <v>0</v>
      </c>
      <c r="G4575" s="6" t="s">
        <v>10</v>
      </c>
      <c r="H4575" s="6" t="s">
        <v>13</v>
      </c>
      <c r="I4575" s="6">
        <f>TabJogos[[#This Row],[PontosTime1]]-TabJogos[[#This Row],[PontosTime2]]</f>
        <v>4</v>
      </c>
    </row>
    <row r="4576" spans="1:9" ht="15" customHeight="1" x14ac:dyDescent="0.25">
      <c r="A4576" s="7">
        <v>4537</v>
      </c>
      <c r="B4576" s="1">
        <v>43747</v>
      </c>
      <c r="C4576" s="6" t="s">
        <v>11</v>
      </c>
      <c r="D4576" s="6" t="s">
        <v>9</v>
      </c>
      <c r="E4576" s="6">
        <v>2</v>
      </c>
      <c r="F4576" s="6">
        <v>3</v>
      </c>
      <c r="G4576" s="6" t="s">
        <v>13</v>
      </c>
      <c r="H4576" s="6" t="s">
        <v>18</v>
      </c>
      <c r="I4576" s="6">
        <f>TabJogos[[#This Row],[PontosTime1]]-TabJogos[[#This Row],[PontosTime2]]</f>
        <v>-1</v>
      </c>
    </row>
    <row r="4577" spans="1:9" ht="15" customHeight="1" x14ac:dyDescent="0.25">
      <c r="A4577" s="7">
        <v>4538</v>
      </c>
      <c r="B4577" s="1">
        <v>43747</v>
      </c>
      <c r="C4577" s="6" t="s">
        <v>18</v>
      </c>
      <c r="D4577" s="6" t="s">
        <v>10</v>
      </c>
      <c r="E4577" s="6">
        <v>3</v>
      </c>
      <c r="F4577" s="6">
        <v>1</v>
      </c>
      <c r="G4577" s="6" t="s">
        <v>13</v>
      </c>
      <c r="H4577" s="6" t="s">
        <v>11</v>
      </c>
      <c r="I4577" s="6">
        <f>TabJogos[[#This Row],[PontosTime1]]-TabJogos[[#This Row],[PontosTime2]]</f>
        <v>2</v>
      </c>
    </row>
    <row r="4578" spans="1:9" ht="15" customHeight="1" x14ac:dyDescent="0.25">
      <c r="A4578" s="7">
        <v>4539</v>
      </c>
      <c r="B4578" s="1">
        <v>43747</v>
      </c>
      <c r="C4578" s="6" t="s">
        <v>18</v>
      </c>
      <c r="D4578" s="6" t="s">
        <v>9</v>
      </c>
      <c r="E4578" s="6">
        <v>0</v>
      </c>
      <c r="F4578" s="6">
        <v>3</v>
      </c>
      <c r="G4578" s="6" t="s">
        <v>10</v>
      </c>
      <c r="H4578" s="6" t="s">
        <v>11</v>
      </c>
      <c r="I4578" s="6">
        <f>TabJogos[[#This Row],[PontosTime1]]-TabJogos[[#This Row],[PontosTime2]]</f>
        <v>-3</v>
      </c>
    </row>
    <row r="4579" spans="1:9" ht="15" customHeight="1" x14ac:dyDescent="0.25">
      <c r="A4579" s="7">
        <v>4540</v>
      </c>
      <c r="B4579" s="1">
        <v>43747</v>
      </c>
      <c r="C4579" s="6" t="s">
        <v>11</v>
      </c>
      <c r="D4579" s="6" t="s">
        <v>9</v>
      </c>
      <c r="E4579" s="6">
        <v>4</v>
      </c>
      <c r="F4579" s="6">
        <v>1</v>
      </c>
      <c r="G4579" s="6" t="s">
        <v>13</v>
      </c>
      <c r="H4579" s="6" t="s">
        <v>10</v>
      </c>
      <c r="I4579" s="6">
        <f>TabJogos[[#This Row],[PontosTime1]]-TabJogos[[#This Row],[PontosTime2]]</f>
        <v>3</v>
      </c>
    </row>
    <row r="4580" spans="1:9" ht="15" customHeight="1" x14ac:dyDescent="0.25">
      <c r="A4580" s="7">
        <v>4541</v>
      </c>
      <c r="B4580" s="1">
        <v>43747</v>
      </c>
      <c r="C4580" s="6" t="s">
        <v>11</v>
      </c>
      <c r="D4580" s="6" t="s">
        <v>18</v>
      </c>
      <c r="E4580" s="6">
        <v>4</v>
      </c>
      <c r="F4580" s="6">
        <v>2</v>
      </c>
      <c r="G4580" s="6" t="s">
        <v>13</v>
      </c>
      <c r="H4580" s="6" t="s">
        <v>9</v>
      </c>
      <c r="I4580" s="6">
        <f>TabJogos[[#This Row],[PontosTime1]]-TabJogos[[#This Row],[PontosTime2]]</f>
        <v>2</v>
      </c>
    </row>
    <row r="4581" spans="1:9" ht="15" customHeight="1" x14ac:dyDescent="0.25">
      <c r="A4581" s="7">
        <v>4542</v>
      </c>
      <c r="B4581" s="1">
        <v>43747</v>
      </c>
      <c r="C4581" s="6" t="s">
        <v>11</v>
      </c>
      <c r="D4581" s="6" t="s">
        <v>13</v>
      </c>
      <c r="E4581" s="6">
        <v>2</v>
      </c>
      <c r="F4581" s="6">
        <v>3</v>
      </c>
      <c r="G4581" s="6" t="s">
        <v>41</v>
      </c>
      <c r="H4581" s="6" t="s">
        <v>18</v>
      </c>
      <c r="I4581" s="6">
        <f>TabJogos[[#This Row],[PontosTime1]]-TabJogos[[#This Row],[PontosTime2]]</f>
        <v>-1</v>
      </c>
    </row>
    <row r="4582" spans="1:9" ht="15" customHeight="1" x14ac:dyDescent="0.25">
      <c r="A4582" s="7">
        <v>4543</v>
      </c>
      <c r="B4582" s="1">
        <v>43749</v>
      </c>
      <c r="C4582" s="6" t="s">
        <v>13</v>
      </c>
      <c r="D4582" s="6" t="s">
        <v>10</v>
      </c>
      <c r="E4582" s="6">
        <v>1</v>
      </c>
      <c r="F4582" s="6">
        <v>3</v>
      </c>
      <c r="G4582" s="6" t="s">
        <v>11</v>
      </c>
      <c r="H4582" s="6" t="s">
        <v>9</v>
      </c>
      <c r="I4582" s="6">
        <f>TabJogos[[#This Row],[PontosTime1]]-TabJogos[[#This Row],[PontosTime2]]</f>
        <v>-2</v>
      </c>
    </row>
    <row r="4583" spans="1:9" ht="15" customHeight="1" x14ac:dyDescent="0.25">
      <c r="A4583" s="7">
        <v>4544</v>
      </c>
      <c r="B4583" s="1">
        <v>43749</v>
      </c>
      <c r="C4583" s="6" t="s">
        <v>11</v>
      </c>
      <c r="D4583" s="6" t="s">
        <v>13</v>
      </c>
      <c r="E4583" s="6">
        <v>6</v>
      </c>
      <c r="F4583" s="6">
        <v>0</v>
      </c>
      <c r="G4583" s="6" t="s">
        <v>9</v>
      </c>
      <c r="H4583" s="6" t="s">
        <v>17</v>
      </c>
      <c r="I4583" s="6">
        <f>TabJogos[[#This Row],[PontosTime1]]-TabJogos[[#This Row],[PontosTime2]]</f>
        <v>6</v>
      </c>
    </row>
    <row r="4584" spans="1:9" ht="15" customHeight="1" x14ac:dyDescent="0.25">
      <c r="A4584" s="7">
        <v>4545</v>
      </c>
      <c r="B4584" s="1">
        <v>43749</v>
      </c>
      <c r="C4584" s="6" t="s">
        <v>9</v>
      </c>
      <c r="D4584" s="6" t="s">
        <v>13</v>
      </c>
      <c r="E4584" s="6">
        <v>3</v>
      </c>
      <c r="F4584" s="6">
        <v>2</v>
      </c>
      <c r="G4584" s="6" t="s">
        <v>11</v>
      </c>
      <c r="H4584" s="6" t="s">
        <v>10</v>
      </c>
      <c r="I4584" s="6">
        <f>TabJogos[[#This Row],[PontosTime1]]-TabJogos[[#This Row],[PontosTime2]]</f>
        <v>1</v>
      </c>
    </row>
    <row r="4585" spans="1:9" ht="15" customHeight="1" x14ac:dyDescent="0.25">
      <c r="A4585" s="7">
        <v>4546</v>
      </c>
      <c r="B4585" s="1">
        <v>43749</v>
      </c>
      <c r="C4585" s="6" t="s">
        <v>9</v>
      </c>
      <c r="D4585" s="6" t="s">
        <v>10</v>
      </c>
      <c r="E4585" s="6">
        <v>3</v>
      </c>
      <c r="F4585" s="6">
        <v>0</v>
      </c>
      <c r="G4585" s="6" t="s">
        <v>17</v>
      </c>
      <c r="H4585" s="6" t="s">
        <v>13</v>
      </c>
      <c r="I4585" s="6">
        <f>TabJogos[[#This Row],[PontosTime1]]-TabJogos[[#This Row],[PontosTime2]]</f>
        <v>3</v>
      </c>
    </row>
    <row r="4586" spans="1:9" ht="15" customHeight="1" x14ac:dyDescent="0.25">
      <c r="A4586" s="7">
        <v>4547</v>
      </c>
      <c r="B4586" s="1">
        <v>43749</v>
      </c>
      <c r="C4586" s="6" t="s">
        <v>11</v>
      </c>
      <c r="D4586" s="6" t="s">
        <v>9</v>
      </c>
      <c r="E4586" s="6">
        <v>3</v>
      </c>
      <c r="F4586" s="6">
        <v>0</v>
      </c>
      <c r="G4586" s="6" t="s">
        <v>10</v>
      </c>
      <c r="H4586" s="6" t="s">
        <v>13</v>
      </c>
      <c r="I4586" s="6">
        <f>TabJogos[[#This Row],[PontosTime1]]-TabJogos[[#This Row],[PontosTime2]]</f>
        <v>3</v>
      </c>
    </row>
    <row r="4587" spans="1:9" ht="15" customHeight="1" x14ac:dyDescent="0.25">
      <c r="A4587" s="7">
        <v>4548</v>
      </c>
      <c r="B4587" s="1">
        <v>43749</v>
      </c>
      <c r="C4587" s="6" t="s">
        <v>11</v>
      </c>
      <c r="D4587" s="6" t="s">
        <v>17</v>
      </c>
      <c r="E4587" s="6">
        <v>3</v>
      </c>
      <c r="F4587" s="6">
        <v>2</v>
      </c>
      <c r="G4587" s="6" t="s">
        <v>13</v>
      </c>
      <c r="H4587" s="6" t="s">
        <v>9</v>
      </c>
      <c r="I4587" s="6">
        <f>TabJogos[[#This Row],[PontosTime1]]-TabJogos[[#This Row],[PontosTime2]]</f>
        <v>1</v>
      </c>
    </row>
    <row r="4588" spans="1:9" ht="15" customHeight="1" x14ac:dyDescent="0.25">
      <c r="A4588" s="7">
        <v>4549</v>
      </c>
      <c r="B4588" s="1">
        <v>43749</v>
      </c>
      <c r="C4588" s="6" t="s">
        <v>11</v>
      </c>
      <c r="D4588" s="6" t="s">
        <v>18</v>
      </c>
      <c r="E4588" s="6">
        <v>3</v>
      </c>
      <c r="F4588" s="6">
        <v>0</v>
      </c>
      <c r="G4588" s="6" t="s">
        <v>10</v>
      </c>
      <c r="H4588" s="6" t="s">
        <v>17</v>
      </c>
      <c r="I4588" s="6">
        <f>TabJogos[[#This Row],[PontosTime1]]-TabJogos[[#This Row],[PontosTime2]]</f>
        <v>3</v>
      </c>
    </row>
    <row r="4589" spans="1:9" ht="15" customHeight="1" x14ac:dyDescent="0.25">
      <c r="A4589" s="7">
        <v>4550</v>
      </c>
      <c r="B4589" s="1">
        <v>43749</v>
      </c>
      <c r="C4589" s="6" t="s">
        <v>11</v>
      </c>
      <c r="D4589" s="6" t="s">
        <v>13</v>
      </c>
      <c r="E4589" s="6">
        <v>3</v>
      </c>
      <c r="F4589" s="6">
        <v>2</v>
      </c>
      <c r="G4589" s="6" t="s">
        <v>18</v>
      </c>
      <c r="H4589" s="6" t="s">
        <v>17</v>
      </c>
      <c r="I4589" s="6">
        <f>TabJogos[[#This Row],[PontosTime1]]-TabJogos[[#This Row],[PontosTime2]]</f>
        <v>1</v>
      </c>
    </row>
    <row r="4590" spans="1:9" ht="15" customHeight="1" x14ac:dyDescent="0.25">
      <c r="A4590" s="7">
        <v>4551</v>
      </c>
      <c r="B4590" s="1">
        <v>43749</v>
      </c>
      <c r="C4590" s="6" t="s">
        <v>11</v>
      </c>
      <c r="D4590" s="6" t="s">
        <v>17</v>
      </c>
      <c r="E4590" s="6">
        <v>3</v>
      </c>
      <c r="F4590" s="6">
        <v>2</v>
      </c>
      <c r="G4590" s="6" t="s">
        <v>13</v>
      </c>
      <c r="H4590" s="6" t="s">
        <v>18</v>
      </c>
      <c r="I4590" s="6">
        <f>TabJogos[[#This Row],[PontosTime1]]-TabJogos[[#This Row],[PontosTime2]]</f>
        <v>1</v>
      </c>
    </row>
    <row r="4591" spans="1:9" ht="15" customHeight="1" x14ac:dyDescent="0.25">
      <c r="A4591" s="7">
        <v>4552</v>
      </c>
      <c r="B4591" s="1">
        <v>43749</v>
      </c>
      <c r="C4591" s="6" t="s">
        <v>11</v>
      </c>
      <c r="D4591" s="6" t="s">
        <v>18</v>
      </c>
      <c r="E4591" s="6">
        <v>2</v>
      </c>
      <c r="F4591" s="6">
        <v>3</v>
      </c>
      <c r="G4591" s="6" t="s">
        <v>13</v>
      </c>
      <c r="H4591" s="6" t="s">
        <v>17</v>
      </c>
      <c r="I4591" s="6">
        <f>TabJogos[[#This Row],[PontosTime1]]-TabJogos[[#This Row],[PontosTime2]]</f>
        <v>-1</v>
      </c>
    </row>
    <row r="4592" spans="1:9" ht="15" customHeight="1" x14ac:dyDescent="0.25">
      <c r="A4592" s="7">
        <v>4553</v>
      </c>
      <c r="B4592" s="1">
        <v>43752</v>
      </c>
      <c r="C4592" s="6" t="s">
        <v>11</v>
      </c>
      <c r="D4592" s="6" t="s">
        <v>10</v>
      </c>
      <c r="E4592" s="6">
        <v>5</v>
      </c>
      <c r="F4592" s="6">
        <v>1</v>
      </c>
      <c r="G4592" s="6" t="s">
        <v>9</v>
      </c>
      <c r="H4592" s="6" t="s">
        <v>12</v>
      </c>
      <c r="I4592" s="6">
        <f>TabJogos[[#This Row],[PontosTime1]]-TabJogos[[#This Row],[PontosTime2]]</f>
        <v>4</v>
      </c>
    </row>
    <row r="4593" spans="1:9" ht="15" customHeight="1" x14ac:dyDescent="0.25">
      <c r="A4593" s="7">
        <v>4554</v>
      </c>
      <c r="B4593" s="1">
        <v>43752</v>
      </c>
      <c r="C4593" s="6" t="s">
        <v>11</v>
      </c>
      <c r="D4593" s="6" t="s">
        <v>12</v>
      </c>
      <c r="E4593" s="6">
        <v>4</v>
      </c>
      <c r="F4593" s="6">
        <v>0</v>
      </c>
      <c r="G4593" s="6" t="s">
        <v>13</v>
      </c>
      <c r="H4593" s="6" t="s">
        <v>10</v>
      </c>
      <c r="I4593" s="6">
        <f>TabJogos[[#This Row],[PontosTime1]]-TabJogos[[#This Row],[PontosTime2]]</f>
        <v>4</v>
      </c>
    </row>
    <row r="4594" spans="1:9" ht="15" customHeight="1" x14ac:dyDescent="0.25">
      <c r="A4594" s="7">
        <v>4555</v>
      </c>
      <c r="B4594" s="1">
        <v>43752</v>
      </c>
      <c r="C4594" s="6" t="s">
        <v>9</v>
      </c>
      <c r="D4594" s="6" t="s">
        <v>11</v>
      </c>
      <c r="E4594" s="6">
        <v>4</v>
      </c>
      <c r="F4594" s="6">
        <v>0</v>
      </c>
      <c r="G4594" s="6" t="s">
        <v>12</v>
      </c>
      <c r="H4594" s="6" t="s">
        <v>13</v>
      </c>
      <c r="I4594" s="6">
        <f>TabJogos[[#This Row],[PontosTime1]]-TabJogos[[#This Row],[PontosTime2]]</f>
        <v>4</v>
      </c>
    </row>
    <row r="4595" spans="1:9" ht="15" customHeight="1" x14ac:dyDescent="0.25">
      <c r="A4595" s="7">
        <v>4556</v>
      </c>
      <c r="B4595" s="1">
        <v>43752</v>
      </c>
      <c r="C4595" s="6" t="s">
        <v>10</v>
      </c>
      <c r="D4595" s="6" t="s">
        <v>9</v>
      </c>
      <c r="E4595" s="6">
        <v>4</v>
      </c>
      <c r="F4595" s="6">
        <v>0</v>
      </c>
      <c r="G4595" s="6" t="s">
        <v>11</v>
      </c>
      <c r="H4595" s="6" t="s">
        <v>13</v>
      </c>
      <c r="I4595" s="6">
        <f>TabJogos[[#This Row],[PontosTime1]]-TabJogos[[#This Row],[PontosTime2]]</f>
        <v>4</v>
      </c>
    </row>
    <row r="4596" spans="1:9" ht="15" customHeight="1" x14ac:dyDescent="0.25">
      <c r="A4596" s="7">
        <v>4557</v>
      </c>
      <c r="B4596" s="1">
        <v>43752</v>
      </c>
      <c r="C4596" s="6" t="s">
        <v>10</v>
      </c>
      <c r="D4596" s="6" t="s">
        <v>12</v>
      </c>
      <c r="E4596" s="6">
        <v>3</v>
      </c>
      <c r="F4596" s="6">
        <v>1</v>
      </c>
      <c r="G4596" s="6" t="s">
        <v>9</v>
      </c>
      <c r="H4596" s="6" t="s">
        <v>11</v>
      </c>
      <c r="I4596" s="6">
        <f>TabJogos[[#This Row],[PontosTime1]]-TabJogos[[#This Row],[PontosTime2]]</f>
        <v>2</v>
      </c>
    </row>
    <row r="4597" spans="1:9" ht="15" customHeight="1" x14ac:dyDescent="0.25">
      <c r="A4597" s="7">
        <v>4558</v>
      </c>
      <c r="B4597" s="1">
        <v>43752</v>
      </c>
      <c r="C4597" s="6" t="s">
        <v>10</v>
      </c>
      <c r="D4597" s="6" t="s">
        <v>13</v>
      </c>
      <c r="E4597" s="6">
        <v>3</v>
      </c>
      <c r="F4597" s="6">
        <v>2</v>
      </c>
      <c r="G4597" s="6" t="s">
        <v>12</v>
      </c>
      <c r="H4597" s="6" t="s">
        <v>9</v>
      </c>
      <c r="I4597" s="6">
        <f>TabJogos[[#This Row],[PontosTime1]]-TabJogos[[#This Row],[PontosTime2]]</f>
        <v>1</v>
      </c>
    </row>
    <row r="4598" spans="1:9" ht="15" customHeight="1" x14ac:dyDescent="0.25">
      <c r="A4598" s="7">
        <v>4559</v>
      </c>
      <c r="B4598" s="1">
        <v>43752</v>
      </c>
      <c r="C4598" s="6" t="s">
        <v>10</v>
      </c>
      <c r="D4598" s="6" t="s">
        <v>9</v>
      </c>
      <c r="E4598" s="6">
        <v>3</v>
      </c>
      <c r="F4598" s="6">
        <v>0</v>
      </c>
      <c r="G4598" s="6" t="s">
        <v>11</v>
      </c>
      <c r="H4598" s="6" t="s">
        <v>13</v>
      </c>
      <c r="I4598" s="6">
        <f>TabJogos[[#This Row],[PontosTime1]]-TabJogos[[#This Row],[PontosTime2]]</f>
        <v>3</v>
      </c>
    </row>
    <row r="4599" spans="1:9" ht="15" customHeight="1" x14ac:dyDescent="0.25">
      <c r="A4599" s="7">
        <v>4560</v>
      </c>
      <c r="B4599" s="1">
        <v>43752</v>
      </c>
      <c r="C4599" s="6" t="s">
        <v>13</v>
      </c>
      <c r="D4599" s="6" t="s">
        <v>9</v>
      </c>
      <c r="E4599" s="6">
        <v>4</v>
      </c>
      <c r="F4599" s="6">
        <v>0</v>
      </c>
      <c r="G4599" s="6" t="s">
        <v>11</v>
      </c>
      <c r="H4599" s="6" t="s">
        <v>10</v>
      </c>
      <c r="I4599" s="6">
        <f>TabJogos[[#This Row],[PontosTime1]]-TabJogos[[#This Row],[PontosTime2]]</f>
        <v>4</v>
      </c>
    </row>
    <row r="4600" spans="1:9" ht="15" customHeight="1" x14ac:dyDescent="0.25">
      <c r="A4600" s="7">
        <v>4561</v>
      </c>
      <c r="B4600" s="1">
        <v>43752</v>
      </c>
      <c r="C4600" s="6" t="s">
        <v>9</v>
      </c>
      <c r="D4600" s="6" t="s">
        <v>17</v>
      </c>
      <c r="E4600" s="6">
        <v>3</v>
      </c>
      <c r="F4600" s="6">
        <v>0</v>
      </c>
      <c r="G4600" s="6" t="s">
        <v>10</v>
      </c>
      <c r="H4600" s="6" t="s">
        <v>13</v>
      </c>
      <c r="I4600" s="6">
        <f>TabJogos[[#This Row],[PontosTime1]]-TabJogos[[#This Row],[PontosTime2]]</f>
        <v>3</v>
      </c>
    </row>
    <row r="4601" spans="1:9" ht="15" customHeight="1" x14ac:dyDescent="0.25">
      <c r="A4601" s="7">
        <v>4562</v>
      </c>
      <c r="B4601" s="1">
        <v>43752</v>
      </c>
      <c r="C4601" s="6" t="s">
        <v>17</v>
      </c>
      <c r="D4601" s="6" t="s">
        <v>11</v>
      </c>
      <c r="E4601" s="6">
        <v>3</v>
      </c>
      <c r="F4601" s="6">
        <v>2</v>
      </c>
      <c r="G4601" s="6" t="s">
        <v>9</v>
      </c>
      <c r="H4601" s="6" t="s">
        <v>18</v>
      </c>
      <c r="I4601" s="6">
        <f>TabJogos[[#This Row],[PontosTime1]]-TabJogos[[#This Row],[PontosTime2]]</f>
        <v>1</v>
      </c>
    </row>
    <row r="4602" spans="1:9" ht="15" customHeight="1" x14ac:dyDescent="0.25">
      <c r="A4602" s="7">
        <v>4563</v>
      </c>
      <c r="B4602" s="1">
        <v>43752</v>
      </c>
      <c r="C4602" s="6" t="s">
        <v>11</v>
      </c>
      <c r="D4602" s="6" t="s">
        <v>32</v>
      </c>
      <c r="E4602" s="6">
        <v>4</v>
      </c>
      <c r="F4602" s="6">
        <v>0</v>
      </c>
      <c r="G4602" s="6" t="s">
        <v>10</v>
      </c>
      <c r="H4602" s="6" t="s">
        <v>17</v>
      </c>
      <c r="I4602" s="6">
        <f>TabJogos[[#This Row],[PontosTime1]]-TabJogos[[#This Row],[PontosTime2]]</f>
        <v>4</v>
      </c>
    </row>
    <row r="4603" spans="1:9" ht="15" customHeight="1" x14ac:dyDescent="0.25">
      <c r="A4603" s="7">
        <v>4564</v>
      </c>
      <c r="B4603" s="1">
        <v>43752</v>
      </c>
      <c r="C4603" s="6" t="s">
        <v>13</v>
      </c>
      <c r="D4603" s="6" t="s">
        <v>32</v>
      </c>
      <c r="E4603" s="6">
        <v>0</v>
      </c>
      <c r="F4603" s="6">
        <v>3</v>
      </c>
      <c r="G4603" s="6" t="s">
        <v>11</v>
      </c>
      <c r="H4603" s="6" t="s">
        <v>18</v>
      </c>
      <c r="I4603" s="6">
        <f>TabJogos[[#This Row],[PontosTime1]]-TabJogos[[#This Row],[PontosTime2]]</f>
        <v>-3</v>
      </c>
    </row>
    <row r="4604" spans="1:9" ht="15" customHeight="1" x14ac:dyDescent="0.25">
      <c r="A4604" s="7">
        <v>4565</v>
      </c>
      <c r="B4604" s="1">
        <v>43752</v>
      </c>
      <c r="C4604" s="6" t="s">
        <v>11</v>
      </c>
      <c r="D4604" s="6" t="s">
        <v>9</v>
      </c>
      <c r="E4604" s="6">
        <v>3</v>
      </c>
      <c r="F4604" s="6">
        <v>1</v>
      </c>
      <c r="G4604" s="6" t="s">
        <v>17</v>
      </c>
      <c r="H4604" s="6" t="s">
        <v>18</v>
      </c>
      <c r="I4604" s="6">
        <f>TabJogos[[#This Row],[PontosTime1]]-TabJogos[[#This Row],[PontosTime2]]</f>
        <v>2</v>
      </c>
    </row>
    <row r="4605" spans="1:9" ht="15" customHeight="1" x14ac:dyDescent="0.25">
      <c r="A4605" s="7">
        <v>4566</v>
      </c>
      <c r="B4605" s="1">
        <v>43752</v>
      </c>
      <c r="C4605" s="6" t="s">
        <v>11</v>
      </c>
      <c r="D4605" s="6" t="s">
        <v>13</v>
      </c>
      <c r="E4605" s="6">
        <v>2</v>
      </c>
      <c r="F4605" s="6">
        <v>3</v>
      </c>
      <c r="G4605" s="6" t="s">
        <v>9</v>
      </c>
      <c r="H4605" s="6" t="s">
        <v>17</v>
      </c>
      <c r="I4605" s="6">
        <f>TabJogos[[#This Row],[PontosTime1]]-TabJogos[[#This Row],[PontosTime2]]</f>
        <v>-1</v>
      </c>
    </row>
    <row r="4606" spans="1:9" ht="15" customHeight="1" x14ac:dyDescent="0.25">
      <c r="A4606" s="7">
        <v>4567</v>
      </c>
      <c r="B4606" s="1">
        <v>43752</v>
      </c>
      <c r="C4606" s="6" t="s">
        <v>9</v>
      </c>
      <c r="D4606" s="6" t="s">
        <v>18</v>
      </c>
      <c r="E4606" s="6">
        <v>2</v>
      </c>
      <c r="F4606" s="6">
        <v>4</v>
      </c>
      <c r="G4606" s="6" t="s">
        <v>17</v>
      </c>
      <c r="H4606" s="6" t="s">
        <v>11</v>
      </c>
      <c r="I4606" s="6">
        <f>TabJogos[[#This Row],[PontosTime1]]-TabJogos[[#This Row],[PontosTime2]]</f>
        <v>-2</v>
      </c>
    </row>
    <row r="4607" spans="1:9" ht="15" customHeight="1" x14ac:dyDescent="0.25">
      <c r="A4607" s="7">
        <v>4568</v>
      </c>
      <c r="B4607" s="1">
        <v>43752</v>
      </c>
      <c r="C4607" s="6" t="s">
        <v>11</v>
      </c>
      <c r="D4607" s="6" t="s">
        <v>18</v>
      </c>
      <c r="E4607" s="6">
        <v>3</v>
      </c>
      <c r="F4607" s="6">
        <v>1</v>
      </c>
      <c r="G4607" s="6" t="s">
        <v>17</v>
      </c>
      <c r="H4607" s="6" t="s">
        <v>13</v>
      </c>
      <c r="I4607" s="6">
        <f>TabJogos[[#This Row],[PontosTime1]]-TabJogos[[#This Row],[PontosTime2]]</f>
        <v>2</v>
      </c>
    </row>
    <row r="4608" spans="1:9" ht="15" customHeight="1" x14ac:dyDescent="0.25">
      <c r="A4608" s="7">
        <v>4569</v>
      </c>
      <c r="B4608" s="1">
        <v>43752</v>
      </c>
      <c r="C4608" s="6" t="s">
        <v>11</v>
      </c>
      <c r="D4608" s="6" t="s">
        <v>13</v>
      </c>
      <c r="E4608" s="6">
        <v>0</v>
      </c>
      <c r="F4608" s="6">
        <v>3</v>
      </c>
      <c r="G4608" s="6" t="s">
        <v>17</v>
      </c>
      <c r="H4608" s="6" t="s">
        <v>18</v>
      </c>
      <c r="I4608" s="6">
        <f>TabJogos[[#This Row],[PontosTime1]]-TabJogos[[#This Row],[PontosTime2]]</f>
        <v>-3</v>
      </c>
    </row>
    <row r="4609" spans="1:9" ht="15" customHeight="1" x14ac:dyDescent="0.25">
      <c r="A4609" s="7">
        <v>4570</v>
      </c>
      <c r="B4609" s="1">
        <v>43753</v>
      </c>
      <c r="C4609" s="6" t="s">
        <v>9</v>
      </c>
      <c r="D4609" s="6" t="s">
        <v>10</v>
      </c>
      <c r="E4609" s="6">
        <v>3</v>
      </c>
      <c r="F4609" s="6">
        <v>1</v>
      </c>
      <c r="G4609" s="6" t="s">
        <v>11</v>
      </c>
      <c r="H4609" s="6" t="s">
        <v>13</v>
      </c>
      <c r="I4609" s="6">
        <f>TabJogos[[#This Row],[PontosTime1]]-TabJogos[[#This Row],[PontosTime2]]</f>
        <v>2</v>
      </c>
    </row>
    <row r="4610" spans="1:9" ht="15" customHeight="1" x14ac:dyDescent="0.25">
      <c r="A4610" s="7">
        <v>4571</v>
      </c>
      <c r="B4610" s="1">
        <v>43753</v>
      </c>
      <c r="C4610" s="6" t="s">
        <v>9</v>
      </c>
      <c r="D4610" s="6" t="s">
        <v>13</v>
      </c>
      <c r="E4610" s="6">
        <v>2</v>
      </c>
      <c r="F4610" s="6">
        <v>3</v>
      </c>
      <c r="G4610" s="6" t="s">
        <v>10</v>
      </c>
      <c r="H4610" s="6" t="s">
        <v>11</v>
      </c>
      <c r="I4610" s="6">
        <f>TabJogos[[#This Row],[PontosTime1]]-TabJogos[[#This Row],[PontosTime2]]</f>
        <v>-1</v>
      </c>
    </row>
    <row r="4611" spans="1:9" ht="15" customHeight="1" x14ac:dyDescent="0.25">
      <c r="A4611" s="7">
        <v>4572</v>
      </c>
      <c r="B4611" s="1">
        <v>43753</v>
      </c>
      <c r="C4611" s="6" t="s">
        <v>9</v>
      </c>
      <c r="D4611" s="6" t="s">
        <v>11</v>
      </c>
      <c r="E4611" s="6">
        <v>0</v>
      </c>
      <c r="F4611" s="6">
        <v>3</v>
      </c>
      <c r="G4611" s="6" t="s">
        <v>10</v>
      </c>
      <c r="H4611" s="6" t="s">
        <v>13</v>
      </c>
      <c r="I4611" s="6">
        <f>TabJogos[[#This Row],[PontosTime1]]-TabJogos[[#This Row],[PontosTime2]]</f>
        <v>-3</v>
      </c>
    </row>
    <row r="4612" spans="1:9" ht="15" customHeight="1" x14ac:dyDescent="0.25">
      <c r="A4612" s="7">
        <v>4573</v>
      </c>
      <c r="B4612" s="1">
        <v>43753</v>
      </c>
      <c r="C4612" s="6" t="s">
        <v>11</v>
      </c>
      <c r="D4612" s="6" t="s">
        <v>13</v>
      </c>
      <c r="E4612" s="6">
        <v>3</v>
      </c>
      <c r="F4612" s="6">
        <v>2</v>
      </c>
      <c r="G4612" s="6" t="s">
        <v>9</v>
      </c>
      <c r="H4612" s="6" t="s">
        <v>10</v>
      </c>
      <c r="I4612" s="6">
        <f>TabJogos[[#This Row],[PontosTime1]]-TabJogos[[#This Row],[PontosTime2]]</f>
        <v>1</v>
      </c>
    </row>
    <row r="4613" spans="1:9" ht="15" customHeight="1" x14ac:dyDescent="0.25">
      <c r="A4613" s="7">
        <v>4574</v>
      </c>
      <c r="B4613" s="1">
        <v>43753</v>
      </c>
      <c r="C4613" s="6" t="s">
        <v>9</v>
      </c>
      <c r="D4613" s="6" t="s">
        <v>13</v>
      </c>
      <c r="E4613" s="6">
        <v>2</v>
      </c>
      <c r="F4613" s="6">
        <v>4</v>
      </c>
      <c r="G4613" s="6" t="s">
        <v>11</v>
      </c>
      <c r="H4613" s="6" t="s">
        <v>10</v>
      </c>
      <c r="I4613" s="6">
        <f>TabJogos[[#This Row],[PontosTime1]]-TabJogos[[#This Row],[PontosTime2]]</f>
        <v>-2</v>
      </c>
    </row>
    <row r="4614" spans="1:9" ht="15" customHeight="1" x14ac:dyDescent="0.25">
      <c r="A4614" s="7">
        <v>4575</v>
      </c>
      <c r="B4614" s="1">
        <v>43753</v>
      </c>
      <c r="C4614" s="6" t="s">
        <v>9</v>
      </c>
      <c r="D4614" s="6" t="s">
        <v>11</v>
      </c>
      <c r="E4614" s="6">
        <v>1</v>
      </c>
      <c r="F4614" s="6">
        <v>3</v>
      </c>
      <c r="G4614" s="6" t="s">
        <v>10</v>
      </c>
      <c r="H4614" s="6" t="s">
        <v>13</v>
      </c>
      <c r="I4614" s="6">
        <f>TabJogos[[#This Row],[PontosTime1]]-TabJogos[[#This Row],[PontosTime2]]</f>
        <v>-2</v>
      </c>
    </row>
    <row r="4615" spans="1:9" ht="15" customHeight="1" x14ac:dyDescent="0.25">
      <c r="A4615" s="7">
        <v>4576</v>
      </c>
      <c r="B4615" s="1">
        <v>43753</v>
      </c>
      <c r="C4615" s="6" t="s">
        <v>9</v>
      </c>
      <c r="D4615" s="6" t="s">
        <v>10</v>
      </c>
      <c r="E4615" s="6">
        <v>1</v>
      </c>
      <c r="F4615" s="6">
        <v>3</v>
      </c>
      <c r="G4615" s="6" t="s">
        <v>13</v>
      </c>
      <c r="H4615" s="6" t="s">
        <v>11</v>
      </c>
      <c r="I4615" s="6">
        <f>TabJogos[[#This Row],[PontosTime1]]-TabJogos[[#This Row],[PontosTime2]]</f>
        <v>-2</v>
      </c>
    </row>
    <row r="4616" spans="1:9" ht="15" customHeight="1" x14ac:dyDescent="0.25">
      <c r="A4616" s="7">
        <v>4577</v>
      </c>
      <c r="B4616" s="1">
        <v>43753</v>
      </c>
      <c r="C4616" s="6" t="s">
        <v>9</v>
      </c>
      <c r="D4616" s="6" t="s">
        <v>13</v>
      </c>
      <c r="E4616" s="6">
        <v>0</v>
      </c>
      <c r="F4616" s="6">
        <v>3</v>
      </c>
      <c r="G4616" s="6" t="s">
        <v>10</v>
      </c>
      <c r="H4616" s="6" t="s">
        <v>11</v>
      </c>
      <c r="I4616" s="6">
        <f>TabJogos[[#This Row],[PontosTime1]]-TabJogos[[#This Row],[PontosTime2]]</f>
        <v>-3</v>
      </c>
    </row>
    <row r="4617" spans="1:9" ht="15" customHeight="1" x14ac:dyDescent="0.25">
      <c r="A4617" s="7">
        <v>4578</v>
      </c>
      <c r="B4617" s="1">
        <v>43753</v>
      </c>
      <c r="C4617" s="6" t="s">
        <v>11</v>
      </c>
      <c r="D4617" s="6" t="s">
        <v>9</v>
      </c>
      <c r="E4617" s="6">
        <v>3</v>
      </c>
      <c r="F4617" s="6">
        <v>0</v>
      </c>
      <c r="G4617" s="6" t="s">
        <v>10</v>
      </c>
      <c r="H4617" s="6" t="s">
        <v>13</v>
      </c>
      <c r="I4617" s="6">
        <f>TabJogos[[#This Row],[PontosTime1]]-TabJogos[[#This Row],[PontosTime2]]</f>
        <v>3</v>
      </c>
    </row>
    <row r="4618" spans="1:9" ht="15" customHeight="1" x14ac:dyDescent="0.25">
      <c r="A4618" s="7">
        <v>4579</v>
      </c>
      <c r="B4618" s="1">
        <v>43753</v>
      </c>
      <c r="C4618" s="6" t="s">
        <v>9</v>
      </c>
      <c r="D4618" s="6" t="s">
        <v>41</v>
      </c>
      <c r="E4618" s="6">
        <v>3</v>
      </c>
      <c r="F4618" s="6">
        <v>0</v>
      </c>
      <c r="G4618" s="6" t="s">
        <v>13</v>
      </c>
      <c r="H4618" s="6" t="s">
        <v>11</v>
      </c>
      <c r="I4618" s="6">
        <f>TabJogos[[#This Row],[PontosTime1]]-TabJogos[[#This Row],[PontosTime2]]</f>
        <v>3</v>
      </c>
    </row>
    <row r="4619" spans="1:9" ht="15" customHeight="1" x14ac:dyDescent="0.25">
      <c r="A4619" s="7">
        <v>4580</v>
      </c>
      <c r="B4619" s="1">
        <v>43753</v>
      </c>
      <c r="C4619" s="6" t="s">
        <v>9</v>
      </c>
      <c r="D4619" s="6" t="s">
        <v>13</v>
      </c>
      <c r="E4619" s="6">
        <v>0</v>
      </c>
      <c r="F4619" s="6">
        <v>4</v>
      </c>
      <c r="G4619" s="6" t="s">
        <v>41</v>
      </c>
      <c r="H4619" s="6" t="s">
        <v>11</v>
      </c>
      <c r="I4619" s="6">
        <f>TabJogos[[#This Row],[PontosTime1]]-TabJogos[[#This Row],[PontosTime2]]</f>
        <v>-4</v>
      </c>
    </row>
    <row r="4620" spans="1:9" ht="15" customHeight="1" x14ac:dyDescent="0.25">
      <c r="A4620" s="7">
        <v>4581</v>
      </c>
      <c r="B4620" s="1">
        <v>43753</v>
      </c>
      <c r="C4620" s="6" t="s">
        <v>11</v>
      </c>
      <c r="D4620" s="6" t="s">
        <v>9</v>
      </c>
      <c r="E4620" s="6">
        <v>0</v>
      </c>
      <c r="F4620" s="6">
        <v>3</v>
      </c>
      <c r="G4620" s="6" t="s">
        <v>13</v>
      </c>
      <c r="H4620" s="6" t="s">
        <v>41</v>
      </c>
      <c r="I4620" s="6">
        <f>TabJogos[[#This Row],[PontosTime1]]-TabJogos[[#This Row],[PontosTime2]]</f>
        <v>-3</v>
      </c>
    </row>
    <row r="4621" spans="1:9" ht="15" customHeight="1" x14ac:dyDescent="0.25">
      <c r="A4621" s="7">
        <v>4582</v>
      </c>
      <c r="B4621" s="1">
        <v>43753</v>
      </c>
      <c r="C4621" s="6" t="s">
        <v>9</v>
      </c>
      <c r="D4621" s="6" t="s">
        <v>13</v>
      </c>
      <c r="E4621" s="6">
        <v>5</v>
      </c>
      <c r="F4621" s="6">
        <v>0</v>
      </c>
      <c r="G4621" s="6" t="s">
        <v>11</v>
      </c>
      <c r="H4621" s="6" t="s">
        <v>41</v>
      </c>
      <c r="I4621" s="6">
        <f>TabJogos[[#This Row],[PontosTime1]]-TabJogos[[#This Row],[PontosTime2]]</f>
        <v>5</v>
      </c>
    </row>
    <row r="4622" spans="1:9" ht="15" customHeight="1" x14ac:dyDescent="0.25">
      <c r="A4622" s="7">
        <v>4583</v>
      </c>
      <c r="B4622" s="1">
        <v>43754</v>
      </c>
      <c r="C4622" s="6" t="s">
        <v>18</v>
      </c>
      <c r="D4622" s="6" t="s">
        <v>11</v>
      </c>
      <c r="E4622" s="6">
        <v>3</v>
      </c>
      <c r="F4622" s="6">
        <v>0</v>
      </c>
      <c r="G4622" s="6" t="s">
        <v>32</v>
      </c>
      <c r="H4622" s="6" t="s">
        <v>13</v>
      </c>
      <c r="I4622" s="6">
        <f>TabJogos[[#This Row],[PontosTime1]]-TabJogos[[#This Row],[PontosTime2]]</f>
        <v>3</v>
      </c>
    </row>
    <row r="4623" spans="1:9" ht="15" customHeight="1" x14ac:dyDescent="0.25">
      <c r="A4623" s="7">
        <v>4584</v>
      </c>
      <c r="B4623" s="1">
        <v>43754</v>
      </c>
      <c r="C4623" s="6" t="s">
        <v>32</v>
      </c>
      <c r="D4623" s="6" t="s">
        <v>11</v>
      </c>
      <c r="E4623" s="6">
        <v>3</v>
      </c>
      <c r="F4623" s="6">
        <v>1</v>
      </c>
      <c r="G4623" s="6" t="s">
        <v>13</v>
      </c>
      <c r="H4623" s="6" t="s">
        <v>18</v>
      </c>
      <c r="I4623" s="6">
        <f>TabJogos[[#This Row],[PontosTime1]]-TabJogos[[#This Row],[PontosTime2]]</f>
        <v>2</v>
      </c>
    </row>
    <row r="4624" spans="1:9" ht="15" customHeight="1" x14ac:dyDescent="0.25">
      <c r="A4624" s="7">
        <v>4585</v>
      </c>
      <c r="B4624" s="1">
        <v>43754</v>
      </c>
      <c r="C4624" s="6" t="s">
        <v>18</v>
      </c>
      <c r="D4624" s="6" t="s">
        <v>32</v>
      </c>
      <c r="E4624" s="6">
        <v>1</v>
      </c>
      <c r="F4624" s="6">
        <v>3</v>
      </c>
      <c r="G4624" s="6" t="s">
        <v>13</v>
      </c>
      <c r="H4624" s="6" t="s">
        <v>11</v>
      </c>
      <c r="I4624" s="6">
        <f>TabJogos[[#This Row],[PontosTime1]]-TabJogos[[#This Row],[PontosTime2]]</f>
        <v>-2</v>
      </c>
    </row>
    <row r="4625" spans="1:9" ht="15" customHeight="1" x14ac:dyDescent="0.25">
      <c r="A4625" s="7">
        <v>4586</v>
      </c>
      <c r="B4625" s="1">
        <v>43754</v>
      </c>
      <c r="C4625" s="6" t="s">
        <v>11</v>
      </c>
      <c r="D4625" s="6" t="s">
        <v>41</v>
      </c>
      <c r="E4625" s="6">
        <v>3</v>
      </c>
      <c r="F4625" s="6">
        <v>0</v>
      </c>
      <c r="G4625" s="6" t="s">
        <v>13</v>
      </c>
      <c r="H4625" s="6" t="s">
        <v>17</v>
      </c>
      <c r="I4625" s="6">
        <f>TabJogos[[#This Row],[PontosTime1]]-TabJogos[[#This Row],[PontosTime2]]</f>
        <v>3</v>
      </c>
    </row>
    <row r="4626" spans="1:9" ht="15" customHeight="1" x14ac:dyDescent="0.25">
      <c r="A4626" s="7">
        <v>4587</v>
      </c>
      <c r="B4626" s="1">
        <v>43754</v>
      </c>
      <c r="C4626" s="6" t="s">
        <v>11</v>
      </c>
      <c r="D4626" s="6" t="s">
        <v>18</v>
      </c>
      <c r="E4626" s="6">
        <v>1</v>
      </c>
      <c r="F4626" s="6">
        <v>3</v>
      </c>
      <c r="G4626" s="6" t="s">
        <v>41</v>
      </c>
      <c r="H4626" s="6" t="s">
        <v>13</v>
      </c>
      <c r="I4626" s="6">
        <f>TabJogos[[#This Row],[PontosTime1]]-TabJogos[[#This Row],[PontosTime2]]</f>
        <v>-2</v>
      </c>
    </row>
    <row r="4627" spans="1:9" ht="15" customHeight="1" x14ac:dyDescent="0.25">
      <c r="A4627" s="7">
        <v>4588</v>
      </c>
      <c r="B4627" s="1">
        <v>43754</v>
      </c>
      <c r="C4627" s="6" t="s">
        <v>11</v>
      </c>
      <c r="D4627" s="6" t="s">
        <v>17</v>
      </c>
      <c r="E4627" s="6">
        <v>3</v>
      </c>
      <c r="F4627" s="6">
        <v>2</v>
      </c>
      <c r="G4627" s="6" t="s">
        <v>13</v>
      </c>
      <c r="H4627" s="6" t="s">
        <v>18</v>
      </c>
      <c r="I4627" s="6">
        <f>TabJogos[[#This Row],[PontosTime1]]-TabJogos[[#This Row],[PontosTime2]]</f>
        <v>1</v>
      </c>
    </row>
    <row r="4628" spans="1:9" ht="15" customHeight="1" x14ac:dyDescent="0.25">
      <c r="A4628" s="7">
        <v>4589</v>
      </c>
      <c r="B4628" s="1">
        <v>43754</v>
      </c>
      <c r="C4628" s="6" t="s">
        <v>11</v>
      </c>
      <c r="D4628" s="6" t="s">
        <v>13</v>
      </c>
      <c r="E4628" s="6">
        <v>3</v>
      </c>
      <c r="F4628" s="6">
        <v>2</v>
      </c>
      <c r="G4628" s="6" t="s">
        <v>18</v>
      </c>
      <c r="H4628" s="6" t="s">
        <v>17</v>
      </c>
      <c r="I4628" s="6">
        <f>TabJogos[[#This Row],[PontosTime1]]-TabJogos[[#This Row],[PontosTime2]]</f>
        <v>1</v>
      </c>
    </row>
    <row r="4629" spans="1:9" ht="15" customHeight="1" x14ac:dyDescent="0.25">
      <c r="A4629" s="7">
        <v>4590</v>
      </c>
      <c r="B4629" s="1">
        <v>43755</v>
      </c>
      <c r="C4629" s="6" t="s">
        <v>13</v>
      </c>
      <c r="D4629" s="6" t="s">
        <v>10</v>
      </c>
      <c r="E4629" s="6">
        <v>3</v>
      </c>
      <c r="F4629" s="6">
        <v>1</v>
      </c>
      <c r="G4629" s="6" t="s">
        <v>18</v>
      </c>
      <c r="H4629" s="6" t="s">
        <v>9</v>
      </c>
      <c r="I4629" s="6">
        <f>TabJogos[[#This Row],[PontosTime1]]-TabJogos[[#This Row],[PontosTime2]]</f>
        <v>2</v>
      </c>
    </row>
    <row r="4630" spans="1:9" ht="15" customHeight="1" x14ac:dyDescent="0.25">
      <c r="A4630" s="7">
        <v>4591</v>
      </c>
      <c r="B4630" s="1">
        <v>43755</v>
      </c>
      <c r="C4630" s="6" t="s">
        <v>11</v>
      </c>
      <c r="D4630" s="6" t="s">
        <v>13</v>
      </c>
      <c r="E4630" s="6">
        <v>3</v>
      </c>
      <c r="F4630" s="6">
        <v>2</v>
      </c>
      <c r="G4630" s="6" t="s">
        <v>18</v>
      </c>
      <c r="H4630" s="6" t="s">
        <v>10</v>
      </c>
      <c r="I4630" s="6">
        <f>TabJogos[[#This Row],[PontosTime1]]-TabJogos[[#This Row],[PontosTime2]]</f>
        <v>1</v>
      </c>
    </row>
    <row r="4631" spans="1:9" ht="15" customHeight="1" x14ac:dyDescent="0.25">
      <c r="A4631" s="7">
        <v>4592</v>
      </c>
      <c r="B4631" s="1">
        <v>43755</v>
      </c>
      <c r="C4631" s="6" t="s">
        <v>13</v>
      </c>
      <c r="D4631" s="6" t="s">
        <v>18</v>
      </c>
      <c r="E4631" s="6">
        <v>3</v>
      </c>
      <c r="F4631" s="6">
        <v>0</v>
      </c>
      <c r="G4631" s="6" t="s">
        <v>11</v>
      </c>
      <c r="H4631" s="6" t="s">
        <v>9</v>
      </c>
      <c r="I4631" s="6">
        <f>TabJogos[[#This Row],[PontosTime1]]-TabJogos[[#This Row],[PontosTime2]]</f>
        <v>3</v>
      </c>
    </row>
    <row r="4632" spans="1:9" ht="15" customHeight="1" x14ac:dyDescent="0.25">
      <c r="A4632" s="7">
        <v>4593</v>
      </c>
      <c r="B4632" s="1">
        <v>43755</v>
      </c>
      <c r="C4632" s="6" t="s">
        <v>11</v>
      </c>
      <c r="D4632" s="6" t="s">
        <v>18</v>
      </c>
      <c r="E4632" s="6">
        <v>3</v>
      </c>
      <c r="F4632" s="6">
        <v>0</v>
      </c>
      <c r="G4632" s="6" t="s">
        <v>13</v>
      </c>
      <c r="H4632" s="6" t="s">
        <v>10</v>
      </c>
      <c r="I4632" s="6">
        <f>TabJogos[[#This Row],[PontosTime1]]-TabJogos[[#This Row],[PontosTime2]]</f>
        <v>3</v>
      </c>
    </row>
    <row r="4633" spans="1:9" ht="15" customHeight="1" x14ac:dyDescent="0.25">
      <c r="A4633" s="7">
        <v>4594</v>
      </c>
      <c r="B4633" s="1">
        <v>43755</v>
      </c>
      <c r="C4633" s="6" t="s">
        <v>9</v>
      </c>
      <c r="D4633" s="6" t="s">
        <v>18</v>
      </c>
      <c r="E4633" s="6">
        <v>3</v>
      </c>
      <c r="F4633" s="6">
        <v>1</v>
      </c>
      <c r="G4633" s="6" t="s">
        <v>11</v>
      </c>
      <c r="H4633" s="6" t="s">
        <v>13</v>
      </c>
      <c r="I4633" s="6">
        <f>TabJogos[[#This Row],[PontosTime1]]-TabJogos[[#This Row],[PontosTime2]]</f>
        <v>2</v>
      </c>
    </row>
    <row r="4634" spans="1:9" ht="15" customHeight="1" x14ac:dyDescent="0.25">
      <c r="A4634" s="7">
        <v>4595</v>
      </c>
      <c r="B4634" s="1">
        <v>43755</v>
      </c>
      <c r="C4634" s="6" t="s">
        <v>9</v>
      </c>
      <c r="D4634" s="6" t="s">
        <v>13</v>
      </c>
      <c r="E4634" s="6">
        <v>3</v>
      </c>
      <c r="F4634" s="6">
        <v>0</v>
      </c>
      <c r="G4634" s="6" t="s">
        <v>18</v>
      </c>
      <c r="H4634" s="6" t="s">
        <v>11</v>
      </c>
      <c r="I4634" s="6">
        <f>TabJogos[[#This Row],[PontosTime1]]-TabJogos[[#This Row],[PontosTime2]]</f>
        <v>3</v>
      </c>
    </row>
    <row r="4635" spans="1:9" ht="15" customHeight="1" x14ac:dyDescent="0.25">
      <c r="A4635" s="7">
        <v>4596</v>
      </c>
      <c r="B4635" s="1">
        <v>43755</v>
      </c>
      <c r="C4635" s="6" t="s">
        <v>9</v>
      </c>
      <c r="D4635" s="6" t="s">
        <v>11</v>
      </c>
      <c r="E4635" s="6">
        <v>3</v>
      </c>
      <c r="F4635" s="6">
        <v>1</v>
      </c>
      <c r="G4635" s="6" t="s">
        <v>18</v>
      </c>
      <c r="H4635" s="6" t="s">
        <v>13</v>
      </c>
      <c r="I4635" s="6">
        <f>TabJogos[[#This Row],[PontosTime1]]-TabJogos[[#This Row],[PontosTime2]]</f>
        <v>2</v>
      </c>
    </row>
    <row r="4636" spans="1:9" ht="15" customHeight="1" x14ac:dyDescent="0.25">
      <c r="A4636" s="7">
        <v>4597</v>
      </c>
      <c r="B4636" s="1">
        <v>43755</v>
      </c>
      <c r="C4636" s="6" t="s">
        <v>9</v>
      </c>
      <c r="D4636" s="6" t="s">
        <v>18</v>
      </c>
      <c r="E4636" s="6">
        <v>0</v>
      </c>
      <c r="F4636" s="6">
        <v>3</v>
      </c>
      <c r="G4636" s="6" t="s">
        <v>13</v>
      </c>
      <c r="H4636" s="6" t="s">
        <v>11</v>
      </c>
      <c r="I4636" s="6">
        <f>TabJogos[[#This Row],[PontosTime1]]-TabJogos[[#This Row],[PontosTime2]]</f>
        <v>-3</v>
      </c>
    </row>
    <row r="4637" spans="1:9" ht="15" customHeight="1" x14ac:dyDescent="0.25">
      <c r="A4637" s="7">
        <v>4598</v>
      </c>
      <c r="B4637" s="1">
        <v>43755</v>
      </c>
      <c r="C4637" s="6" t="s">
        <v>9</v>
      </c>
      <c r="D4637" s="6" t="s">
        <v>13</v>
      </c>
      <c r="E4637" s="6">
        <v>3</v>
      </c>
      <c r="F4637" s="6">
        <v>1</v>
      </c>
      <c r="G4637" s="6" t="s">
        <v>18</v>
      </c>
      <c r="H4637" s="6" t="s">
        <v>11</v>
      </c>
      <c r="I4637" s="6">
        <f>TabJogos[[#This Row],[PontosTime1]]-TabJogos[[#This Row],[PontosTime2]]</f>
        <v>2</v>
      </c>
    </row>
    <row r="4638" spans="1:9" ht="15" customHeight="1" x14ac:dyDescent="0.25">
      <c r="A4638" s="7">
        <v>4599</v>
      </c>
      <c r="B4638" s="1">
        <v>43755</v>
      </c>
      <c r="C4638" s="6" t="s">
        <v>9</v>
      </c>
      <c r="D4638" s="6" t="s">
        <v>11</v>
      </c>
      <c r="E4638" s="6">
        <v>3</v>
      </c>
      <c r="F4638" s="6">
        <v>2</v>
      </c>
      <c r="G4638" s="6" t="s">
        <v>13</v>
      </c>
      <c r="H4638" s="6" t="s">
        <v>18</v>
      </c>
      <c r="I4638" s="6">
        <f>TabJogos[[#This Row],[PontosTime1]]-TabJogos[[#This Row],[PontosTime2]]</f>
        <v>1</v>
      </c>
    </row>
    <row r="4639" spans="1:9" ht="15" customHeight="1" x14ac:dyDescent="0.25">
      <c r="A4639" s="7">
        <v>4600</v>
      </c>
      <c r="B4639" s="1">
        <v>43755</v>
      </c>
      <c r="C4639" s="6" t="s">
        <v>11</v>
      </c>
      <c r="D4639" s="6" t="s">
        <v>17</v>
      </c>
      <c r="E4639" s="6">
        <v>4</v>
      </c>
      <c r="F4639" s="6">
        <v>0</v>
      </c>
      <c r="G4639" s="6" t="s">
        <v>18</v>
      </c>
      <c r="H4639" s="6" t="s">
        <v>9</v>
      </c>
      <c r="I4639" s="6">
        <f>TabJogos[[#This Row],[PontosTime1]]-TabJogos[[#This Row],[PontosTime2]]</f>
        <v>4</v>
      </c>
    </row>
    <row r="4640" spans="1:9" ht="15" customHeight="1" x14ac:dyDescent="0.25">
      <c r="A4640" s="7">
        <v>4601</v>
      </c>
      <c r="B4640" s="1">
        <v>43755</v>
      </c>
      <c r="C4640" s="6" t="s">
        <v>17</v>
      </c>
      <c r="D4640" s="6" t="s">
        <v>18</v>
      </c>
      <c r="E4640" s="6">
        <v>3</v>
      </c>
      <c r="F4640" s="6">
        <v>1</v>
      </c>
      <c r="G4640" s="6" t="s">
        <v>13</v>
      </c>
      <c r="H4640" s="6" t="s">
        <v>11</v>
      </c>
      <c r="I4640" s="6">
        <f>TabJogos[[#This Row],[PontosTime1]]-TabJogos[[#This Row],[PontosTime2]]</f>
        <v>2</v>
      </c>
    </row>
    <row r="4641" spans="1:9" ht="15" customHeight="1" x14ac:dyDescent="0.25">
      <c r="A4641" s="7">
        <v>4602</v>
      </c>
      <c r="B4641" s="1">
        <v>43755</v>
      </c>
      <c r="C4641" s="6" t="s">
        <v>9</v>
      </c>
      <c r="D4641" s="6" t="s">
        <v>17</v>
      </c>
      <c r="E4641" s="6">
        <v>4</v>
      </c>
      <c r="F4641" s="6">
        <v>1</v>
      </c>
      <c r="G4641" s="6" t="s">
        <v>11</v>
      </c>
      <c r="H4641" s="6" t="s">
        <v>18</v>
      </c>
      <c r="I4641" s="6">
        <f>TabJogos[[#This Row],[PontosTime1]]-TabJogos[[#This Row],[PontosTime2]]</f>
        <v>3</v>
      </c>
    </row>
    <row r="4642" spans="1:9" ht="15" customHeight="1" x14ac:dyDescent="0.25">
      <c r="A4642" s="7">
        <v>4603</v>
      </c>
      <c r="B4642" s="1">
        <v>43755</v>
      </c>
      <c r="C4642" s="6" t="s">
        <v>9</v>
      </c>
      <c r="D4642" s="6" t="s">
        <v>18</v>
      </c>
      <c r="E4642" s="6">
        <v>0</v>
      </c>
      <c r="F4642" s="6">
        <v>3</v>
      </c>
      <c r="G4642" s="6" t="s">
        <v>17</v>
      </c>
      <c r="H4642" s="6" t="s">
        <v>13</v>
      </c>
      <c r="I4642" s="6">
        <f>TabJogos[[#This Row],[PontosTime1]]-TabJogos[[#This Row],[PontosTime2]]</f>
        <v>-3</v>
      </c>
    </row>
    <row r="4643" spans="1:9" ht="15" customHeight="1" x14ac:dyDescent="0.25">
      <c r="A4643" s="7">
        <v>4604</v>
      </c>
      <c r="B4643" s="1">
        <v>43755</v>
      </c>
      <c r="C4643" s="6" t="s">
        <v>9</v>
      </c>
      <c r="D4643" s="6" t="s">
        <v>13</v>
      </c>
      <c r="E4643" s="6">
        <v>4</v>
      </c>
      <c r="F4643" s="6">
        <v>1</v>
      </c>
      <c r="G4643" s="6" t="s">
        <v>17</v>
      </c>
      <c r="H4643" s="6" t="s">
        <v>18</v>
      </c>
      <c r="I4643" s="6">
        <f>TabJogos[[#This Row],[PontosTime1]]-TabJogos[[#This Row],[PontosTime2]]</f>
        <v>3</v>
      </c>
    </row>
    <row r="4644" spans="1:9" ht="15" customHeight="1" x14ac:dyDescent="0.25">
      <c r="A4644" s="7">
        <v>4605</v>
      </c>
      <c r="B4644" s="1">
        <v>43755</v>
      </c>
      <c r="C4644" s="6" t="s">
        <v>9</v>
      </c>
      <c r="D4644" s="6" t="s">
        <v>17</v>
      </c>
      <c r="E4644" s="6">
        <v>3</v>
      </c>
      <c r="F4644" s="6">
        <v>0</v>
      </c>
      <c r="G4644" s="6" t="s">
        <v>18</v>
      </c>
      <c r="H4644" s="6" t="s">
        <v>13</v>
      </c>
      <c r="I4644" s="6">
        <f>TabJogos[[#This Row],[PontosTime1]]-TabJogos[[#This Row],[PontosTime2]]</f>
        <v>3</v>
      </c>
    </row>
    <row r="4645" spans="1:9" ht="15" customHeight="1" x14ac:dyDescent="0.25">
      <c r="A4645" s="7">
        <v>4606</v>
      </c>
      <c r="B4645" s="1">
        <v>43755</v>
      </c>
      <c r="C4645" s="6" t="s">
        <v>9</v>
      </c>
      <c r="D4645" s="6" t="s">
        <v>18</v>
      </c>
      <c r="E4645" s="6">
        <v>2</v>
      </c>
      <c r="F4645" s="6">
        <v>3</v>
      </c>
      <c r="G4645" s="6" t="s">
        <v>17</v>
      </c>
      <c r="H4645" s="6" t="s">
        <v>13</v>
      </c>
      <c r="I4645" s="6">
        <f>TabJogos[[#This Row],[PontosTime1]]-TabJogos[[#This Row],[PontosTime2]]</f>
        <v>-1</v>
      </c>
    </row>
    <row r="4646" spans="1:9" ht="15" customHeight="1" x14ac:dyDescent="0.25">
      <c r="A4646" s="7">
        <v>4607</v>
      </c>
      <c r="B4646" s="1">
        <v>43756</v>
      </c>
      <c r="C4646" s="6" t="s">
        <v>13</v>
      </c>
      <c r="D4646" s="6" t="s">
        <v>10</v>
      </c>
      <c r="E4646" s="6">
        <v>2</v>
      </c>
      <c r="F4646" s="6">
        <v>3</v>
      </c>
      <c r="G4646" s="6" t="s">
        <v>41</v>
      </c>
      <c r="H4646" s="6" t="s">
        <v>11</v>
      </c>
      <c r="I4646" s="6">
        <f>TabJogos[[#This Row],[PontosTime1]]-TabJogos[[#This Row],[PontosTime2]]</f>
        <v>-1</v>
      </c>
    </row>
    <row r="4647" spans="1:9" ht="15" customHeight="1" x14ac:dyDescent="0.25">
      <c r="A4647" s="7">
        <v>4608</v>
      </c>
      <c r="B4647" s="1">
        <v>43756</v>
      </c>
      <c r="C4647" s="6" t="s">
        <v>13</v>
      </c>
      <c r="D4647" s="6" t="s">
        <v>11</v>
      </c>
      <c r="E4647" s="6">
        <v>3</v>
      </c>
      <c r="F4647" s="6">
        <v>2</v>
      </c>
      <c r="G4647" s="6" t="s">
        <v>41</v>
      </c>
      <c r="H4647" s="6" t="s">
        <v>10</v>
      </c>
      <c r="I4647" s="6">
        <f>TabJogos[[#This Row],[PontosTime1]]-TabJogos[[#This Row],[PontosTime2]]</f>
        <v>1</v>
      </c>
    </row>
    <row r="4648" spans="1:9" ht="15" customHeight="1" x14ac:dyDescent="0.25">
      <c r="A4648" s="7">
        <v>4609</v>
      </c>
      <c r="B4648" s="1">
        <v>43756</v>
      </c>
      <c r="C4648" s="6" t="s">
        <v>10</v>
      </c>
      <c r="D4648" s="6" t="s">
        <v>11</v>
      </c>
      <c r="E4648" s="6">
        <v>3</v>
      </c>
      <c r="F4648" s="6">
        <v>1</v>
      </c>
      <c r="G4648" s="6" t="s">
        <v>41</v>
      </c>
      <c r="H4648" s="6" t="s">
        <v>13</v>
      </c>
      <c r="I4648" s="6">
        <f>TabJogos[[#This Row],[PontosTime1]]-TabJogos[[#This Row],[PontosTime2]]</f>
        <v>2</v>
      </c>
    </row>
    <row r="4649" spans="1:9" ht="15" customHeight="1" x14ac:dyDescent="0.25">
      <c r="A4649" s="7">
        <v>4610</v>
      </c>
      <c r="B4649" s="1">
        <v>43756</v>
      </c>
      <c r="C4649" s="6" t="s">
        <v>13</v>
      </c>
      <c r="D4649" s="6" t="s">
        <v>10</v>
      </c>
      <c r="E4649" s="6">
        <v>4</v>
      </c>
      <c r="F4649" s="6">
        <v>2</v>
      </c>
      <c r="G4649" s="6" t="s">
        <v>18</v>
      </c>
      <c r="H4649" s="6" t="s">
        <v>11</v>
      </c>
      <c r="I4649" s="6">
        <f>TabJogos[[#This Row],[PontosTime1]]-TabJogos[[#This Row],[PontosTime2]]</f>
        <v>2</v>
      </c>
    </row>
    <row r="4650" spans="1:9" ht="15" customHeight="1" x14ac:dyDescent="0.25">
      <c r="A4650" s="7">
        <v>4611</v>
      </c>
      <c r="B4650" s="1">
        <v>43756</v>
      </c>
      <c r="C4650" s="6" t="s">
        <v>10</v>
      </c>
      <c r="D4650" s="6" t="s">
        <v>18</v>
      </c>
      <c r="E4650" s="6">
        <v>3</v>
      </c>
      <c r="F4650" s="6">
        <v>0</v>
      </c>
      <c r="G4650" s="6" t="s">
        <v>13</v>
      </c>
      <c r="H4650" s="6" t="s">
        <v>11</v>
      </c>
      <c r="I4650" s="6">
        <f>TabJogos[[#This Row],[PontosTime1]]-TabJogos[[#This Row],[PontosTime2]]</f>
        <v>3</v>
      </c>
    </row>
    <row r="4651" spans="1:9" ht="15" customHeight="1" x14ac:dyDescent="0.25">
      <c r="A4651" s="7">
        <v>4612</v>
      </c>
      <c r="B4651" s="1">
        <v>43756</v>
      </c>
      <c r="C4651" s="6" t="s">
        <v>11</v>
      </c>
      <c r="D4651" s="6" t="s">
        <v>10</v>
      </c>
      <c r="E4651" s="6">
        <v>0</v>
      </c>
      <c r="F4651" s="6">
        <v>4</v>
      </c>
      <c r="G4651" s="6" t="s">
        <v>18</v>
      </c>
      <c r="H4651" s="6" t="s">
        <v>13</v>
      </c>
      <c r="I4651" s="6">
        <f>TabJogos[[#This Row],[PontosTime1]]-TabJogos[[#This Row],[PontosTime2]]</f>
        <v>-4</v>
      </c>
    </row>
    <row r="4652" spans="1:9" ht="15" customHeight="1" x14ac:dyDescent="0.25">
      <c r="A4652" s="7">
        <v>4613</v>
      </c>
      <c r="B4652" s="1">
        <v>43756</v>
      </c>
      <c r="C4652" s="6" t="s">
        <v>11</v>
      </c>
      <c r="D4652" s="6" t="s">
        <v>18</v>
      </c>
      <c r="E4652" s="6">
        <v>4</v>
      </c>
      <c r="F4652" s="6">
        <v>0</v>
      </c>
      <c r="G4652" s="6" t="s">
        <v>10</v>
      </c>
      <c r="H4652" s="6" t="s">
        <v>13</v>
      </c>
      <c r="I4652" s="6">
        <f>TabJogos[[#This Row],[PontosTime1]]-TabJogos[[#This Row],[PontosTime2]]</f>
        <v>4</v>
      </c>
    </row>
    <row r="4653" spans="1:9" ht="15" customHeight="1" x14ac:dyDescent="0.25">
      <c r="A4653" s="7">
        <v>4614</v>
      </c>
      <c r="B4653" s="1">
        <v>43756</v>
      </c>
      <c r="C4653" s="6" t="s">
        <v>11</v>
      </c>
      <c r="D4653" s="6" t="s">
        <v>13</v>
      </c>
      <c r="E4653" s="6">
        <v>2</v>
      </c>
      <c r="F4653" s="6">
        <v>3</v>
      </c>
      <c r="G4653" s="6" t="s">
        <v>10</v>
      </c>
      <c r="H4653" s="6" t="s">
        <v>18</v>
      </c>
      <c r="I4653" s="6">
        <f>TabJogos[[#This Row],[PontosTime1]]-TabJogos[[#This Row],[PontosTime2]]</f>
        <v>-1</v>
      </c>
    </row>
    <row r="4654" spans="1:9" ht="15" customHeight="1" x14ac:dyDescent="0.25">
      <c r="A4654" s="7">
        <v>4615</v>
      </c>
      <c r="B4654" s="1">
        <v>43756</v>
      </c>
      <c r="C4654" s="6" t="s">
        <v>11</v>
      </c>
      <c r="D4654" s="6" t="s">
        <v>10</v>
      </c>
      <c r="E4654" s="6">
        <v>1</v>
      </c>
      <c r="F4654" s="6">
        <v>3</v>
      </c>
      <c r="G4654" s="6" t="s">
        <v>18</v>
      </c>
      <c r="H4654" s="6" t="s">
        <v>13</v>
      </c>
      <c r="I4654" s="6">
        <f>TabJogos[[#This Row],[PontosTime1]]-TabJogos[[#This Row],[PontosTime2]]</f>
        <v>-2</v>
      </c>
    </row>
    <row r="4655" spans="1:9" ht="15" customHeight="1" x14ac:dyDescent="0.25">
      <c r="A4655" s="7">
        <v>4616</v>
      </c>
      <c r="B4655" s="1">
        <v>43759</v>
      </c>
      <c r="C4655" s="6" t="s">
        <v>10</v>
      </c>
      <c r="D4655" s="6" t="s">
        <v>41</v>
      </c>
      <c r="E4655" s="6">
        <v>3</v>
      </c>
      <c r="F4655" s="6">
        <v>1</v>
      </c>
      <c r="G4655" s="6" t="s">
        <v>11</v>
      </c>
      <c r="H4655" s="6" t="s">
        <v>18</v>
      </c>
      <c r="I4655" s="6">
        <f>TabJogos[[#This Row],[PontosTime1]]-TabJogos[[#This Row],[PontosTime2]]</f>
        <v>2</v>
      </c>
    </row>
    <row r="4656" spans="1:9" ht="15" customHeight="1" x14ac:dyDescent="0.25">
      <c r="A4656" s="7">
        <v>4617</v>
      </c>
      <c r="B4656" s="1">
        <v>43759</v>
      </c>
      <c r="C4656" s="6" t="s">
        <v>10</v>
      </c>
      <c r="D4656" s="6" t="s">
        <v>11</v>
      </c>
      <c r="E4656" s="6">
        <v>4</v>
      </c>
      <c r="F4656" s="6">
        <v>0</v>
      </c>
      <c r="G4656" s="6" t="s">
        <v>41</v>
      </c>
      <c r="H4656" s="6" t="s">
        <v>13</v>
      </c>
      <c r="I4656" s="6">
        <f>TabJogos[[#This Row],[PontosTime1]]-TabJogos[[#This Row],[PontosTime2]]</f>
        <v>4</v>
      </c>
    </row>
    <row r="4657" spans="1:9" ht="15" customHeight="1" x14ac:dyDescent="0.25">
      <c r="A4657" s="7">
        <v>4618</v>
      </c>
      <c r="B4657" s="1">
        <v>43759</v>
      </c>
      <c r="C4657" s="6" t="s">
        <v>10</v>
      </c>
      <c r="D4657" s="6" t="s">
        <v>18</v>
      </c>
      <c r="E4657" s="6">
        <v>4</v>
      </c>
      <c r="F4657" s="6">
        <v>1</v>
      </c>
      <c r="G4657" s="6" t="s">
        <v>41</v>
      </c>
      <c r="H4657" s="6" t="s">
        <v>11</v>
      </c>
      <c r="I4657" s="6">
        <f>TabJogos[[#This Row],[PontosTime1]]-TabJogos[[#This Row],[PontosTime2]]</f>
        <v>3</v>
      </c>
    </row>
    <row r="4658" spans="1:9" ht="15" customHeight="1" x14ac:dyDescent="0.25">
      <c r="A4658" s="7">
        <v>4619</v>
      </c>
      <c r="B4658" s="1">
        <v>43759</v>
      </c>
      <c r="C4658" s="6" t="s">
        <v>10</v>
      </c>
      <c r="D4658" s="6" t="s">
        <v>13</v>
      </c>
      <c r="E4658" s="6">
        <v>1</v>
      </c>
      <c r="F4658" s="6">
        <v>3</v>
      </c>
      <c r="G4658" s="6" t="s">
        <v>11</v>
      </c>
      <c r="H4658" s="6" t="s">
        <v>18</v>
      </c>
      <c r="I4658" s="6">
        <f>TabJogos[[#This Row],[PontosTime1]]-TabJogos[[#This Row],[PontosTime2]]</f>
        <v>-2</v>
      </c>
    </row>
    <row r="4659" spans="1:9" ht="15" customHeight="1" x14ac:dyDescent="0.25">
      <c r="A4659" s="7">
        <v>4620</v>
      </c>
      <c r="B4659" s="1">
        <v>43759</v>
      </c>
      <c r="C4659" s="6" t="s">
        <v>11</v>
      </c>
      <c r="D4659" s="6" t="s">
        <v>13</v>
      </c>
      <c r="E4659" s="6">
        <v>3</v>
      </c>
      <c r="F4659" s="6">
        <v>1</v>
      </c>
      <c r="G4659" s="6" t="s">
        <v>18</v>
      </c>
      <c r="H4659" s="6" t="s">
        <v>10</v>
      </c>
      <c r="I4659" s="6">
        <f>TabJogos[[#This Row],[PontosTime1]]-TabJogos[[#This Row],[PontosTime2]]</f>
        <v>2</v>
      </c>
    </row>
    <row r="4660" spans="1:9" ht="15" customHeight="1" x14ac:dyDescent="0.25">
      <c r="A4660" s="7">
        <v>4621</v>
      </c>
      <c r="B4660" s="1">
        <v>43759</v>
      </c>
      <c r="C4660" s="6" t="s">
        <v>13</v>
      </c>
      <c r="D4660" s="6" t="s">
        <v>18</v>
      </c>
      <c r="E4660" s="6">
        <v>4</v>
      </c>
      <c r="F4660" s="6">
        <v>1</v>
      </c>
      <c r="G4660" s="6" t="s">
        <v>11</v>
      </c>
      <c r="H4660" s="6" t="s">
        <v>10</v>
      </c>
      <c r="I4660" s="6">
        <f>TabJogos[[#This Row],[PontosTime1]]-TabJogos[[#This Row],[PontosTime2]]</f>
        <v>3</v>
      </c>
    </row>
    <row r="4661" spans="1:9" ht="15" customHeight="1" x14ac:dyDescent="0.25">
      <c r="A4661" s="7">
        <v>4622</v>
      </c>
      <c r="B4661" s="1">
        <v>43759</v>
      </c>
      <c r="C4661" s="6" t="s">
        <v>10</v>
      </c>
      <c r="D4661" s="6" t="s">
        <v>13</v>
      </c>
      <c r="E4661" s="6">
        <v>3</v>
      </c>
      <c r="F4661" s="6">
        <v>2</v>
      </c>
      <c r="G4661" s="6" t="s">
        <v>11</v>
      </c>
      <c r="H4661" s="6" t="s">
        <v>18</v>
      </c>
      <c r="I4661" s="6">
        <f>TabJogos[[#This Row],[PontosTime1]]-TabJogos[[#This Row],[PontosTime2]]</f>
        <v>1</v>
      </c>
    </row>
    <row r="4662" spans="1:9" ht="15" customHeight="1" x14ac:dyDescent="0.25">
      <c r="A4662" s="7">
        <v>4623</v>
      </c>
      <c r="B4662" s="1">
        <v>43759</v>
      </c>
      <c r="C4662" s="6" t="s">
        <v>10</v>
      </c>
      <c r="D4662" s="6" t="s">
        <v>17</v>
      </c>
      <c r="E4662" s="6">
        <v>4</v>
      </c>
      <c r="F4662" s="6">
        <v>2</v>
      </c>
      <c r="G4662" s="6" t="s">
        <v>18</v>
      </c>
      <c r="H4662" s="6" t="s">
        <v>13</v>
      </c>
      <c r="I4662" s="6">
        <f>TabJogos[[#This Row],[PontosTime1]]-TabJogos[[#This Row],[PontosTime2]]</f>
        <v>2</v>
      </c>
    </row>
    <row r="4663" spans="1:9" ht="15" customHeight="1" x14ac:dyDescent="0.25">
      <c r="A4663" s="7">
        <v>4624</v>
      </c>
      <c r="B4663" s="1">
        <v>43759</v>
      </c>
      <c r="C4663" s="6" t="s">
        <v>11</v>
      </c>
      <c r="D4663" s="6" t="s">
        <v>17</v>
      </c>
      <c r="E4663" s="6">
        <v>3</v>
      </c>
      <c r="F4663" s="6">
        <v>2</v>
      </c>
      <c r="G4663" s="6" t="s">
        <v>9</v>
      </c>
      <c r="H4663" s="6" t="s">
        <v>18</v>
      </c>
      <c r="I4663" s="6">
        <f>TabJogos[[#This Row],[PontosTime1]]-TabJogos[[#This Row],[PontosTime2]]</f>
        <v>1</v>
      </c>
    </row>
    <row r="4664" spans="1:9" ht="15" customHeight="1" x14ac:dyDescent="0.25">
      <c r="A4664" s="7">
        <v>4625</v>
      </c>
      <c r="B4664" s="1">
        <v>43759</v>
      </c>
      <c r="C4664" s="6" t="s">
        <v>11</v>
      </c>
      <c r="D4664" s="6" t="s">
        <v>13</v>
      </c>
      <c r="E4664" s="6">
        <v>3</v>
      </c>
      <c r="F4664" s="6">
        <v>2</v>
      </c>
      <c r="G4664" s="6" t="s">
        <v>18</v>
      </c>
      <c r="H4664" s="6" t="s">
        <v>17</v>
      </c>
      <c r="I4664" s="6">
        <f>TabJogos[[#This Row],[PontosTime1]]-TabJogos[[#This Row],[PontosTime2]]</f>
        <v>1</v>
      </c>
    </row>
    <row r="4665" spans="1:9" ht="15" customHeight="1" x14ac:dyDescent="0.25">
      <c r="A4665" s="7">
        <v>4626</v>
      </c>
      <c r="B4665" s="1">
        <v>43759</v>
      </c>
      <c r="C4665" s="6" t="s">
        <v>11</v>
      </c>
      <c r="D4665" s="6" t="s">
        <v>18</v>
      </c>
      <c r="E4665" s="6">
        <v>4</v>
      </c>
      <c r="F4665" s="6">
        <v>0</v>
      </c>
      <c r="G4665" s="6" t="s">
        <v>9</v>
      </c>
      <c r="H4665" s="6" t="s">
        <v>13</v>
      </c>
      <c r="I4665" s="6">
        <f>TabJogos[[#This Row],[PontosTime1]]-TabJogos[[#This Row],[PontosTime2]]</f>
        <v>4</v>
      </c>
    </row>
    <row r="4666" spans="1:9" ht="15" customHeight="1" x14ac:dyDescent="0.25">
      <c r="A4666" s="7">
        <v>4627</v>
      </c>
      <c r="B4666" s="1">
        <v>43759</v>
      </c>
      <c r="C4666" s="6" t="s">
        <v>11</v>
      </c>
      <c r="D4666" s="6" t="s">
        <v>9</v>
      </c>
      <c r="E4666" s="6">
        <v>5</v>
      </c>
      <c r="F4666" s="6">
        <v>1</v>
      </c>
      <c r="G4666" s="6" t="s">
        <v>17</v>
      </c>
      <c r="H4666" s="6" t="s">
        <v>18</v>
      </c>
      <c r="I4666" s="6">
        <f>TabJogos[[#This Row],[PontosTime1]]-TabJogos[[#This Row],[PontosTime2]]</f>
        <v>4</v>
      </c>
    </row>
    <row r="4667" spans="1:9" ht="15" customHeight="1" x14ac:dyDescent="0.25">
      <c r="A4667" s="7">
        <v>4628</v>
      </c>
      <c r="B4667" s="1">
        <v>43759</v>
      </c>
      <c r="C4667" s="6" t="s">
        <v>11</v>
      </c>
      <c r="D4667" s="6" t="s">
        <v>13</v>
      </c>
      <c r="E4667" s="6">
        <v>0</v>
      </c>
      <c r="F4667" s="6">
        <v>4</v>
      </c>
      <c r="G4667" s="6" t="s">
        <v>18</v>
      </c>
      <c r="H4667" s="6" t="s">
        <v>9</v>
      </c>
      <c r="I4667" s="6">
        <f>TabJogos[[#This Row],[PontosTime1]]-TabJogos[[#This Row],[PontosTime2]]</f>
        <v>-4</v>
      </c>
    </row>
    <row r="4668" spans="1:9" ht="15" customHeight="1" x14ac:dyDescent="0.25">
      <c r="A4668" s="7">
        <v>4629</v>
      </c>
      <c r="B4668" s="1">
        <v>43759</v>
      </c>
      <c r="C4668" s="6" t="s">
        <v>11</v>
      </c>
      <c r="D4668" s="6" t="s">
        <v>18</v>
      </c>
      <c r="E4668" s="6">
        <v>1</v>
      </c>
      <c r="F4668" s="6">
        <v>3</v>
      </c>
      <c r="G4668" s="6" t="s">
        <v>13</v>
      </c>
      <c r="H4668" s="6" t="s">
        <v>9</v>
      </c>
      <c r="I4668" s="6">
        <f>TabJogos[[#This Row],[PontosTime1]]-TabJogos[[#This Row],[PontosTime2]]</f>
        <v>-2</v>
      </c>
    </row>
    <row r="4669" spans="1:9" ht="15" customHeight="1" x14ac:dyDescent="0.25">
      <c r="A4669" s="7">
        <v>4630</v>
      </c>
      <c r="B4669" s="1">
        <v>43759</v>
      </c>
      <c r="C4669" s="6" t="s">
        <v>9</v>
      </c>
      <c r="D4669" s="6" t="s">
        <v>11</v>
      </c>
      <c r="E4669" s="6">
        <v>1</v>
      </c>
      <c r="F4669" s="6">
        <v>3</v>
      </c>
      <c r="G4669" s="6" t="s">
        <v>13</v>
      </c>
      <c r="H4669" s="6" t="s">
        <v>18</v>
      </c>
      <c r="I4669" s="6">
        <f>TabJogos[[#This Row],[PontosTime1]]-TabJogos[[#This Row],[PontosTime2]]</f>
        <v>-2</v>
      </c>
    </row>
    <row r="4670" spans="1:9" ht="15" customHeight="1" x14ac:dyDescent="0.25">
      <c r="A4670" s="7">
        <v>4631</v>
      </c>
      <c r="B4670" s="1">
        <v>43759</v>
      </c>
      <c r="C4670" s="6" t="s">
        <v>9</v>
      </c>
      <c r="D4670" s="6" t="s">
        <v>18</v>
      </c>
      <c r="E4670" s="6">
        <v>1</v>
      </c>
      <c r="F4670" s="6">
        <v>3</v>
      </c>
      <c r="G4670" s="6" t="s">
        <v>13</v>
      </c>
      <c r="H4670" s="6" t="s">
        <v>11</v>
      </c>
      <c r="I4670" s="6">
        <f>TabJogos[[#This Row],[PontosTime1]]-TabJogos[[#This Row],[PontosTime2]]</f>
        <v>-2</v>
      </c>
    </row>
    <row r="4671" spans="1:9" ht="15" customHeight="1" x14ac:dyDescent="0.25">
      <c r="A4671" s="7">
        <v>4632</v>
      </c>
      <c r="B4671" s="1">
        <v>43759</v>
      </c>
      <c r="C4671" s="6" t="s">
        <v>9</v>
      </c>
      <c r="D4671" s="6" t="s">
        <v>13</v>
      </c>
      <c r="E4671" s="6">
        <v>3</v>
      </c>
      <c r="F4671" s="6">
        <v>0</v>
      </c>
      <c r="G4671" s="6" t="s">
        <v>11</v>
      </c>
      <c r="H4671" s="6" t="s">
        <v>18</v>
      </c>
      <c r="I4671" s="6">
        <f>TabJogos[[#This Row],[PontosTime1]]-TabJogos[[#This Row],[PontosTime2]]</f>
        <v>3</v>
      </c>
    </row>
    <row r="4672" spans="1:9" ht="15" customHeight="1" x14ac:dyDescent="0.25">
      <c r="A4672" s="7">
        <v>4633</v>
      </c>
      <c r="B4672" s="1">
        <v>43759</v>
      </c>
      <c r="C4672" s="6" t="s">
        <v>11</v>
      </c>
      <c r="D4672" s="6" t="s">
        <v>9</v>
      </c>
      <c r="E4672" s="6">
        <v>4</v>
      </c>
      <c r="F4672" s="6">
        <v>2</v>
      </c>
      <c r="G4672" s="6" t="s">
        <v>13</v>
      </c>
      <c r="H4672" s="6" t="s">
        <v>18</v>
      </c>
      <c r="I4672" s="6">
        <f>TabJogos[[#This Row],[PontosTime1]]-TabJogos[[#This Row],[PontosTime2]]</f>
        <v>2</v>
      </c>
    </row>
    <row r="4673" spans="1:9" ht="15" customHeight="1" x14ac:dyDescent="0.25">
      <c r="A4673" s="7">
        <v>4634</v>
      </c>
      <c r="B4673" s="1">
        <v>43759</v>
      </c>
      <c r="C4673" s="6" t="s">
        <v>11</v>
      </c>
      <c r="D4673" s="6" t="s">
        <v>13</v>
      </c>
      <c r="E4673" s="6">
        <v>3</v>
      </c>
      <c r="F4673" s="6">
        <v>0</v>
      </c>
      <c r="G4673" s="6" t="s">
        <v>18</v>
      </c>
      <c r="H4673" s="6" t="s">
        <v>9</v>
      </c>
      <c r="I4673" s="6">
        <f>TabJogos[[#This Row],[PontosTime1]]-TabJogos[[#This Row],[PontosTime2]]</f>
        <v>3</v>
      </c>
    </row>
    <row r="4674" spans="1:9" ht="15" customHeight="1" x14ac:dyDescent="0.25">
      <c r="A4674" s="7">
        <v>4635</v>
      </c>
      <c r="B4674" s="1">
        <v>43760</v>
      </c>
      <c r="C4674" s="6" t="s">
        <v>18</v>
      </c>
      <c r="D4674" s="6" t="s">
        <v>11</v>
      </c>
      <c r="E4674" s="6">
        <v>3</v>
      </c>
      <c r="F4674" s="6">
        <v>2</v>
      </c>
      <c r="G4674" s="6" t="s">
        <v>13</v>
      </c>
      <c r="H4674" s="6" t="s">
        <v>10</v>
      </c>
      <c r="I4674" s="6">
        <f>TabJogos[[#This Row],[PontosTime1]]-TabJogos[[#This Row],[PontosTime2]]</f>
        <v>1</v>
      </c>
    </row>
    <row r="4675" spans="1:9" ht="15" customHeight="1" x14ac:dyDescent="0.25">
      <c r="A4675" s="7">
        <v>4636</v>
      </c>
      <c r="B4675" s="1">
        <v>43760</v>
      </c>
      <c r="C4675" s="6" t="s">
        <v>11</v>
      </c>
      <c r="D4675" s="6" t="s">
        <v>13</v>
      </c>
      <c r="E4675" s="6">
        <v>3</v>
      </c>
      <c r="F4675" s="6">
        <v>0</v>
      </c>
      <c r="G4675" s="6" t="s">
        <v>10</v>
      </c>
      <c r="H4675" s="6" t="s">
        <v>18</v>
      </c>
      <c r="I4675" s="6">
        <f>TabJogos[[#This Row],[PontosTime1]]-TabJogos[[#This Row],[PontosTime2]]</f>
        <v>3</v>
      </c>
    </row>
    <row r="4676" spans="1:9" ht="15" customHeight="1" x14ac:dyDescent="0.25">
      <c r="A4676" s="7">
        <v>4637</v>
      </c>
      <c r="B4676" s="1">
        <v>43760</v>
      </c>
      <c r="C4676" s="6" t="s">
        <v>13</v>
      </c>
      <c r="D4676" s="6" t="s">
        <v>18</v>
      </c>
      <c r="E4676" s="6">
        <v>6</v>
      </c>
      <c r="F4676" s="6">
        <v>0</v>
      </c>
      <c r="G4676" s="6" t="s">
        <v>10</v>
      </c>
      <c r="H4676" s="6" t="s">
        <v>11</v>
      </c>
      <c r="I4676" s="6">
        <f>TabJogos[[#This Row],[PontosTime1]]-TabJogos[[#This Row],[PontosTime2]]</f>
        <v>6</v>
      </c>
    </row>
    <row r="4677" spans="1:9" ht="15" customHeight="1" x14ac:dyDescent="0.25">
      <c r="A4677" s="7">
        <v>4638</v>
      </c>
      <c r="B4677" s="1">
        <v>43760</v>
      </c>
      <c r="C4677" s="6" t="s">
        <v>13</v>
      </c>
      <c r="D4677" s="6" t="s">
        <v>10</v>
      </c>
      <c r="E4677" s="6">
        <v>3</v>
      </c>
      <c r="F4677" s="6">
        <v>2</v>
      </c>
      <c r="G4677" s="6" t="s">
        <v>11</v>
      </c>
      <c r="H4677" s="6" t="s">
        <v>18</v>
      </c>
      <c r="I4677" s="6">
        <f>TabJogos[[#This Row],[PontosTime1]]-TabJogos[[#This Row],[PontosTime2]]</f>
        <v>1</v>
      </c>
    </row>
    <row r="4678" spans="1:9" ht="15" customHeight="1" x14ac:dyDescent="0.25">
      <c r="A4678" s="7">
        <v>4639</v>
      </c>
      <c r="B4678" s="1">
        <v>43760</v>
      </c>
      <c r="C4678" s="6" t="s">
        <v>18</v>
      </c>
      <c r="D4678" s="6" t="s">
        <v>10</v>
      </c>
      <c r="E4678" s="6">
        <v>3</v>
      </c>
      <c r="F4678" s="6">
        <v>2</v>
      </c>
      <c r="G4678" s="6" t="s">
        <v>11</v>
      </c>
      <c r="H4678" s="6" t="s">
        <v>13</v>
      </c>
      <c r="I4678" s="6">
        <f>TabJogos[[#This Row],[PontosTime1]]-TabJogos[[#This Row],[PontosTime2]]</f>
        <v>1</v>
      </c>
    </row>
    <row r="4679" spans="1:9" ht="15" customHeight="1" x14ac:dyDescent="0.25">
      <c r="A4679" s="7">
        <v>4640</v>
      </c>
      <c r="B4679" s="1">
        <v>43760</v>
      </c>
      <c r="C4679" s="6" t="s">
        <v>11</v>
      </c>
      <c r="D4679" s="6" t="s">
        <v>10</v>
      </c>
      <c r="E4679" s="6">
        <v>4</v>
      </c>
      <c r="F4679" s="6">
        <v>0</v>
      </c>
      <c r="G4679" s="6" t="s">
        <v>18</v>
      </c>
      <c r="H4679" s="6" t="s">
        <v>13</v>
      </c>
      <c r="I4679" s="6">
        <f>TabJogos[[#This Row],[PontosTime1]]-TabJogos[[#This Row],[PontosTime2]]</f>
        <v>4</v>
      </c>
    </row>
    <row r="4680" spans="1:9" ht="15" customHeight="1" x14ac:dyDescent="0.25">
      <c r="A4680" s="7">
        <v>4641</v>
      </c>
      <c r="B4680" s="1">
        <v>43760</v>
      </c>
      <c r="C4680" s="6" t="s">
        <v>13</v>
      </c>
      <c r="D4680" s="6" t="s">
        <v>10</v>
      </c>
      <c r="E4680" s="6">
        <v>2</v>
      </c>
      <c r="F4680" s="6">
        <v>3</v>
      </c>
      <c r="G4680" s="6" t="s">
        <v>18</v>
      </c>
      <c r="H4680" s="6" t="s">
        <v>11</v>
      </c>
      <c r="I4680" s="6">
        <f>TabJogos[[#This Row],[PontosTime1]]-TabJogos[[#This Row],[PontosTime2]]</f>
        <v>-1</v>
      </c>
    </row>
    <row r="4681" spans="1:9" ht="15" customHeight="1" x14ac:dyDescent="0.25">
      <c r="A4681" s="7">
        <v>4642</v>
      </c>
      <c r="B4681" s="1">
        <v>43760</v>
      </c>
      <c r="C4681" s="6" t="s">
        <v>13</v>
      </c>
      <c r="D4681" s="6" t="s">
        <v>18</v>
      </c>
      <c r="E4681" s="6">
        <v>2</v>
      </c>
      <c r="F4681" s="6">
        <v>3</v>
      </c>
      <c r="G4681" s="6" t="s">
        <v>17</v>
      </c>
      <c r="H4681" s="6" t="s">
        <v>11</v>
      </c>
      <c r="I4681" s="6">
        <f>TabJogos[[#This Row],[PontosTime1]]-TabJogos[[#This Row],[PontosTime2]]</f>
        <v>-1</v>
      </c>
    </row>
    <row r="4682" spans="1:9" ht="15" customHeight="1" x14ac:dyDescent="0.25">
      <c r="A4682" s="7">
        <v>4643</v>
      </c>
      <c r="B4682" s="1">
        <v>43760</v>
      </c>
      <c r="C4682" s="6" t="s">
        <v>11</v>
      </c>
      <c r="D4682" s="6" t="s">
        <v>18</v>
      </c>
      <c r="E4682" s="6">
        <v>3</v>
      </c>
      <c r="F4682" s="6">
        <v>2</v>
      </c>
      <c r="G4682" s="6" t="s">
        <v>13</v>
      </c>
      <c r="H4682" s="6" t="s">
        <v>17</v>
      </c>
      <c r="I4682" s="6">
        <f>TabJogos[[#This Row],[PontosTime1]]-TabJogos[[#This Row],[PontosTime2]]</f>
        <v>1</v>
      </c>
    </row>
    <row r="4683" spans="1:9" ht="15" customHeight="1" x14ac:dyDescent="0.25">
      <c r="A4683" s="7">
        <v>4644</v>
      </c>
      <c r="B4683" s="1">
        <v>43760</v>
      </c>
      <c r="C4683" s="6" t="s">
        <v>11</v>
      </c>
      <c r="D4683" s="6" t="s">
        <v>13</v>
      </c>
      <c r="E4683" s="6">
        <v>1</v>
      </c>
      <c r="F4683" s="6">
        <v>3</v>
      </c>
      <c r="G4683" s="6" t="s">
        <v>17</v>
      </c>
      <c r="H4683" s="6" t="s">
        <v>18</v>
      </c>
      <c r="I4683" s="6">
        <f>TabJogos[[#This Row],[PontosTime1]]-TabJogos[[#This Row],[PontosTime2]]</f>
        <v>-2</v>
      </c>
    </row>
    <row r="4684" spans="1:9" ht="15" customHeight="1" x14ac:dyDescent="0.25">
      <c r="A4684" s="7">
        <v>4645</v>
      </c>
      <c r="B4684" s="1">
        <v>43760</v>
      </c>
      <c r="C4684" s="6" t="s">
        <v>11</v>
      </c>
      <c r="D4684" s="6" t="s">
        <v>17</v>
      </c>
      <c r="E4684" s="6">
        <v>3</v>
      </c>
      <c r="F4684" s="6">
        <v>0</v>
      </c>
      <c r="G4684" s="6" t="s">
        <v>13</v>
      </c>
      <c r="H4684" s="6" t="s">
        <v>18</v>
      </c>
      <c r="I4684" s="6">
        <f>TabJogos[[#This Row],[PontosTime1]]-TabJogos[[#This Row],[PontosTime2]]</f>
        <v>3</v>
      </c>
    </row>
    <row r="4685" spans="1:9" ht="15" customHeight="1" x14ac:dyDescent="0.25">
      <c r="A4685" s="7">
        <v>4646</v>
      </c>
      <c r="B4685" s="1">
        <v>43760</v>
      </c>
      <c r="C4685" s="6" t="s">
        <v>11</v>
      </c>
      <c r="D4685" s="6" t="s">
        <v>18</v>
      </c>
      <c r="E4685" s="6">
        <v>1</v>
      </c>
      <c r="F4685" s="6">
        <v>3</v>
      </c>
      <c r="G4685" s="6" t="s">
        <v>17</v>
      </c>
      <c r="H4685" s="6" t="s">
        <v>13</v>
      </c>
      <c r="I4685" s="6">
        <f>TabJogos[[#This Row],[PontosTime1]]-TabJogos[[#This Row],[PontosTime2]]</f>
        <v>-2</v>
      </c>
    </row>
    <row r="4686" spans="1:9" ht="15" customHeight="1" x14ac:dyDescent="0.25">
      <c r="A4686" s="7">
        <v>4647</v>
      </c>
      <c r="B4686" s="1">
        <v>43760</v>
      </c>
      <c r="C4686" s="6" t="s">
        <v>11</v>
      </c>
      <c r="D4686" s="6" t="s">
        <v>13</v>
      </c>
      <c r="E4686" s="6">
        <v>0</v>
      </c>
      <c r="F4686" s="6">
        <v>3</v>
      </c>
      <c r="G4686" s="6" t="s">
        <v>17</v>
      </c>
      <c r="H4686" s="6" t="s">
        <v>18</v>
      </c>
      <c r="I4686" s="6">
        <f>TabJogos[[#This Row],[PontosTime1]]-TabJogos[[#This Row],[PontosTime2]]</f>
        <v>-3</v>
      </c>
    </row>
    <row r="4687" spans="1:9" ht="15" customHeight="1" x14ac:dyDescent="0.25">
      <c r="A4687" s="7">
        <v>4648</v>
      </c>
      <c r="B4687" s="1">
        <v>43761</v>
      </c>
      <c r="C4687" s="6" t="s">
        <v>13</v>
      </c>
      <c r="D4687" s="6" t="s">
        <v>10</v>
      </c>
      <c r="E4687" s="6">
        <v>2</v>
      </c>
      <c r="F4687" s="6">
        <v>5</v>
      </c>
      <c r="G4687" s="6" t="s">
        <v>17</v>
      </c>
      <c r="H4687" s="6" t="s">
        <v>11</v>
      </c>
      <c r="I4687" s="6">
        <f>TabJogos[[#This Row],[PontosTime1]]-TabJogos[[#This Row],[PontosTime2]]</f>
        <v>-3</v>
      </c>
    </row>
    <row r="4688" spans="1:9" ht="15" customHeight="1" x14ac:dyDescent="0.25">
      <c r="A4688" s="7">
        <v>4649</v>
      </c>
      <c r="B4688" s="1">
        <v>43761</v>
      </c>
      <c r="C4688" s="6" t="s">
        <v>10</v>
      </c>
      <c r="D4688" s="6" t="s">
        <v>11</v>
      </c>
      <c r="E4688" s="6">
        <v>3</v>
      </c>
      <c r="F4688" s="6">
        <v>1</v>
      </c>
      <c r="G4688" s="6" t="s">
        <v>13</v>
      </c>
      <c r="H4688" s="6" t="s">
        <v>17</v>
      </c>
      <c r="I4688" s="6">
        <f>TabJogos[[#This Row],[PontosTime1]]-TabJogos[[#This Row],[PontosTime2]]</f>
        <v>2</v>
      </c>
    </row>
    <row r="4689" spans="1:9" ht="15" customHeight="1" x14ac:dyDescent="0.25">
      <c r="A4689" s="7">
        <v>4650</v>
      </c>
      <c r="B4689" s="1">
        <v>43761</v>
      </c>
      <c r="C4689" s="6" t="s">
        <v>13</v>
      </c>
      <c r="D4689" s="6" t="s">
        <v>11</v>
      </c>
      <c r="E4689" s="6">
        <v>3</v>
      </c>
      <c r="F4689" s="6">
        <v>2</v>
      </c>
      <c r="G4689" s="6" t="s">
        <v>17</v>
      </c>
      <c r="H4689" s="6" t="s">
        <v>10</v>
      </c>
      <c r="I4689" s="6">
        <f>TabJogos[[#This Row],[PontosTime1]]-TabJogos[[#This Row],[PontosTime2]]</f>
        <v>1</v>
      </c>
    </row>
    <row r="4690" spans="1:9" ht="15" customHeight="1" x14ac:dyDescent="0.25">
      <c r="A4690" s="7">
        <v>4651</v>
      </c>
      <c r="B4690" s="1">
        <v>43761</v>
      </c>
      <c r="C4690" s="6" t="s">
        <v>13</v>
      </c>
      <c r="D4690" s="6" t="s">
        <v>10</v>
      </c>
      <c r="E4690" s="6">
        <v>3</v>
      </c>
      <c r="F4690" s="6">
        <v>1</v>
      </c>
      <c r="G4690" s="6" t="s">
        <v>17</v>
      </c>
      <c r="H4690" s="6" t="s">
        <v>11</v>
      </c>
      <c r="I4690" s="6">
        <f>TabJogos[[#This Row],[PontosTime1]]-TabJogos[[#This Row],[PontosTime2]]</f>
        <v>2</v>
      </c>
    </row>
    <row r="4691" spans="1:9" ht="15" customHeight="1" x14ac:dyDescent="0.25">
      <c r="A4691" s="7">
        <v>4652</v>
      </c>
      <c r="B4691" s="1">
        <v>43761</v>
      </c>
      <c r="C4691" s="6" t="s">
        <v>11</v>
      </c>
      <c r="D4691" s="6" t="s">
        <v>10</v>
      </c>
      <c r="E4691" s="6">
        <v>3</v>
      </c>
      <c r="F4691" s="6">
        <v>0</v>
      </c>
      <c r="G4691" s="6" t="s">
        <v>13</v>
      </c>
      <c r="H4691" s="6" t="s">
        <v>17</v>
      </c>
      <c r="I4691" s="6">
        <f>TabJogos[[#This Row],[PontosTime1]]-TabJogos[[#This Row],[PontosTime2]]</f>
        <v>3</v>
      </c>
    </row>
    <row r="4692" spans="1:9" ht="15" customHeight="1" x14ac:dyDescent="0.25">
      <c r="A4692" s="7">
        <v>4653</v>
      </c>
      <c r="B4692" s="1">
        <v>43761</v>
      </c>
      <c r="C4692" s="6" t="s">
        <v>11</v>
      </c>
      <c r="D4692" s="6" t="s">
        <v>13</v>
      </c>
      <c r="E4692" s="6">
        <v>1</v>
      </c>
      <c r="F4692" s="6">
        <v>3</v>
      </c>
      <c r="G4692" s="6" t="s">
        <v>17</v>
      </c>
      <c r="H4692" s="6" t="s">
        <v>10</v>
      </c>
      <c r="I4692" s="6">
        <f>TabJogos[[#This Row],[PontosTime1]]-TabJogos[[#This Row],[PontosTime2]]</f>
        <v>-2</v>
      </c>
    </row>
    <row r="4693" spans="1:9" ht="15" customHeight="1" x14ac:dyDescent="0.25">
      <c r="A4693" s="7">
        <v>4654</v>
      </c>
      <c r="B4693" s="1">
        <v>43761</v>
      </c>
      <c r="C4693" s="6" t="s">
        <v>10</v>
      </c>
      <c r="D4693" s="6" t="s">
        <v>13</v>
      </c>
      <c r="E4693" s="6">
        <v>1</v>
      </c>
      <c r="F4693" s="6">
        <v>3</v>
      </c>
      <c r="G4693" s="6" t="s">
        <v>11</v>
      </c>
      <c r="H4693" s="6" t="s">
        <v>17</v>
      </c>
      <c r="I4693" s="6">
        <f>TabJogos[[#This Row],[PontosTime1]]-TabJogos[[#This Row],[PontosTime2]]</f>
        <v>-2</v>
      </c>
    </row>
    <row r="4694" spans="1:9" ht="15" customHeight="1" x14ac:dyDescent="0.25">
      <c r="A4694" s="7">
        <v>4655</v>
      </c>
      <c r="B4694" s="1">
        <v>43761</v>
      </c>
      <c r="C4694" s="6" t="s">
        <v>11</v>
      </c>
      <c r="D4694" s="6" t="s">
        <v>10</v>
      </c>
      <c r="E4694" s="6">
        <v>3</v>
      </c>
      <c r="F4694" s="6">
        <v>2</v>
      </c>
      <c r="G4694" s="6" t="s">
        <v>13</v>
      </c>
      <c r="H4694" s="6" t="s">
        <v>17</v>
      </c>
      <c r="I4694" s="6">
        <f>TabJogos[[#This Row],[PontosTime1]]-TabJogos[[#This Row],[PontosTime2]]</f>
        <v>1</v>
      </c>
    </row>
    <row r="4695" spans="1:9" ht="15" customHeight="1" x14ac:dyDescent="0.25">
      <c r="A4695" s="7">
        <v>4656</v>
      </c>
      <c r="B4695" s="1">
        <v>43761</v>
      </c>
      <c r="C4695" s="6" t="s">
        <v>11</v>
      </c>
      <c r="D4695" s="6" t="s">
        <v>13</v>
      </c>
      <c r="E4695" s="6">
        <v>6</v>
      </c>
      <c r="F4695" s="6">
        <v>1</v>
      </c>
      <c r="G4695" s="6" t="s">
        <v>18</v>
      </c>
      <c r="H4695" s="6" t="s">
        <v>17</v>
      </c>
      <c r="I4695" s="6">
        <f>TabJogos[[#This Row],[PontosTime1]]-TabJogos[[#This Row],[PontosTime2]]</f>
        <v>5</v>
      </c>
    </row>
    <row r="4696" spans="1:9" ht="15" customHeight="1" x14ac:dyDescent="0.25">
      <c r="A4696" s="7">
        <v>4657</v>
      </c>
      <c r="B4696" s="1">
        <v>43761</v>
      </c>
      <c r="C4696" s="6" t="s">
        <v>11</v>
      </c>
      <c r="D4696" s="6" t="s">
        <v>17</v>
      </c>
      <c r="E4696" s="6">
        <v>3</v>
      </c>
      <c r="F4696" s="6">
        <v>2</v>
      </c>
      <c r="G4696" s="6" t="s">
        <v>18</v>
      </c>
      <c r="H4696" s="6" t="s">
        <v>13</v>
      </c>
      <c r="I4696" s="6">
        <f>TabJogos[[#This Row],[PontosTime1]]-TabJogos[[#This Row],[PontosTime2]]</f>
        <v>1</v>
      </c>
    </row>
    <row r="4697" spans="1:9" ht="15" customHeight="1" x14ac:dyDescent="0.25">
      <c r="A4697" s="7">
        <v>4658</v>
      </c>
      <c r="B4697" s="1">
        <v>43761</v>
      </c>
      <c r="C4697" s="6" t="s">
        <v>11</v>
      </c>
      <c r="D4697" s="6" t="s">
        <v>18</v>
      </c>
      <c r="E4697" s="6">
        <v>2</v>
      </c>
      <c r="F4697" s="6">
        <v>4</v>
      </c>
      <c r="G4697" s="6" t="s">
        <v>17</v>
      </c>
      <c r="H4697" s="6" t="s">
        <v>13</v>
      </c>
      <c r="I4697" s="6">
        <f>TabJogos[[#This Row],[PontosTime1]]-TabJogos[[#This Row],[PontosTime2]]</f>
        <v>-2</v>
      </c>
    </row>
    <row r="4698" spans="1:9" ht="15" customHeight="1" x14ac:dyDescent="0.25">
      <c r="A4698" s="7">
        <v>4659</v>
      </c>
      <c r="B4698" s="1">
        <v>43767</v>
      </c>
      <c r="C4698" s="6" t="s">
        <v>11</v>
      </c>
      <c r="D4698" s="6" t="s">
        <v>12</v>
      </c>
      <c r="E4698" s="6">
        <v>4</v>
      </c>
      <c r="F4698" s="6">
        <v>1</v>
      </c>
      <c r="G4698" s="6" t="s">
        <v>13</v>
      </c>
      <c r="H4698" s="6" t="s">
        <v>18</v>
      </c>
      <c r="I4698" s="6">
        <f>TabJogos[[#This Row],[PontosTime1]]-TabJogos[[#This Row],[PontosTime2]]</f>
        <v>3</v>
      </c>
    </row>
    <row r="4699" spans="1:9" ht="15" customHeight="1" x14ac:dyDescent="0.25">
      <c r="A4699" s="7">
        <v>4660</v>
      </c>
      <c r="B4699" s="1">
        <v>43767</v>
      </c>
      <c r="C4699" s="6" t="s">
        <v>11</v>
      </c>
      <c r="D4699" s="6" t="s">
        <v>18</v>
      </c>
      <c r="E4699" s="6">
        <v>3</v>
      </c>
      <c r="F4699" s="6">
        <v>1</v>
      </c>
      <c r="G4699" s="6" t="s">
        <v>12</v>
      </c>
      <c r="H4699" s="6" t="s">
        <v>13</v>
      </c>
      <c r="I4699" s="6">
        <f>TabJogos[[#This Row],[PontosTime1]]-TabJogos[[#This Row],[PontosTime2]]</f>
        <v>2</v>
      </c>
    </row>
    <row r="4700" spans="1:9" ht="15" customHeight="1" x14ac:dyDescent="0.25">
      <c r="A4700" s="7">
        <v>4661</v>
      </c>
      <c r="B4700" s="1">
        <v>43767</v>
      </c>
      <c r="C4700" s="6" t="s">
        <v>12</v>
      </c>
      <c r="D4700" s="6" t="s">
        <v>18</v>
      </c>
      <c r="E4700" s="6">
        <v>4</v>
      </c>
      <c r="F4700" s="6">
        <v>2</v>
      </c>
      <c r="G4700" s="6" t="s">
        <v>13</v>
      </c>
      <c r="H4700" s="6" t="s">
        <v>11</v>
      </c>
      <c r="I4700" s="6">
        <f>TabJogos[[#This Row],[PontosTime1]]-TabJogos[[#This Row],[PontosTime2]]</f>
        <v>2</v>
      </c>
    </row>
    <row r="4701" spans="1:9" ht="15" customHeight="1" x14ac:dyDescent="0.25">
      <c r="A4701" s="7">
        <v>4662</v>
      </c>
      <c r="B4701" s="1">
        <v>43767</v>
      </c>
      <c r="C4701" s="6" t="s">
        <v>18</v>
      </c>
      <c r="D4701" s="6" t="s">
        <v>13</v>
      </c>
      <c r="E4701" s="6">
        <v>4</v>
      </c>
      <c r="F4701" s="6">
        <v>0</v>
      </c>
      <c r="G4701" s="6" t="s">
        <v>11</v>
      </c>
      <c r="H4701" s="6" t="s">
        <v>12</v>
      </c>
      <c r="I4701" s="6">
        <f>TabJogos[[#This Row],[PontosTime1]]-TabJogos[[#This Row],[PontosTime2]]</f>
        <v>4</v>
      </c>
    </row>
    <row r="4702" spans="1:9" ht="15" customHeight="1" x14ac:dyDescent="0.25">
      <c r="A4702" s="7">
        <v>4663</v>
      </c>
      <c r="B4702" s="1">
        <v>43767</v>
      </c>
      <c r="C4702" s="6" t="s">
        <v>11</v>
      </c>
      <c r="D4702" s="6" t="s">
        <v>18</v>
      </c>
      <c r="E4702" s="6">
        <v>1</v>
      </c>
      <c r="F4702" s="6">
        <v>3</v>
      </c>
      <c r="G4702" s="6" t="s">
        <v>32</v>
      </c>
      <c r="H4702" s="6" t="s">
        <v>13</v>
      </c>
      <c r="I4702" s="6">
        <f>TabJogos[[#This Row],[PontosTime1]]-TabJogos[[#This Row],[PontosTime2]]</f>
        <v>-2</v>
      </c>
    </row>
    <row r="4703" spans="1:9" ht="15" customHeight="1" x14ac:dyDescent="0.25">
      <c r="A4703" s="7">
        <v>4664</v>
      </c>
      <c r="B4703" s="1">
        <v>43767</v>
      </c>
      <c r="C4703" s="6" t="s">
        <v>11</v>
      </c>
      <c r="D4703" s="6" t="s">
        <v>13</v>
      </c>
      <c r="E4703" s="6">
        <v>1</v>
      </c>
      <c r="F4703" s="6">
        <v>4</v>
      </c>
      <c r="G4703" s="6" t="s">
        <v>18</v>
      </c>
      <c r="H4703" s="6" t="s">
        <v>32</v>
      </c>
      <c r="I4703" s="6">
        <f>TabJogos[[#This Row],[PontosTime1]]-TabJogos[[#This Row],[PontosTime2]]</f>
        <v>-3</v>
      </c>
    </row>
    <row r="4704" spans="1:9" ht="15" customHeight="1" x14ac:dyDescent="0.25">
      <c r="A4704" s="7">
        <v>4665</v>
      </c>
      <c r="B4704" s="1">
        <v>43767</v>
      </c>
      <c r="C4704" s="6" t="s">
        <v>18</v>
      </c>
      <c r="D4704" s="6" t="s">
        <v>13</v>
      </c>
      <c r="E4704" s="6">
        <v>3</v>
      </c>
      <c r="F4704" s="6">
        <v>2</v>
      </c>
      <c r="G4704" s="6" t="s">
        <v>11</v>
      </c>
      <c r="H4704" s="6" t="s">
        <v>32</v>
      </c>
      <c r="I4704" s="6">
        <f>TabJogos[[#This Row],[PontosTime1]]-TabJogos[[#This Row],[PontosTime2]]</f>
        <v>1</v>
      </c>
    </row>
    <row r="4705" spans="1:9" ht="15" customHeight="1" x14ac:dyDescent="0.25">
      <c r="A4705" s="7">
        <v>4666</v>
      </c>
      <c r="B4705" s="1">
        <v>43767</v>
      </c>
      <c r="C4705" s="6" t="s">
        <v>11</v>
      </c>
      <c r="D4705" s="6" t="s">
        <v>18</v>
      </c>
      <c r="E4705" s="6">
        <v>2</v>
      </c>
      <c r="F4705" s="6">
        <v>3</v>
      </c>
      <c r="G4705" s="6" t="s">
        <v>32</v>
      </c>
      <c r="H4705" s="6" t="s">
        <v>13</v>
      </c>
      <c r="I4705" s="6">
        <f>TabJogos[[#This Row],[PontosTime1]]-TabJogos[[#This Row],[PontosTime2]]</f>
        <v>-1</v>
      </c>
    </row>
    <row r="4706" spans="1:9" ht="15" customHeight="1" x14ac:dyDescent="0.25">
      <c r="A4706" s="7">
        <v>4667</v>
      </c>
      <c r="B4706" s="1">
        <v>43767</v>
      </c>
      <c r="C4706" s="6" t="s">
        <v>32</v>
      </c>
      <c r="D4706" s="6" t="s">
        <v>18</v>
      </c>
      <c r="E4706" s="6">
        <v>3</v>
      </c>
      <c r="F4706" s="6">
        <v>2</v>
      </c>
      <c r="G4706" s="6" t="s">
        <v>13</v>
      </c>
      <c r="H4706" s="6" t="s">
        <v>11</v>
      </c>
      <c r="I4706" s="6">
        <f>TabJogos[[#This Row],[PontosTime1]]-TabJogos[[#This Row],[PontosTime2]]</f>
        <v>1</v>
      </c>
    </row>
    <row r="4707" spans="1:9" ht="15" customHeight="1" x14ac:dyDescent="0.25">
      <c r="A4707" s="7">
        <v>4668</v>
      </c>
      <c r="B4707" s="1">
        <v>43767</v>
      </c>
      <c r="C4707" s="6" t="s">
        <v>13</v>
      </c>
      <c r="D4707" s="6" t="s">
        <v>18</v>
      </c>
      <c r="E4707" s="6">
        <v>3</v>
      </c>
      <c r="F4707" s="6">
        <v>2</v>
      </c>
      <c r="G4707" s="6" t="s">
        <v>32</v>
      </c>
      <c r="H4707" s="6" t="s">
        <v>11</v>
      </c>
      <c r="I4707" s="6">
        <f>TabJogos[[#This Row],[PontosTime1]]-TabJogos[[#This Row],[PontosTime2]]</f>
        <v>1</v>
      </c>
    </row>
    <row r="4708" spans="1:9" ht="15" customHeight="1" x14ac:dyDescent="0.25">
      <c r="A4708" s="7">
        <v>4669</v>
      </c>
      <c r="B4708" s="1">
        <v>43767</v>
      </c>
      <c r="C4708" s="6" t="s">
        <v>13</v>
      </c>
      <c r="D4708" s="6" t="s">
        <v>32</v>
      </c>
      <c r="E4708" s="6">
        <v>3</v>
      </c>
      <c r="F4708" s="6">
        <v>2</v>
      </c>
      <c r="G4708" s="6" t="s">
        <v>18</v>
      </c>
      <c r="H4708" s="6" t="s">
        <v>11</v>
      </c>
      <c r="I4708" s="6">
        <f>TabJogos[[#This Row],[PontosTime1]]-TabJogos[[#This Row],[PontosTime2]]</f>
        <v>1</v>
      </c>
    </row>
    <row r="4709" spans="1:9" ht="15" customHeight="1" x14ac:dyDescent="0.25">
      <c r="A4709" s="7">
        <v>4670</v>
      </c>
      <c r="B4709" s="1">
        <v>43767</v>
      </c>
      <c r="C4709" s="6" t="s">
        <v>11</v>
      </c>
      <c r="D4709" s="6" t="s">
        <v>13</v>
      </c>
      <c r="E4709" s="6">
        <v>2</v>
      </c>
      <c r="F4709" s="6">
        <v>3</v>
      </c>
      <c r="G4709" s="6" t="s">
        <v>18</v>
      </c>
      <c r="H4709" s="6" t="s">
        <v>32</v>
      </c>
      <c r="I4709" s="6">
        <f>TabJogos[[#This Row],[PontosTime1]]-TabJogos[[#This Row],[PontosTime2]]</f>
        <v>-1</v>
      </c>
    </row>
    <row r="4710" spans="1:9" ht="15" customHeight="1" x14ac:dyDescent="0.25">
      <c r="A4710" s="7">
        <v>4671</v>
      </c>
      <c r="B4710" s="1">
        <v>43768</v>
      </c>
      <c r="C4710" s="6" t="s">
        <v>11</v>
      </c>
      <c r="D4710" s="6" t="s">
        <v>12</v>
      </c>
      <c r="E4710" s="6">
        <v>3</v>
      </c>
      <c r="F4710" s="6">
        <v>0</v>
      </c>
      <c r="G4710" s="6" t="s">
        <v>13</v>
      </c>
      <c r="H4710" s="6" t="s">
        <v>10</v>
      </c>
      <c r="I4710" s="6">
        <f>TabJogos[[#This Row],[PontosTime1]]-TabJogos[[#This Row],[PontosTime2]]</f>
        <v>3</v>
      </c>
    </row>
    <row r="4711" spans="1:9" ht="15" customHeight="1" x14ac:dyDescent="0.25">
      <c r="A4711" s="7">
        <v>4672</v>
      </c>
      <c r="B4711" s="1">
        <v>43768</v>
      </c>
      <c r="C4711" s="6" t="s">
        <v>11</v>
      </c>
      <c r="D4711" s="6" t="s">
        <v>13</v>
      </c>
      <c r="E4711" s="6">
        <v>4</v>
      </c>
      <c r="F4711" s="6">
        <v>0</v>
      </c>
      <c r="G4711" s="6" t="s">
        <v>10</v>
      </c>
      <c r="H4711" s="6" t="s">
        <v>12</v>
      </c>
      <c r="I4711" s="6">
        <f>TabJogos[[#This Row],[PontosTime1]]-TabJogos[[#This Row],[PontosTime2]]</f>
        <v>4</v>
      </c>
    </row>
    <row r="4712" spans="1:9" ht="15" customHeight="1" x14ac:dyDescent="0.25">
      <c r="A4712" s="7">
        <v>4673</v>
      </c>
      <c r="B4712" s="1">
        <v>43768</v>
      </c>
      <c r="C4712" s="6" t="s">
        <v>12</v>
      </c>
      <c r="D4712" s="6" t="s">
        <v>13</v>
      </c>
      <c r="E4712" s="6">
        <v>3</v>
      </c>
      <c r="F4712" s="6">
        <v>0</v>
      </c>
      <c r="G4712" s="6" t="s">
        <v>11</v>
      </c>
      <c r="H4712" s="6" t="s">
        <v>10</v>
      </c>
      <c r="I4712" s="6">
        <f>TabJogos[[#This Row],[PontosTime1]]-TabJogos[[#This Row],[PontosTime2]]</f>
        <v>3</v>
      </c>
    </row>
    <row r="4713" spans="1:9" ht="15" customHeight="1" x14ac:dyDescent="0.25">
      <c r="A4713" s="7">
        <v>4674</v>
      </c>
      <c r="B4713" s="1">
        <v>43768</v>
      </c>
      <c r="C4713" s="6" t="s">
        <v>11</v>
      </c>
      <c r="D4713" s="6" t="s">
        <v>12</v>
      </c>
      <c r="E4713" s="6">
        <v>3</v>
      </c>
      <c r="F4713" s="6">
        <v>0</v>
      </c>
      <c r="G4713" s="6" t="s">
        <v>13</v>
      </c>
      <c r="H4713" s="6" t="s">
        <v>10</v>
      </c>
      <c r="I4713" s="6">
        <f>TabJogos[[#This Row],[PontosTime1]]-TabJogos[[#This Row],[PontosTime2]]</f>
        <v>3</v>
      </c>
    </row>
    <row r="4714" spans="1:9" ht="15" customHeight="1" x14ac:dyDescent="0.25">
      <c r="A4714" s="7">
        <v>4675</v>
      </c>
      <c r="B4714" s="1">
        <v>43768</v>
      </c>
      <c r="C4714" s="6" t="s">
        <v>12</v>
      </c>
      <c r="D4714" s="6" t="s">
        <v>10</v>
      </c>
      <c r="E4714" s="6">
        <v>3</v>
      </c>
      <c r="F4714" s="6">
        <v>0</v>
      </c>
      <c r="G4714" s="6" t="s">
        <v>11</v>
      </c>
      <c r="H4714" s="6" t="s">
        <v>13</v>
      </c>
      <c r="I4714" s="6">
        <f>TabJogos[[#This Row],[PontosTime1]]-TabJogos[[#This Row],[PontosTime2]]</f>
        <v>3</v>
      </c>
    </row>
    <row r="4715" spans="1:9" ht="15" customHeight="1" x14ac:dyDescent="0.25">
      <c r="A4715" s="7">
        <v>4676</v>
      </c>
      <c r="B4715" s="1">
        <v>43768</v>
      </c>
      <c r="C4715" s="6" t="s">
        <v>11</v>
      </c>
      <c r="D4715" s="6" t="s">
        <v>10</v>
      </c>
      <c r="E4715" s="6">
        <v>3</v>
      </c>
      <c r="F4715" s="6">
        <v>2</v>
      </c>
      <c r="G4715" s="6" t="s">
        <v>13</v>
      </c>
      <c r="H4715" s="6" t="s">
        <v>12</v>
      </c>
      <c r="I4715" s="6">
        <f>TabJogos[[#This Row],[PontosTime1]]-TabJogos[[#This Row],[PontosTime2]]</f>
        <v>1</v>
      </c>
    </row>
    <row r="4716" spans="1:9" ht="15" customHeight="1" x14ac:dyDescent="0.25">
      <c r="A4716" s="7">
        <v>4677</v>
      </c>
      <c r="B4716" s="1">
        <v>43768</v>
      </c>
      <c r="C4716" s="6" t="s">
        <v>10</v>
      </c>
      <c r="D4716" s="6" t="s">
        <v>13</v>
      </c>
      <c r="E4716" s="6">
        <v>2</v>
      </c>
      <c r="F4716" s="6">
        <v>3</v>
      </c>
      <c r="G4716" s="6" t="s">
        <v>11</v>
      </c>
      <c r="H4716" s="6" t="s">
        <v>12</v>
      </c>
      <c r="I4716" s="6">
        <f>TabJogos[[#This Row],[PontosTime1]]-TabJogos[[#This Row],[PontosTime2]]</f>
        <v>-1</v>
      </c>
    </row>
    <row r="4717" spans="1:9" ht="15" customHeight="1" x14ac:dyDescent="0.25">
      <c r="A4717" s="7">
        <v>4678</v>
      </c>
      <c r="B4717" s="1">
        <v>43768</v>
      </c>
      <c r="C4717" s="6" t="s">
        <v>12</v>
      </c>
      <c r="D4717" s="6" t="s">
        <v>10</v>
      </c>
      <c r="E4717" s="6">
        <v>2</v>
      </c>
      <c r="F4717" s="6">
        <v>3</v>
      </c>
      <c r="G4717" s="6" t="s">
        <v>11</v>
      </c>
      <c r="H4717" s="6" t="s">
        <v>13</v>
      </c>
      <c r="I4717" s="6">
        <f>TabJogos[[#This Row],[PontosTime1]]-TabJogos[[#This Row],[PontosTime2]]</f>
        <v>-1</v>
      </c>
    </row>
    <row r="4718" spans="1:9" ht="15" customHeight="1" x14ac:dyDescent="0.25">
      <c r="A4718" s="7">
        <v>4679</v>
      </c>
      <c r="B4718" s="1">
        <v>43773</v>
      </c>
      <c r="C4718" s="6" t="s">
        <v>32</v>
      </c>
      <c r="D4718" s="6" t="s">
        <v>10</v>
      </c>
      <c r="E4718" s="6">
        <v>3</v>
      </c>
      <c r="F4718" s="6">
        <v>2</v>
      </c>
      <c r="G4718" s="6" t="s">
        <v>13</v>
      </c>
      <c r="H4718" s="6" t="s">
        <v>11</v>
      </c>
      <c r="I4718" s="6">
        <f>TabJogos[[#This Row],[PontosTime1]]-TabJogos[[#This Row],[PontosTime2]]</f>
        <v>1</v>
      </c>
    </row>
    <row r="4719" spans="1:9" ht="15" customHeight="1" x14ac:dyDescent="0.25">
      <c r="A4719" s="7">
        <v>4680</v>
      </c>
      <c r="B4719" s="1">
        <v>43773</v>
      </c>
      <c r="C4719" s="6" t="s">
        <v>11</v>
      </c>
      <c r="D4719" s="6" t="s">
        <v>10</v>
      </c>
      <c r="E4719" s="6">
        <v>3</v>
      </c>
      <c r="F4719" s="6">
        <v>0</v>
      </c>
      <c r="G4719" s="6" t="s">
        <v>13</v>
      </c>
      <c r="H4719" s="6" t="s">
        <v>32</v>
      </c>
      <c r="I4719" s="6">
        <f>TabJogos[[#This Row],[PontosTime1]]-TabJogos[[#This Row],[PontosTime2]]</f>
        <v>3</v>
      </c>
    </row>
    <row r="4720" spans="1:9" ht="15" customHeight="1" x14ac:dyDescent="0.25">
      <c r="A4720" s="7">
        <v>4681</v>
      </c>
      <c r="B4720" s="1">
        <v>43773</v>
      </c>
      <c r="C4720" s="6" t="s">
        <v>13</v>
      </c>
      <c r="D4720" s="6" t="s">
        <v>10</v>
      </c>
      <c r="E4720" s="6">
        <v>3</v>
      </c>
      <c r="F4720" s="6">
        <v>0</v>
      </c>
      <c r="G4720" s="6" t="s">
        <v>32</v>
      </c>
      <c r="H4720" s="6" t="s">
        <v>11</v>
      </c>
      <c r="I4720" s="6">
        <f>TabJogos[[#This Row],[PontosTime1]]-TabJogos[[#This Row],[PontosTime2]]</f>
        <v>3</v>
      </c>
    </row>
    <row r="4721" spans="1:9" ht="15" customHeight="1" x14ac:dyDescent="0.25">
      <c r="A4721" s="7">
        <v>4682</v>
      </c>
      <c r="B4721" s="1">
        <v>43773</v>
      </c>
      <c r="C4721" s="6" t="s">
        <v>11</v>
      </c>
      <c r="D4721" s="6" t="s">
        <v>13</v>
      </c>
      <c r="E4721" s="6">
        <v>3</v>
      </c>
      <c r="F4721" s="6">
        <v>0</v>
      </c>
      <c r="G4721" s="6" t="s">
        <v>10</v>
      </c>
      <c r="H4721" s="6" t="s">
        <v>32</v>
      </c>
      <c r="I4721" s="6">
        <f>TabJogos[[#This Row],[PontosTime1]]-TabJogos[[#This Row],[PontosTime2]]</f>
        <v>3</v>
      </c>
    </row>
    <row r="4722" spans="1:9" ht="15" customHeight="1" x14ac:dyDescent="0.25">
      <c r="A4722" s="7">
        <v>4683</v>
      </c>
      <c r="B4722" s="1">
        <v>43773</v>
      </c>
      <c r="C4722" s="6" t="s">
        <v>11</v>
      </c>
      <c r="D4722" s="6" t="s">
        <v>10</v>
      </c>
      <c r="E4722" s="6">
        <v>3</v>
      </c>
      <c r="F4722" s="6">
        <v>1</v>
      </c>
      <c r="G4722" s="6" t="s">
        <v>13</v>
      </c>
      <c r="H4722" s="6" t="s">
        <v>32</v>
      </c>
      <c r="I4722" s="6">
        <f>TabJogos[[#This Row],[PontosTime1]]-TabJogos[[#This Row],[PontosTime2]]</f>
        <v>2</v>
      </c>
    </row>
    <row r="4723" spans="1:9" ht="15" customHeight="1" x14ac:dyDescent="0.25">
      <c r="A4723" s="7">
        <v>4684</v>
      </c>
      <c r="B4723" s="1">
        <v>43773</v>
      </c>
      <c r="C4723" s="6" t="s">
        <v>11</v>
      </c>
      <c r="D4723" s="6" t="s">
        <v>32</v>
      </c>
      <c r="E4723" s="6">
        <v>3</v>
      </c>
      <c r="F4723" s="6">
        <v>0</v>
      </c>
      <c r="G4723" s="6" t="s">
        <v>18</v>
      </c>
      <c r="H4723" s="6" t="s">
        <v>10</v>
      </c>
      <c r="I4723" s="6">
        <f>TabJogos[[#This Row],[PontosTime1]]-TabJogos[[#This Row],[PontosTime2]]</f>
        <v>3</v>
      </c>
    </row>
    <row r="4724" spans="1:9" ht="15" customHeight="1" x14ac:dyDescent="0.25">
      <c r="A4724" s="7">
        <v>4685</v>
      </c>
      <c r="B4724" s="1">
        <v>43773</v>
      </c>
      <c r="C4724" s="6" t="s">
        <v>11</v>
      </c>
      <c r="D4724" s="6" t="s">
        <v>18</v>
      </c>
      <c r="E4724" s="6">
        <v>3</v>
      </c>
      <c r="F4724" s="6">
        <v>0</v>
      </c>
      <c r="G4724" s="6" t="s">
        <v>32</v>
      </c>
      <c r="H4724" s="6" t="s">
        <v>13</v>
      </c>
      <c r="I4724" s="6">
        <f>TabJogos[[#This Row],[PontosTime1]]-TabJogos[[#This Row],[PontosTime2]]</f>
        <v>3</v>
      </c>
    </row>
    <row r="4725" spans="1:9" ht="15" customHeight="1" x14ac:dyDescent="0.25">
      <c r="A4725" s="7">
        <v>4686</v>
      </c>
      <c r="B4725" s="1">
        <v>43773</v>
      </c>
      <c r="C4725" s="6" t="s">
        <v>11</v>
      </c>
      <c r="D4725" s="6" t="s">
        <v>10</v>
      </c>
      <c r="E4725" s="6">
        <v>5</v>
      </c>
      <c r="F4725" s="6">
        <v>2</v>
      </c>
      <c r="G4725" s="6" t="s">
        <v>18</v>
      </c>
      <c r="H4725" s="6" t="s">
        <v>32</v>
      </c>
      <c r="I4725" s="6">
        <f>TabJogos[[#This Row],[PontosTime1]]-TabJogos[[#This Row],[PontosTime2]]</f>
        <v>3</v>
      </c>
    </row>
    <row r="4726" spans="1:9" ht="15" customHeight="1" x14ac:dyDescent="0.25">
      <c r="A4726" s="7">
        <v>4687</v>
      </c>
      <c r="B4726" s="1">
        <v>43773</v>
      </c>
      <c r="C4726" s="6" t="s">
        <v>11</v>
      </c>
      <c r="D4726" s="6" t="s">
        <v>13</v>
      </c>
      <c r="E4726" s="6">
        <v>3</v>
      </c>
      <c r="F4726" s="6">
        <v>1</v>
      </c>
      <c r="G4726" s="6" t="s">
        <v>32</v>
      </c>
      <c r="H4726" s="6" t="s">
        <v>10</v>
      </c>
      <c r="I4726" s="6">
        <f>TabJogos[[#This Row],[PontosTime1]]-TabJogos[[#This Row],[PontosTime2]]</f>
        <v>2</v>
      </c>
    </row>
    <row r="4727" spans="1:9" ht="15" customHeight="1" x14ac:dyDescent="0.25">
      <c r="A4727" s="7">
        <v>4688</v>
      </c>
      <c r="B4727" s="1">
        <v>43773</v>
      </c>
      <c r="C4727" s="6" t="s">
        <v>11</v>
      </c>
      <c r="D4727" s="6" t="s">
        <v>10</v>
      </c>
      <c r="E4727" s="6">
        <v>3</v>
      </c>
      <c r="F4727" s="6">
        <v>0</v>
      </c>
      <c r="G4727" s="6" t="s">
        <v>18</v>
      </c>
      <c r="H4727" s="6" t="s">
        <v>13</v>
      </c>
      <c r="I4727" s="6">
        <f>TabJogos[[#This Row],[PontosTime1]]-TabJogos[[#This Row],[PontosTime2]]</f>
        <v>3</v>
      </c>
    </row>
    <row r="4728" spans="1:9" ht="15" customHeight="1" x14ac:dyDescent="0.25">
      <c r="A4728" s="7">
        <v>4689</v>
      </c>
      <c r="B4728" s="1">
        <v>43773</v>
      </c>
      <c r="C4728" s="6" t="s">
        <v>13</v>
      </c>
      <c r="D4728" s="6" t="s">
        <v>10</v>
      </c>
      <c r="E4728" s="6">
        <v>2</v>
      </c>
      <c r="F4728" s="6">
        <v>3</v>
      </c>
      <c r="G4728" s="6" t="s">
        <v>18</v>
      </c>
      <c r="H4728" s="6" t="s">
        <v>11</v>
      </c>
      <c r="I4728" s="6">
        <f>TabJogos[[#This Row],[PontosTime1]]-TabJogos[[#This Row],[PontosTime2]]</f>
        <v>-1</v>
      </c>
    </row>
    <row r="4729" spans="1:9" ht="15" customHeight="1" x14ac:dyDescent="0.25">
      <c r="A4729" s="7">
        <v>4690</v>
      </c>
      <c r="B4729" s="1">
        <v>43773</v>
      </c>
      <c r="C4729" s="6" t="s">
        <v>10</v>
      </c>
      <c r="D4729" s="6" t="s">
        <v>18</v>
      </c>
      <c r="E4729" s="6">
        <v>3</v>
      </c>
      <c r="F4729" s="6">
        <v>0</v>
      </c>
      <c r="G4729" s="6" t="s">
        <v>13</v>
      </c>
      <c r="H4729" s="6" t="s">
        <v>11</v>
      </c>
      <c r="I4729" s="6">
        <f>TabJogos[[#This Row],[PontosTime1]]-TabJogos[[#This Row],[PontosTime2]]</f>
        <v>3</v>
      </c>
    </row>
    <row r="4730" spans="1:9" ht="15" customHeight="1" x14ac:dyDescent="0.25">
      <c r="A4730" s="7">
        <v>4691</v>
      </c>
      <c r="B4730" s="1">
        <v>43773</v>
      </c>
      <c r="C4730" s="6" t="s">
        <v>10</v>
      </c>
      <c r="D4730" s="6" t="s">
        <v>11</v>
      </c>
      <c r="E4730" s="6">
        <v>3</v>
      </c>
      <c r="F4730" s="6">
        <v>1</v>
      </c>
      <c r="G4730" s="6" t="s">
        <v>13</v>
      </c>
      <c r="H4730" s="6" t="s">
        <v>18</v>
      </c>
      <c r="I4730" s="6">
        <f>TabJogos[[#This Row],[PontosTime1]]-TabJogos[[#This Row],[PontosTime2]]</f>
        <v>2</v>
      </c>
    </row>
    <row r="4731" spans="1:9" ht="15" customHeight="1" x14ac:dyDescent="0.25">
      <c r="A4731" s="7">
        <v>4692</v>
      </c>
      <c r="B4731" s="1">
        <v>43773</v>
      </c>
      <c r="C4731" s="6" t="s">
        <v>10</v>
      </c>
      <c r="D4731" s="6" t="s">
        <v>13</v>
      </c>
      <c r="E4731" s="6">
        <v>3</v>
      </c>
      <c r="F4731" s="6">
        <v>0</v>
      </c>
      <c r="G4731" s="6" t="s">
        <v>18</v>
      </c>
      <c r="H4731" s="6" t="s">
        <v>11</v>
      </c>
      <c r="I4731" s="6">
        <f>TabJogos[[#This Row],[PontosTime1]]-TabJogos[[#This Row],[PontosTime2]]</f>
        <v>3</v>
      </c>
    </row>
    <row r="4732" spans="1:9" ht="15" customHeight="1" x14ac:dyDescent="0.25">
      <c r="A4732" s="7">
        <v>4693</v>
      </c>
      <c r="B4732" s="1">
        <v>43774</v>
      </c>
      <c r="C4732" s="6" t="s">
        <v>11</v>
      </c>
      <c r="D4732" s="6" t="s">
        <v>13</v>
      </c>
      <c r="E4732" s="6">
        <v>3</v>
      </c>
      <c r="F4732" s="6">
        <v>1</v>
      </c>
      <c r="G4732" s="6" t="s">
        <v>32</v>
      </c>
      <c r="H4732" s="6" t="s">
        <v>18</v>
      </c>
      <c r="I4732" s="6">
        <f>TabJogos[[#This Row],[PontosTime1]]-TabJogos[[#This Row],[PontosTime2]]</f>
        <v>2</v>
      </c>
    </row>
    <row r="4733" spans="1:9" ht="15" customHeight="1" x14ac:dyDescent="0.25">
      <c r="A4733" s="7">
        <v>4694</v>
      </c>
      <c r="B4733" s="1">
        <v>43774</v>
      </c>
      <c r="C4733" s="6" t="s">
        <v>11</v>
      </c>
      <c r="D4733" s="6" t="s">
        <v>32</v>
      </c>
      <c r="E4733" s="6">
        <v>3</v>
      </c>
      <c r="F4733" s="6">
        <v>0</v>
      </c>
      <c r="G4733" s="6" t="s">
        <v>13</v>
      </c>
      <c r="H4733" s="6" t="s">
        <v>18</v>
      </c>
      <c r="I4733" s="6">
        <f>TabJogos[[#This Row],[PontosTime1]]-TabJogos[[#This Row],[PontosTime2]]</f>
        <v>3</v>
      </c>
    </row>
    <row r="4734" spans="1:9" ht="15" customHeight="1" x14ac:dyDescent="0.25">
      <c r="A4734" s="7">
        <v>4695</v>
      </c>
      <c r="B4734" s="1">
        <v>43774</v>
      </c>
      <c r="C4734" s="6" t="s">
        <v>11</v>
      </c>
      <c r="D4734" s="6" t="s">
        <v>18</v>
      </c>
      <c r="E4734" s="6">
        <v>1</v>
      </c>
      <c r="F4734" s="6">
        <v>3</v>
      </c>
      <c r="G4734" s="6" t="s">
        <v>27</v>
      </c>
      <c r="H4734" s="6" t="s">
        <v>32</v>
      </c>
      <c r="I4734" s="6">
        <f>TabJogos[[#This Row],[PontosTime1]]-TabJogos[[#This Row],[PontosTime2]]</f>
        <v>-2</v>
      </c>
    </row>
    <row r="4735" spans="1:9" ht="15" customHeight="1" x14ac:dyDescent="0.25">
      <c r="A4735" s="7">
        <v>4696</v>
      </c>
      <c r="B4735" s="1">
        <v>43774</v>
      </c>
      <c r="C4735" s="6" t="s">
        <v>11</v>
      </c>
      <c r="D4735" s="6" t="s">
        <v>27</v>
      </c>
      <c r="E4735" s="6">
        <v>1</v>
      </c>
      <c r="F4735" s="6">
        <v>3</v>
      </c>
      <c r="G4735" s="6" t="s">
        <v>32</v>
      </c>
      <c r="H4735" s="6" t="s">
        <v>18</v>
      </c>
      <c r="I4735" s="6">
        <f>TabJogos[[#This Row],[PontosTime1]]-TabJogos[[#This Row],[PontosTime2]]</f>
        <v>-2</v>
      </c>
    </row>
    <row r="4736" spans="1:9" ht="15" customHeight="1" x14ac:dyDescent="0.25">
      <c r="A4736" s="7">
        <v>4697</v>
      </c>
      <c r="B4736" s="1">
        <v>43774</v>
      </c>
      <c r="C4736" s="6" t="s">
        <v>11</v>
      </c>
      <c r="D4736" s="6" t="s">
        <v>27</v>
      </c>
      <c r="E4736" s="6">
        <v>0</v>
      </c>
      <c r="F4736" s="6">
        <v>3</v>
      </c>
      <c r="G4736" s="6" t="s">
        <v>32</v>
      </c>
      <c r="H4736" s="6" t="s">
        <v>13</v>
      </c>
      <c r="I4736" s="6">
        <f>TabJogos[[#This Row],[PontosTime1]]-TabJogos[[#This Row],[PontosTime2]]</f>
        <v>-3</v>
      </c>
    </row>
    <row r="4737" spans="1:9" ht="15" customHeight="1" x14ac:dyDescent="0.25">
      <c r="A4737" s="7">
        <v>4698</v>
      </c>
      <c r="B4737" s="1">
        <v>43774</v>
      </c>
      <c r="C4737" s="6" t="s">
        <v>32</v>
      </c>
      <c r="D4737" s="6" t="s">
        <v>18</v>
      </c>
      <c r="E4737" s="6">
        <v>3</v>
      </c>
      <c r="F4737" s="6">
        <v>0</v>
      </c>
      <c r="G4737" s="6" t="s">
        <v>41</v>
      </c>
      <c r="H4737" s="6" t="s">
        <v>13</v>
      </c>
      <c r="I4737" s="6">
        <f>TabJogos[[#This Row],[PontosTime1]]-TabJogos[[#This Row],[PontosTime2]]</f>
        <v>3</v>
      </c>
    </row>
    <row r="4738" spans="1:9" ht="15" customHeight="1" x14ac:dyDescent="0.25">
      <c r="A4738" s="7">
        <v>4699</v>
      </c>
      <c r="B4738" s="1">
        <v>43774</v>
      </c>
      <c r="C4738" s="6" t="s">
        <v>27</v>
      </c>
      <c r="D4738" s="6" t="s">
        <v>18</v>
      </c>
      <c r="E4738" s="6">
        <v>3</v>
      </c>
      <c r="F4738" s="6">
        <v>0</v>
      </c>
      <c r="G4738" s="6" t="s">
        <v>41</v>
      </c>
      <c r="H4738" s="6" t="s">
        <v>32</v>
      </c>
      <c r="I4738" s="6">
        <f>TabJogos[[#This Row],[PontosTime1]]-TabJogos[[#This Row],[PontosTime2]]</f>
        <v>3</v>
      </c>
    </row>
    <row r="4739" spans="1:9" ht="15" customHeight="1" x14ac:dyDescent="0.25">
      <c r="A4739" s="7">
        <v>4700</v>
      </c>
      <c r="B4739" s="1">
        <v>43774</v>
      </c>
      <c r="C4739" s="6" t="s">
        <v>27</v>
      </c>
      <c r="D4739" s="6" t="s">
        <v>32</v>
      </c>
      <c r="E4739" s="6">
        <v>0</v>
      </c>
      <c r="F4739" s="6">
        <v>4</v>
      </c>
      <c r="G4739" s="6" t="s">
        <v>13</v>
      </c>
      <c r="H4739" s="6" t="s">
        <v>18</v>
      </c>
      <c r="I4739" s="6">
        <f>TabJogos[[#This Row],[PontosTime1]]-TabJogos[[#This Row],[PontosTime2]]</f>
        <v>-4</v>
      </c>
    </row>
    <row r="4740" spans="1:9" ht="15" customHeight="1" x14ac:dyDescent="0.25">
      <c r="A4740" s="7">
        <v>4701</v>
      </c>
      <c r="B4740" s="1">
        <v>43774</v>
      </c>
      <c r="C4740" s="6" t="s">
        <v>27</v>
      </c>
      <c r="D4740" s="6" t="s">
        <v>13</v>
      </c>
      <c r="E4740" s="6">
        <v>3</v>
      </c>
      <c r="F4740" s="6">
        <v>0</v>
      </c>
      <c r="G4740" s="6" t="s">
        <v>18</v>
      </c>
      <c r="H4740" s="6" t="s">
        <v>32</v>
      </c>
      <c r="I4740" s="6">
        <f>TabJogos[[#This Row],[PontosTime1]]-TabJogos[[#This Row],[PontosTime2]]</f>
        <v>3</v>
      </c>
    </row>
    <row r="4741" spans="1:9" ht="15" customHeight="1" x14ac:dyDescent="0.25">
      <c r="A4741" s="7">
        <v>4702</v>
      </c>
      <c r="B4741" s="1">
        <v>43774</v>
      </c>
      <c r="C4741" s="6" t="s">
        <v>13</v>
      </c>
      <c r="D4741" s="6" t="s">
        <v>18</v>
      </c>
      <c r="E4741" s="6">
        <v>3</v>
      </c>
      <c r="F4741" s="6">
        <v>1</v>
      </c>
      <c r="G4741" s="6" t="s">
        <v>27</v>
      </c>
      <c r="H4741" s="6" t="s">
        <v>41</v>
      </c>
      <c r="I4741" s="6">
        <f>TabJogos[[#This Row],[PontosTime1]]-TabJogos[[#This Row],[PontosTime2]]</f>
        <v>2</v>
      </c>
    </row>
    <row r="4742" spans="1:9" ht="15" customHeight="1" x14ac:dyDescent="0.25">
      <c r="A4742" s="7">
        <v>4703</v>
      </c>
      <c r="B4742" s="1">
        <v>43774</v>
      </c>
      <c r="C4742" s="6" t="s">
        <v>13</v>
      </c>
      <c r="D4742" s="6" t="s">
        <v>27</v>
      </c>
      <c r="E4742" s="6">
        <v>3</v>
      </c>
      <c r="F4742" s="6">
        <v>0</v>
      </c>
      <c r="G4742" s="6" t="s">
        <v>18</v>
      </c>
      <c r="H4742" s="6" t="s">
        <v>41</v>
      </c>
      <c r="I4742" s="6">
        <f>TabJogos[[#This Row],[PontosTime1]]-TabJogos[[#This Row],[PontosTime2]]</f>
        <v>3</v>
      </c>
    </row>
    <row r="4743" spans="1:9" ht="15" customHeight="1" x14ac:dyDescent="0.25">
      <c r="A4743" s="7">
        <v>4704</v>
      </c>
      <c r="B4743" s="1">
        <v>43774</v>
      </c>
      <c r="C4743" s="6" t="s">
        <v>13</v>
      </c>
      <c r="D4743" s="6" t="s">
        <v>41</v>
      </c>
      <c r="E4743" s="6">
        <v>3</v>
      </c>
      <c r="F4743" s="6">
        <v>0</v>
      </c>
      <c r="G4743" s="6" t="s">
        <v>27</v>
      </c>
      <c r="H4743" s="6" t="s">
        <v>18</v>
      </c>
      <c r="I4743" s="6">
        <f>TabJogos[[#This Row],[PontosTime1]]-TabJogos[[#This Row],[PontosTime2]]</f>
        <v>3</v>
      </c>
    </row>
    <row r="4744" spans="1:9" ht="15" customHeight="1" x14ac:dyDescent="0.25">
      <c r="A4744" s="7">
        <v>4705</v>
      </c>
      <c r="B4744" s="1">
        <v>43774</v>
      </c>
      <c r="C4744" s="6" t="s">
        <v>27</v>
      </c>
      <c r="D4744" s="6" t="s">
        <v>41</v>
      </c>
      <c r="E4744" s="6">
        <v>3</v>
      </c>
      <c r="F4744" s="6">
        <v>2</v>
      </c>
      <c r="G4744" s="6" t="s">
        <v>13</v>
      </c>
      <c r="H4744" s="6" t="s">
        <v>18</v>
      </c>
      <c r="I4744" s="6">
        <f>TabJogos[[#This Row],[PontosTime1]]-TabJogos[[#This Row],[PontosTime2]]</f>
        <v>1</v>
      </c>
    </row>
    <row r="4745" spans="1:9" ht="15" customHeight="1" x14ac:dyDescent="0.25">
      <c r="A4745" s="7">
        <v>4706</v>
      </c>
      <c r="B4745" s="1">
        <v>43774</v>
      </c>
      <c r="C4745" s="6" t="s">
        <v>41</v>
      </c>
      <c r="D4745" s="6" t="s">
        <v>18</v>
      </c>
      <c r="E4745" s="6">
        <v>1</v>
      </c>
      <c r="F4745" s="6">
        <v>6</v>
      </c>
      <c r="G4745" s="6" t="s">
        <v>13</v>
      </c>
      <c r="H4745" s="6" t="s">
        <v>27</v>
      </c>
      <c r="I4745" s="6">
        <f>TabJogos[[#This Row],[PontosTime1]]-TabJogos[[#This Row],[PontosTime2]]</f>
        <v>-5</v>
      </c>
    </row>
    <row r="4746" spans="1:9" ht="15" customHeight="1" x14ac:dyDescent="0.25">
      <c r="A4746" s="7">
        <v>4707</v>
      </c>
      <c r="B4746" s="1">
        <v>43775</v>
      </c>
      <c r="C4746" s="6" t="s">
        <v>13</v>
      </c>
      <c r="D4746" s="6" t="s">
        <v>10</v>
      </c>
      <c r="E4746" s="6">
        <v>3</v>
      </c>
      <c r="F4746" s="6">
        <v>2</v>
      </c>
      <c r="G4746" s="6" t="s">
        <v>11</v>
      </c>
      <c r="H4746" s="6" t="s">
        <v>18</v>
      </c>
      <c r="I4746" s="6">
        <f>TabJogos[[#This Row],[PontosTime1]]-TabJogos[[#This Row],[PontosTime2]]</f>
        <v>1</v>
      </c>
    </row>
    <row r="4747" spans="1:9" ht="15" customHeight="1" x14ac:dyDescent="0.25">
      <c r="A4747" s="7">
        <v>4708</v>
      </c>
      <c r="B4747" s="1">
        <v>43775</v>
      </c>
      <c r="C4747" s="6" t="s">
        <v>13</v>
      </c>
      <c r="D4747" s="6" t="s">
        <v>11</v>
      </c>
      <c r="E4747" s="6">
        <v>3</v>
      </c>
      <c r="F4747" s="6">
        <v>1</v>
      </c>
      <c r="G4747" s="6" t="s">
        <v>10</v>
      </c>
      <c r="H4747" s="6" t="s">
        <v>18</v>
      </c>
      <c r="I4747" s="6">
        <f>TabJogos[[#This Row],[PontosTime1]]-TabJogos[[#This Row],[PontosTime2]]</f>
        <v>2</v>
      </c>
    </row>
    <row r="4748" spans="1:9" ht="15" customHeight="1" x14ac:dyDescent="0.25">
      <c r="A4748" s="7">
        <v>4709</v>
      </c>
      <c r="B4748" s="1">
        <v>43775</v>
      </c>
      <c r="C4748" s="6" t="s">
        <v>13</v>
      </c>
      <c r="D4748" s="6" t="s">
        <v>18</v>
      </c>
      <c r="E4748" s="6">
        <v>0</v>
      </c>
      <c r="F4748" s="6">
        <v>5</v>
      </c>
      <c r="G4748" s="6" t="s">
        <v>10</v>
      </c>
      <c r="H4748" s="6" t="s">
        <v>11</v>
      </c>
      <c r="I4748" s="6">
        <f>TabJogos[[#This Row],[PontosTime1]]-TabJogos[[#This Row],[PontosTime2]]</f>
        <v>-5</v>
      </c>
    </row>
    <row r="4749" spans="1:9" ht="15" customHeight="1" x14ac:dyDescent="0.25">
      <c r="A4749" s="7">
        <v>4710</v>
      </c>
      <c r="B4749" s="1">
        <v>43775</v>
      </c>
      <c r="C4749" s="6" t="s">
        <v>13</v>
      </c>
      <c r="D4749" s="6" t="s">
        <v>10</v>
      </c>
      <c r="E4749" s="6">
        <v>0</v>
      </c>
      <c r="F4749" s="6">
        <v>3</v>
      </c>
      <c r="G4749" s="6" t="s">
        <v>11</v>
      </c>
      <c r="H4749" s="6" t="s">
        <v>18</v>
      </c>
      <c r="I4749" s="6">
        <f>TabJogos[[#This Row],[PontosTime1]]-TabJogos[[#This Row],[PontosTime2]]</f>
        <v>-3</v>
      </c>
    </row>
    <row r="4750" spans="1:9" ht="15" customHeight="1" x14ac:dyDescent="0.25">
      <c r="A4750" s="7">
        <v>4711</v>
      </c>
      <c r="B4750" s="1">
        <v>43775</v>
      </c>
      <c r="C4750" s="6" t="s">
        <v>13</v>
      </c>
      <c r="D4750" s="6" t="s">
        <v>11</v>
      </c>
      <c r="E4750" s="6">
        <v>1</v>
      </c>
      <c r="F4750" s="6">
        <v>3</v>
      </c>
      <c r="G4750" s="6" t="s">
        <v>10</v>
      </c>
      <c r="H4750" s="6" t="s">
        <v>18</v>
      </c>
      <c r="I4750" s="6">
        <f>TabJogos[[#This Row],[PontosTime1]]-TabJogos[[#This Row],[PontosTime2]]</f>
        <v>-2</v>
      </c>
    </row>
    <row r="4751" spans="1:9" ht="15" customHeight="1" x14ac:dyDescent="0.25">
      <c r="A4751" s="7">
        <v>4712</v>
      </c>
      <c r="B4751" s="1">
        <v>43775</v>
      </c>
      <c r="C4751" s="6" t="s">
        <v>13</v>
      </c>
      <c r="D4751" s="6" t="s">
        <v>18</v>
      </c>
      <c r="E4751" s="6">
        <v>3</v>
      </c>
      <c r="F4751" s="6">
        <v>2</v>
      </c>
      <c r="G4751" s="6" t="s">
        <v>11</v>
      </c>
      <c r="H4751" s="6" t="s">
        <v>10</v>
      </c>
      <c r="I4751" s="6">
        <f>TabJogos[[#This Row],[PontosTime1]]-TabJogos[[#This Row],[PontosTime2]]</f>
        <v>1</v>
      </c>
    </row>
    <row r="4752" spans="1:9" ht="15" customHeight="1" x14ac:dyDescent="0.25">
      <c r="A4752" s="7">
        <v>4713</v>
      </c>
      <c r="B4752" s="1">
        <v>43775</v>
      </c>
      <c r="C4752" s="6" t="s">
        <v>13</v>
      </c>
      <c r="D4752" s="6" t="s">
        <v>10</v>
      </c>
      <c r="E4752" s="6">
        <v>3</v>
      </c>
      <c r="F4752" s="6">
        <v>2</v>
      </c>
      <c r="G4752" s="6" t="s">
        <v>11</v>
      </c>
      <c r="H4752" s="6" t="s">
        <v>18</v>
      </c>
      <c r="I4752" s="6">
        <f>TabJogos[[#This Row],[PontosTime1]]-TabJogos[[#This Row],[PontosTime2]]</f>
        <v>1</v>
      </c>
    </row>
    <row r="4753" spans="1:9" ht="15" customHeight="1" x14ac:dyDescent="0.25">
      <c r="A4753" s="7">
        <v>4714</v>
      </c>
      <c r="B4753" s="1">
        <v>43776</v>
      </c>
      <c r="C4753" s="6" t="s">
        <v>11</v>
      </c>
      <c r="D4753" s="6" t="s">
        <v>32</v>
      </c>
      <c r="E4753" s="6">
        <v>3</v>
      </c>
      <c r="F4753" s="6">
        <v>2</v>
      </c>
      <c r="G4753" s="6" t="s">
        <v>18</v>
      </c>
      <c r="H4753" s="6" t="s">
        <v>13</v>
      </c>
      <c r="I4753" s="6">
        <f>TabJogos[[#This Row],[PontosTime1]]-TabJogos[[#This Row],[PontosTime2]]</f>
        <v>1</v>
      </c>
    </row>
    <row r="4754" spans="1:9" ht="15" customHeight="1" x14ac:dyDescent="0.25">
      <c r="A4754" s="7">
        <v>4715</v>
      </c>
      <c r="B4754" s="1">
        <v>43776</v>
      </c>
      <c r="C4754" s="6" t="s">
        <v>11</v>
      </c>
      <c r="D4754" s="6" t="s">
        <v>13</v>
      </c>
      <c r="E4754" s="6">
        <v>4</v>
      </c>
      <c r="F4754" s="6">
        <v>0</v>
      </c>
      <c r="G4754" s="6" t="s">
        <v>18</v>
      </c>
      <c r="H4754" s="6" t="s">
        <v>32</v>
      </c>
      <c r="I4754" s="6">
        <f>TabJogos[[#This Row],[PontosTime1]]-TabJogos[[#This Row],[PontosTime2]]</f>
        <v>4</v>
      </c>
    </row>
    <row r="4755" spans="1:9" ht="15" customHeight="1" x14ac:dyDescent="0.25">
      <c r="A4755" s="7">
        <v>4716</v>
      </c>
      <c r="B4755" s="1">
        <v>43776</v>
      </c>
      <c r="C4755" s="6" t="s">
        <v>18</v>
      </c>
      <c r="D4755" s="6" t="s">
        <v>11</v>
      </c>
      <c r="E4755" s="6">
        <v>3</v>
      </c>
      <c r="F4755" s="6">
        <v>1</v>
      </c>
      <c r="G4755" s="6" t="s">
        <v>32</v>
      </c>
      <c r="H4755" s="6" t="s">
        <v>13</v>
      </c>
      <c r="I4755" s="6">
        <f>TabJogos[[#This Row],[PontosTime1]]-TabJogos[[#This Row],[PontosTime2]]</f>
        <v>2</v>
      </c>
    </row>
    <row r="4756" spans="1:9" ht="15" customHeight="1" x14ac:dyDescent="0.25">
      <c r="A4756" s="7">
        <v>4717</v>
      </c>
      <c r="B4756" s="1">
        <v>43776</v>
      </c>
      <c r="C4756" s="6" t="s">
        <v>13</v>
      </c>
      <c r="D4756" s="6" t="s">
        <v>27</v>
      </c>
      <c r="E4756" s="6">
        <v>3</v>
      </c>
      <c r="F4756" s="6">
        <v>0</v>
      </c>
      <c r="G4756" s="6" t="s">
        <v>11</v>
      </c>
      <c r="H4756" s="6" t="s">
        <v>32</v>
      </c>
      <c r="I4756" s="6">
        <f>TabJogos[[#This Row],[PontosTime1]]-TabJogos[[#This Row],[PontosTime2]]</f>
        <v>3</v>
      </c>
    </row>
    <row r="4757" spans="1:9" ht="15" customHeight="1" x14ac:dyDescent="0.25">
      <c r="A4757" s="7">
        <v>4718</v>
      </c>
      <c r="B4757" s="1">
        <v>43776</v>
      </c>
      <c r="C4757" s="6" t="s">
        <v>27</v>
      </c>
      <c r="D4757" s="6" t="s">
        <v>32</v>
      </c>
      <c r="E4757" s="6">
        <v>2</v>
      </c>
      <c r="F4757" s="6">
        <v>3</v>
      </c>
      <c r="G4757" s="6" t="s">
        <v>11</v>
      </c>
      <c r="H4757" s="6" t="s">
        <v>13</v>
      </c>
      <c r="I4757" s="6">
        <f>TabJogos[[#This Row],[PontosTime1]]-TabJogos[[#This Row],[PontosTime2]]</f>
        <v>-1</v>
      </c>
    </row>
    <row r="4758" spans="1:9" ht="15" customHeight="1" x14ac:dyDescent="0.25">
      <c r="A4758" s="7">
        <v>4719</v>
      </c>
      <c r="B4758" s="1">
        <v>43776</v>
      </c>
      <c r="C4758" s="6" t="s">
        <v>13</v>
      </c>
      <c r="D4758" s="6" t="s">
        <v>32</v>
      </c>
      <c r="E4758" s="6">
        <v>4</v>
      </c>
      <c r="F4758" s="6">
        <v>0</v>
      </c>
      <c r="G4758" s="6" t="s">
        <v>11</v>
      </c>
      <c r="H4758" s="6" t="s">
        <v>27</v>
      </c>
      <c r="I4758" s="6">
        <f>TabJogos[[#This Row],[PontosTime1]]-TabJogos[[#This Row],[PontosTime2]]</f>
        <v>4</v>
      </c>
    </row>
    <row r="4759" spans="1:9" ht="15" customHeight="1" x14ac:dyDescent="0.25">
      <c r="A4759" s="7">
        <v>4720</v>
      </c>
      <c r="B4759" s="1">
        <v>43776</v>
      </c>
      <c r="C4759" s="6" t="s">
        <v>11</v>
      </c>
      <c r="D4759" s="6" t="s">
        <v>32</v>
      </c>
      <c r="E4759" s="6">
        <v>3</v>
      </c>
      <c r="F4759" s="6">
        <v>0</v>
      </c>
      <c r="G4759" s="6" t="s">
        <v>27</v>
      </c>
      <c r="H4759" s="6" t="s">
        <v>13</v>
      </c>
      <c r="I4759" s="6">
        <f>TabJogos[[#This Row],[PontosTime1]]-TabJogos[[#This Row],[PontosTime2]]</f>
        <v>3</v>
      </c>
    </row>
    <row r="4760" spans="1:9" ht="15" customHeight="1" x14ac:dyDescent="0.25">
      <c r="A4760" s="7">
        <v>4721</v>
      </c>
      <c r="B4760" s="1">
        <v>43776</v>
      </c>
      <c r="C4760" s="6" t="s">
        <v>27</v>
      </c>
      <c r="D4760" s="6" t="s">
        <v>32</v>
      </c>
      <c r="E4760" s="6">
        <v>3</v>
      </c>
      <c r="F4760" s="6">
        <v>2</v>
      </c>
      <c r="G4760" s="6" t="s">
        <v>11</v>
      </c>
      <c r="H4760" s="6" t="s">
        <v>13</v>
      </c>
      <c r="I4760" s="6">
        <f>TabJogos[[#This Row],[PontosTime1]]-TabJogos[[#This Row],[PontosTime2]]</f>
        <v>1</v>
      </c>
    </row>
    <row r="4761" spans="1:9" ht="15" customHeight="1" x14ac:dyDescent="0.25">
      <c r="A4761" s="7">
        <v>4722</v>
      </c>
      <c r="B4761" s="1">
        <v>43776</v>
      </c>
      <c r="C4761" s="6" t="s">
        <v>32</v>
      </c>
      <c r="D4761" s="6" t="s">
        <v>13</v>
      </c>
      <c r="E4761" s="6">
        <v>3</v>
      </c>
      <c r="F4761" s="6">
        <v>0</v>
      </c>
      <c r="G4761" s="6" t="s">
        <v>27</v>
      </c>
      <c r="H4761" s="6" t="s">
        <v>11</v>
      </c>
      <c r="I4761" s="6">
        <f>TabJogos[[#This Row],[PontosTime1]]-TabJogos[[#This Row],[PontosTime2]]</f>
        <v>3</v>
      </c>
    </row>
    <row r="4762" spans="1:9" ht="15" customHeight="1" x14ac:dyDescent="0.25">
      <c r="A4762" s="7">
        <v>4723</v>
      </c>
      <c r="B4762" s="1">
        <v>43781</v>
      </c>
      <c r="C4762" s="6" t="s">
        <v>41</v>
      </c>
      <c r="D4762" s="6" t="s">
        <v>11</v>
      </c>
      <c r="E4762" s="6">
        <v>3</v>
      </c>
      <c r="F4762" s="6">
        <v>1</v>
      </c>
      <c r="G4762" s="6" t="s">
        <v>13</v>
      </c>
      <c r="H4762" s="6" t="s">
        <v>18</v>
      </c>
      <c r="I4762" s="6">
        <f>TabJogos[[#This Row],[PontosTime1]]-TabJogos[[#This Row],[PontosTime2]]</f>
        <v>2</v>
      </c>
    </row>
    <row r="4763" spans="1:9" ht="15" customHeight="1" x14ac:dyDescent="0.25">
      <c r="A4763" s="7">
        <v>4724</v>
      </c>
      <c r="B4763" s="1">
        <v>43781</v>
      </c>
      <c r="C4763" s="6" t="s">
        <v>41</v>
      </c>
      <c r="D4763" s="6" t="s">
        <v>27</v>
      </c>
      <c r="E4763" s="6">
        <v>4</v>
      </c>
      <c r="F4763" s="6">
        <v>2</v>
      </c>
      <c r="G4763" s="6" t="s">
        <v>18</v>
      </c>
      <c r="H4763" s="6" t="s">
        <v>11</v>
      </c>
      <c r="I4763" s="6">
        <f>TabJogos[[#This Row],[PontosTime1]]-TabJogos[[#This Row],[PontosTime2]]</f>
        <v>2</v>
      </c>
    </row>
    <row r="4764" spans="1:9" ht="15" customHeight="1" x14ac:dyDescent="0.25">
      <c r="A4764" s="7">
        <v>4725</v>
      </c>
      <c r="B4764" s="1">
        <v>43781</v>
      </c>
      <c r="C4764" s="6" t="s">
        <v>41</v>
      </c>
      <c r="D4764" s="6" t="s">
        <v>13</v>
      </c>
      <c r="E4764" s="6">
        <v>3</v>
      </c>
      <c r="F4764" s="6">
        <v>0</v>
      </c>
      <c r="G4764" s="6" t="s">
        <v>27</v>
      </c>
      <c r="H4764" s="6" t="s">
        <v>11</v>
      </c>
      <c r="I4764" s="6">
        <f>TabJogos[[#This Row],[PontosTime1]]-TabJogos[[#This Row],[PontosTime2]]</f>
        <v>3</v>
      </c>
    </row>
    <row r="4765" spans="1:9" ht="15" customHeight="1" x14ac:dyDescent="0.25">
      <c r="A4765" s="7">
        <v>4726</v>
      </c>
      <c r="B4765" s="1">
        <v>43781</v>
      </c>
      <c r="C4765" s="6" t="s">
        <v>41</v>
      </c>
      <c r="D4765" s="6" t="s">
        <v>18</v>
      </c>
      <c r="E4765" s="6">
        <v>3</v>
      </c>
      <c r="F4765" s="6">
        <v>2</v>
      </c>
      <c r="G4765" s="6" t="s">
        <v>32</v>
      </c>
      <c r="H4765" s="6" t="s">
        <v>13</v>
      </c>
      <c r="I4765" s="6">
        <f>TabJogos[[#This Row],[PontosTime1]]-TabJogos[[#This Row],[PontosTime2]]</f>
        <v>1</v>
      </c>
    </row>
    <row r="4766" spans="1:9" ht="15" customHeight="1" x14ac:dyDescent="0.25">
      <c r="A4766" s="7">
        <v>4727</v>
      </c>
      <c r="B4766" s="1">
        <v>43781</v>
      </c>
      <c r="C4766" s="6" t="s">
        <v>41</v>
      </c>
      <c r="D4766" s="6" t="s">
        <v>11</v>
      </c>
      <c r="E4766" s="6">
        <v>4</v>
      </c>
      <c r="F4766" s="6">
        <v>1</v>
      </c>
      <c r="G4766" s="6" t="s">
        <v>13</v>
      </c>
      <c r="H4766" s="6" t="s">
        <v>18</v>
      </c>
      <c r="I4766" s="6">
        <f>TabJogos[[#This Row],[PontosTime1]]-TabJogos[[#This Row],[PontosTime2]]</f>
        <v>3</v>
      </c>
    </row>
    <row r="4767" spans="1:9" ht="15" customHeight="1" x14ac:dyDescent="0.25">
      <c r="A4767" s="7">
        <v>4728</v>
      </c>
      <c r="B4767" s="1">
        <v>43781</v>
      </c>
      <c r="C4767" s="6" t="s">
        <v>41</v>
      </c>
      <c r="D4767" s="6" t="s">
        <v>13</v>
      </c>
      <c r="E4767" s="6">
        <v>2</v>
      </c>
      <c r="F4767" s="6">
        <v>3</v>
      </c>
      <c r="G4767" s="6" t="s">
        <v>18</v>
      </c>
      <c r="H4767" s="6" t="s">
        <v>11</v>
      </c>
      <c r="I4767" s="6">
        <f>TabJogos[[#This Row],[PontosTime1]]-TabJogos[[#This Row],[PontosTime2]]</f>
        <v>-1</v>
      </c>
    </row>
    <row r="4768" spans="1:9" ht="15" customHeight="1" x14ac:dyDescent="0.25">
      <c r="A4768" s="7">
        <v>4729</v>
      </c>
      <c r="B4768" s="1">
        <v>43781</v>
      </c>
      <c r="C4768" s="6" t="s">
        <v>11</v>
      </c>
      <c r="D4768" s="6" t="s">
        <v>16</v>
      </c>
      <c r="E4768" s="6">
        <v>2</v>
      </c>
      <c r="F4768" s="6">
        <v>3</v>
      </c>
      <c r="G4768" s="6" t="s">
        <v>18</v>
      </c>
      <c r="H4768" s="6" t="s">
        <v>41</v>
      </c>
      <c r="I4768" s="6">
        <f>TabJogos[[#This Row],[PontosTime1]]-TabJogos[[#This Row],[PontosTime2]]</f>
        <v>-1</v>
      </c>
    </row>
    <row r="4769" spans="1:9" ht="15" customHeight="1" x14ac:dyDescent="0.25">
      <c r="A4769" s="7">
        <v>4730</v>
      </c>
      <c r="B4769" s="1">
        <v>43781</v>
      </c>
      <c r="C4769" s="6" t="s">
        <v>27</v>
      </c>
      <c r="D4769" s="6" t="s">
        <v>18</v>
      </c>
      <c r="E4769" s="6">
        <v>3</v>
      </c>
      <c r="F4769" s="6">
        <v>0</v>
      </c>
      <c r="G4769" s="6" t="s">
        <v>13</v>
      </c>
      <c r="H4769" s="6" t="s">
        <v>41</v>
      </c>
      <c r="I4769" s="6">
        <f>TabJogos[[#This Row],[PontosTime1]]-TabJogos[[#This Row],[PontosTime2]]</f>
        <v>3</v>
      </c>
    </row>
    <row r="4770" spans="1:9" ht="15" customHeight="1" x14ac:dyDescent="0.25">
      <c r="A4770" s="7">
        <v>4731</v>
      </c>
      <c r="B4770" s="1">
        <v>43781</v>
      </c>
      <c r="C4770" s="6" t="s">
        <v>27</v>
      </c>
      <c r="D4770" s="6" t="s">
        <v>13</v>
      </c>
      <c r="E4770" s="6">
        <v>1</v>
      </c>
      <c r="F4770" s="6">
        <v>3</v>
      </c>
      <c r="G4770" s="6" t="s">
        <v>18</v>
      </c>
      <c r="H4770" s="6" t="s">
        <v>41</v>
      </c>
      <c r="I4770" s="6">
        <f>TabJogos[[#This Row],[PontosTime1]]-TabJogos[[#This Row],[PontosTime2]]</f>
        <v>-2</v>
      </c>
    </row>
    <row r="4771" spans="1:9" ht="15" customHeight="1" x14ac:dyDescent="0.25">
      <c r="A4771" s="7">
        <v>4732</v>
      </c>
      <c r="B4771" s="1">
        <v>43781</v>
      </c>
      <c r="C4771" s="6" t="s">
        <v>13</v>
      </c>
      <c r="D4771" s="6" t="s">
        <v>18</v>
      </c>
      <c r="E4771" s="6">
        <v>3</v>
      </c>
      <c r="F4771" s="6">
        <v>2</v>
      </c>
      <c r="G4771" s="6" t="s">
        <v>27</v>
      </c>
      <c r="H4771" s="6" t="s">
        <v>41</v>
      </c>
      <c r="I4771" s="6">
        <f>TabJogos[[#This Row],[PontosTime1]]-TabJogos[[#This Row],[PontosTime2]]</f>
        <v>1</v>
      </c>
    </row>
    <row r="4772" spans="1:9" ht="15" customHeight="1" x14ac:dyDescent="0.25">
      <c r="A4772" s="7">
        <v>4733</v>
      </c>
      <c r="B4772" s="1">
        <v>43782</v>
      </c>
      <c r="C4772" s="6" t="s">
        <v>13</v>
      </c>
      <c r="D4772" s="6" t="s">
        <v>11</v>
      </c>
      <c r="E4772" s="6">
        <v>3</v>
      </c>
      <c r="F4772" s="6">
        <v>2</v>
      </c>
      <c r="G4772" s="6" t="s">
        <v>32</v>
      </c>
      <c r="H4772" s="6" t="s">
        <v>18</v>
      </c>
      <c r="I4772" s="6">
        <f>TabJogos[[#This Row],[PontosTime1]]-TabJogos[[#This Row],[PontosTime2]]</f>
        <v>1</v>
      </c>
    </row>
    <row r="4773" spans="1:9" ht="15" customHeight="1" x14ac:dyDescent="0.25">
      <c r="A4773" s="7">
        <v>4734</v>
      </c>
      <c r="B4773" s="1">
        <v>43782</v>
      </c>
      <c r="C4773" s="6" t="s">
        <v>11</v>
      </c>
      <c r="D4773" s="6" t="s">
        <v>10</v>
      </c>
      <c r="E4773" s="6">
        <v>3</v>
      </c>
      <c r="F4773" s="6">
        <v>2</v>
      </c>
      <c r="G4773" s="6" t="s">
        <v>32</v>
      </c>
      <c r="H4773" s="6" t="s">
        <v>13</v>
      </c>
      <c r="I4773" s="6">
        <f>TabJogos[[#This Row],[PontosTime1]]-TabJogos[[#This Row],[PontosTime2]]</f>
        <v>1</v>
      </c>
    </row>
    <row r="4774" spans="1:9" ht="15" customHeight="1" x14ac:dyDescent="0.25">
      <c r="A4774" s="7">
        <v>4735</v>
      </c>
      <c r="B4774" s="1">
        <v>43782</v>
      </c>
      <c r="C4774" s="6" t="s">
        <v>11</v>
      </c>
      <c r="D4774" s="6" t="s">
        <v>18</v>
      </c>
      <c r="E4774" s="6">
        <v>3</v>
      </c>
      <c r="F4774" s="6">
        <v>0</v>
      </c>
      <c r="G4774" s="6" t="s">
        <v>10</v>
      </c>
      <c r="H4774" s="6" t="s">
        <v>13</v>
      </c>
      <c r="I4774" s="6">
        <f>TabJogos[[#This Row],[PontosTime1]]-TabJogos[[#This Row],[PontosTime2]]</f>
        <v>3</v>
      </c>
    </row>
    <row r="4775" spans="1:9" ht="15" customHeight="1" x14ac:dyDescent="0.25">
      <c r="A4775" s="7">
        <v>4736</v>
      </c>
      <c r="B4775" s="1">
        <v>43782</v>
      </c>
      <c r="C4775" s="6" t="s">
        <v>11</v>
      </c>
      <c r="D4775" s="6" t="s">
        <v>32</v>
      </c>
      <c r="E4775" s="6">
        <v>2</v>
      </c>
      <c r="F4775" s="6">
        <v>3</v>
      </c>
      <c r="G4775" s="6" t="s">
        <v>10</v>
      </c>
      <c r="H4775" s="6" t="s">
        <v>18</v>
      </c>
      <c r="I4775" s="6">
        <f>TabJogos[[#This Row],[PontosTime1]]-TabJogos[[#This Row],[PontosTime2]]</f>
        <v>-1</v>
      </c>
    </row>
    <row r="4776" spans="1:9" ht="15" customHeight="1" x14ac:dyDescent="0.25">
      <c r="A4776" s="7">
        <v>4737</v>
      </c>
      <c r="B4776" s="1">
        <v>43782</v>
      </c>
      <c r="C4776" s="6" t="s">
        <v>13</v>
      </c>
      <c r="D4776" s="6" t="s">
        <v>18</v>
      </c>
      <c r="E4776" s="6">
        <v>2</v>
      </c>
      <c r="F4776" s="6">
        <v>4</v>
      </c>
      <c r="G4776" s="6" t="s">
        <v>10</v>
      </c>
      <c r="H4776" s="6" t="s">
        <v>11</v>
      </c>
      <c r="I4776" s="6">
        <f>TabJogos[[#This Row],[PontosTime1]]-TabJogos[[#This Row],[PontosTime2]]</f>
        <v>-2</v>
      </c>
    </row>
    <row r="4777" spans="1:9" ht="15" customHeight="1" x14ac:dyDescent="0.25">
      <c r="A4777" s="7">
        <v>4738</v>
      </c>
      <c r="B4777" s="1">
        <v>43782</v>
      </c>
      <c r="C4777" s="6" t="s">
        <v>32</v>
      </c>
      <c r="D4777" s="6" t="s">
        <v>10</v>
      </c>
      <c r="E4777" s="6">
        <v>3</v>
      </c>
      <c r="F4777" s="6">
        <v>2</v>
      </c>
      <c r="G4777" s="6" t="s">
        <v>11</v>
      </c>
      <c r="H4777" s="6" t="s">
        <v>9</v>
      </c>
      <c r="I4777" s="6">
        <f>TabJogos[[#This Row],[PontosTime1]]-TabJogos[[#This Row],[PontosTime2]]</f>
        <v>1</v>
      </c>
    </row>
    <row r="4778" spans="1:9" ht="15" customHeight="1" x14ac:dyDescent="0.25">
      <c r="A4778" s="7">
        <v>4739</v>
      </c>
      <c r="B4778" s="1">
        <v>43782</v>
      </c>
      <c r="C4778" s="6" t="s">
        <v>32</v>
      </c>
      <c r="D4778" s="6" t="s">
        <v>18</v>
      </c>
      <c r="E4778" s="6">
        <v>3</v>
      </c>
      <c r="F4778" s="6">
        <v>0</v>
      </c>
      <c r="G4778" s="6" t="s">
        <v>10</v>
      </c>
      <c r="H4778" s="6" t="s">
        <v>13</v>
      </c>
      <c r="I4778" s="6">
        <f>TabJogos[[#This Row],[PontosTime1]]-TabJogos[[#This Row],[PontosTime2]]</f>
        <v>3</v>
      </c>
    </row>
    <row r="4779" spans="1:9" ht="15" customHeight="1" x14ac:dyDescent="0.25">
      <c r="A4779" s="7">
        <v>4740</v>
      </c>
      <c r="B4779" s="1">
        <v>43782</v>
      </c>
      <c r="C4779" s="6" t="s">
        <v>32</v>
      </c>
      <c r="D4779" s="6" t="s">
        <v>9</v>
      </c>
      <c r="E4779" s="6">
        <v>1</v>
      </c>
      <c r="F4779" s="6">
        <v>3</v>
      </c>
      <c r="G4779" s="6" t="s">
        <v>18</v>
      </c>
      <c r="H4779" s="6" t="s">
        <v>11</v>
      </c>
      <c r="I4779" s="6">
        <f>TabJogos[[#This Row],[PontosTime1]]-TabJogos[[#This Row],[PontosTime2]]</f>
        <v>-2</v>
      </c>
    </row>
    <row r="4780" spans="1:9" ht="15" customHeight="1" x14ac:dyDescent="0.25">
      <c r="A4780" s="7">
        <v>4741</v>
      </c>
      <c r="B4780" s="1">
        <v>43782</v>
      </c>
      <c r="C4780" s="6" t="s">
        <v>11</v>
      </c>
      <c r="D4780" s="6" t="s">
        <v>13</v>
      </c>
      <c r="E4780" s="6">
        <v>2</v>
      </c>
      <c r="F4780" s="6">
        <v>3</v>
      </c>
      <c r="G4780" s="6" t="s">
        <v>18</v>
      </c>
      <c r="H4780" s="6" t="s">
        <v>10</v>
      </c>
      <c r="I4780" s="6">
        <f>TabJogos[[#This Row],[PontosTime1]]-TabJogos[[#This Row],[PontosTime2]]</f>
        <v>-1</v>
      </c>
    </row>
    <row r="4781" spans="1:9" ht="15" customHeight="1" x14ac:dyDescent="0.25">
      <c r="A4781" s="7">
        <v>4742</v>
      </c>
      <c r="B4781" s="1">
        <v>43782</v>
      </c>
      <c r="C4781" s="6" t="s">
        <v>11</v>
      </c>
      <c r="D4781" s="6" t="s">
        <v>10</v>
      </c>
      <c r="E4781" s="6">
        <v>1</v>
      </c>
      <c r="F4781" s="6">
        <v>3</v>
      </c>
      <c r="G4781" s="6" t="s">
        <v>9</v>
      </c>
      <c r="H4781" s="6" t="s">
        <v>18</v>
      </c>
      <c r="I4781" s="6">
        <f>TabJogos[[#This Row],[PontosTime1]]-TabJogos[[#This Row],[PontosTime2]]</f>
        <v>-2</v>
      </c>
    </row>
    <row r="4782" spans="1:9" ht="15" customHeight="1" x14ac:dyDescent="0.25">
      <c r="A4782" s="7">
        <v>4743</v>
      </c>
      <c r="B4782" s="1">
        <v>43782</v>
      </c>
      <c r="C4782" s="6" t="s">
        <v>9</v>
      </c>
      <c r="D4782" s="6" t="s">
        <v>10</v>
      </c>
      <c r="E4782" s="6">
        <v>2</v>
      </c>
      <c r="F4782" s="6">
        <v>3</v>
      </c>
      <c r="G4782" s="6" t="s">
        <v>18</v>
      </c>
      <c r="H4782" s="6" t="s">
        <v>13</v>
      </c>
      <c r="I4782" s="6">
        <f>TabJogos[[#This Row],[PontosTime1]]-TabJogos[[#This Row],[PontosTime2]]</f>
        <v>-1</v>
      </c>
    </row>
    <row r="4783" spans="1:9" ht="15" customHeight="1" x14ac:dyDescent="0.25">
      <c r="A4783" s="7">
        <v>4744</v>
      </c>
      <c r="B4783" s="1">
        <v>43782</v>
      </c>
      <c r="C4783" s="6" t="s">
        <v>9</v>
      </c>
      <c r="D4783" s="6" t="s">
        <v>13</v>
      </c>
      <c r="E4783" s="6">
        <v>1</v>
      </c>
      <c r="F4783" s="6">
        <v>3</v>
      </c>
      <c r="G4783" s="6" t="s">
        <v>18</v>
      </c>
      <c r="H4783" s="6" t="s">
        <v>11</v>
      </c>
      <c r="I4783" s="6">
        <f>TabJogos[[#This Row],[PontosTime1]]-TabJogos[[#This Row],[PontosTime2]]</f>
        <v>-2</v>
      </c>
    </row>
    <row r="4784" spans="1:9" ht="15" customHeight="1" x14ac:dyDescent="0.25">
      <c r="A4784" s="7">
        <v>4745</v>
      </c>
      <c r="B4784" s="1">
        <v>43782</v>
      </c>
      <c r="C4784" s="6" t="s">
        <v>9</v>
      </c>
      <c r="D4784" s="6" t="s">
        <v>18</v>
      </c>
      <c r="E4784" s="6">
        <v>0</v>
      </c>
      <c r="F4784" s="6">
        <v>3</v>
      </c>
      <c r="G4784" s="6" t="s">
        <v>13</v>
      </c>
      <c r="H4784" s="6" t="s">
        <v>11</v>
      </c>
      <c r="I4784" s="6">
        <f>TabJogos[[#This Row],[PontosTime1]]-TabJogos[[#This Row],[PontosTime2]]</f>
        <v>-3</v>
      </c>
    </row>
    <row r="4785" spans="1:9" ht="15" customHeight="1" x14ac:dyDescent="0.25">
      <c r="A4785" s="7">
        <v>4746</v>
      </c>
      <c r="B4785" s="1">
        <v>43782</v>
      </c>
      <c r="C4785" s="6" t="s">
        <v>9</v>
      </c>
      <c r="D4785" s="6" t="s">
        <v>11</v>
      </c>
      <c r="E4785" s="6">
        <v>3</v>
      </c>
      <c r="F4785" s="6">
        <v>2</v>
      </c>
      <c r="G4785" s="6" t="s">
        <v>13</v>
      </c>
      <c r="H4785" s="6" t="s">
        <v>18</v>
      </c>
      <c r="I4785" s="6">
        <f>TabJogos[[#This Row],[PontosTime1]]-TabJogos[[#This Row],[PontosTime2]]</f>
        <v>1</v>
      </c>
    </row>
    <row r="4786" spans="1:9" ht="15" customHeight="1" x14ac:dyDescent="0.25">
      <c r="A4786" s="7">
        <v>4747</v>
      </c>
      <c r="B4786" s="1">
        <v>43782</v>
      </c>
      <c r="C4786" s="6" t="s">
        <v>11</v>
      </c>
      <c r="D4786" s="6" t="s">
        <v>18</v>
      </c>
      <c r="E4786" s="6">
        <v>3</v>
      </c>
      <c r="F4786" s="6">
        <v>2</v>
      </c>
      <c r="G4786" s="6" t="s">
        <v>13</v>
      </c>
      <c r="H4786" s="6" t="s">
        <v>9</v>
      </c>
      <c r="I4786" s="6">
        <f>TabJogos[[#This Row],[PontosTime1]]-TabJogos[[#This Row],[PontosTime2]]</f>
        <v>1</v>
      </c>
    </row>
    <row r="4787" spans="1:9" ht="15" customHeight="1" x14ac:dyDescent="0.25">
      <c r="A4787" s="7">
        <v>4748</v>
      </c>
      <c r="B4787" s="1">
        <v>43787</v>
      </c>
      <c r="C4787" s="6" t="s">
        <v>13</v>
      </c>
      <c r="D4787" s="6" t="s">
        <v>10</v>
      </c>
      <c r="E4787" s="6">
        <v>2</v>
      </c>
      <c r="F4787" s="6">
        <v>3</v>
      </c>
      <c r="G4787" s="6" t="s">
        <v>18</v>
      </c>
      <c r="H4787" s="6" t="s">
        <v>11</v>
      </c>
      <c r="I4787" s="6">
        <f>TabJogos[[#This Row],[PontosTime1]]-TabJogos[[#This Row],[PontosTime2]]</f>
        <v>-1</v>
      </c>
    </row>
    <row r="4788" spans="1:9" ht="15" customHeight="1" x14ac:dyDescent="0.25">
      <c r="A4788" s="7">
        <v>4749</v>
      </c>
      <c r="B4788" s="1">
        <v>43787</v>
      </c>
      <c r="C4788" s="6" t="s">
        <v>18</v>
      </c>
      <c r="D4788" s="6" t="s">
        <v>10</v>
      </c>
      <c r="E4788" s="6">
        <v>2</v>
      </c>
      <c r="F4788" s="6">
        <v>3</v>
      </c>
      <c r="G4788" s="6" t="s">
        <v>13</v>
      </c>
      <c r="H4788" s="6" t="s">
        <v>11</v>
      </c>
      <c r="I4788" s="6">
        <f>TabJogos[[#This Row],[PontosTime1]]-TabJogos[[#This Row],[PontosTime2]]</f>
        <v>-1</v>
      </c>
    </row>
    <row r="4789" spans="1:9" ht="15" customHeight="1" x14ac:dyDescent="0.25">
      <c r="A4789" s="7">
        <v>4750</v>
      </c>
      <c r="B4789" s="1">
        <v>43787</v>
      </c>
      <c r="C4789" s="6" t="s">
        <v>13</v>
      </c>
      <c r="D4789" s="6" t="s">
        <v>18</v>
      </c>
      <c r="E4789" s="6">
        <v>3</v>
      </c>
      <c r="F4789" s="6">
        <v>0</v>
      </c>
      <c r="G4789" s="6" t="s">
        <v>11</v>
      </c>
      <c r="H4789" s="6" t="s">
        <v>10</v>
      </c>
      <c r="I4789" s="6">
        <f>TabJogos[[#This Row],[PontosTime1]]-TabJogos[[#This Row],[PontosTime2]]</f>
        <v>3</v>
      </c>
    </row>
    <row r="4790" spans="1:9" ht="15" customHeight="1" x14ac:dyDescent="0.25">
      <c r="A4790" s="7">
        <v>4751</v>
      </c>
      <c r="B4790" s="1">
        <v>43787</v>
      </c>
      <c r="C4790" s="6" t="s">
        <v>10</v>
      </c>
      <c r="D4790" s="6" t="s">
        <v>13</v>
      </c>
      <c r="E4790" s="6">
        <v>3</v>
      </c>
      <c r="F4790" s="6">
        <v>1</v>
      </c>
      <c r="G4790" s="6" t="s">
        <v>18</v>
      </c>
      <c r="H4790" s="6" t="s">
        <v>11</v>
      </c>
      <c r="I4790" s="6">
        <f>TabJogos[[#This Row],[PontosTime1]]-TabJogos[[#This Row],[PontosTime2]]</f>
        <v>2</v>
      </c>
    </row>
    <row r="4791" spans="1:9" ht="15" customHeight="1" x14ac:dyDescent="0.25">
      <c r="A4791" s="7">
        <v>4752</v>
      </c>
      <c r="B4791" s="1">
        <v>43787</v>
      </c>
      <c r="C4791" s="6" t="s">
        <v>10</v>
      </c>
      <c r="D4791" s="6" t="s">
        <v>18</v>
      </c>
      <c r="E4791" s="6">
        <v>4</v>
      </c>
      <c r="F4791" s="6">
        <v>1</v>
      </c>
      <c r="G4791" s="6" t="s">
        <v>11</v>
      </c>
      <c r="H4791" s="6" t="s">
        <v>13</v>
      </c>
      <c r="I4791" s="6">
        <f>TabJogos[[#This Row],[PontosTime1]]-TabJogos[[#This Row],[PontosTime2]]</f>
        <v>3</v>
      </c>
    </row>
    <row r="4792" spans="1:9" ht="15" customHeight="1" x14ac:dyDescent="0.25">
      <c r="A4792" s="7">
        <v>4753</v>
      </c>
      <c r="B4792" s="1">
        <v>43787</v>
      </c>
      <c r="C4792" s="6" t="s">
        <v>13</v>
      </c>
      <c r="D4792" s="6" t="s">
        <v>18</v>
      </c>
      <c r="E4792" s="6">
        <v>3</v>
      </c>
      <c r="F4792" s="6">
        <v>0</v>
      </c>
      <c r="G4792" s="6" t="s">
        <v>11</v>
      </c>
      <c r="H4792" s="6" t="s">
        <v>10</v>
      </c>
      <c r="I4792" s="6">
        <f>TabJogos[[#This Row],[PontosTime1]]-TabJogos[[#This Row],[PontosTime2]]</f>
        <v>3</v>
      </c>
    </row>
    <row r="4793" spans="1:9" ht="15" customHeight="1" x14ac:dyDescent="0.25">
      <c r="A4793" s="7">
        <v>4754</v>
      </c>
      <c r="B4793" s="1">
        <v>43788</v>
      </c>
      <c r="C4793" s="6" t="s">
        <v>11</v>
      </c>
      <c r="D4793" s="6" t="s">
        <v>17</v>
      </c>
      <c r="E4793" s="6">
        <v>1</v>
      </c>
      <c r="F4793" s="6">
        <v>3</v>
      </c>
      <c r="G4793" s="6" t="s">
        <v>18</v>
      </c>
      <c r="H4793" s="6" t="s">
        <v>13</v>
      </c>
      <c r="I4793" s="6">
        <f>TabJogos[[#This Row],[PontosTime1]]-TabJogos[[#This Row],[PontosTime2]]</f>
        <v>-2</v>
      </c>
    </row>
    <row r="4794" spans="1:9" ht="15" customHeight="1" x14ac:dyDescent="0.25">
      <c r="A4794" s="7">
        <v>4755</v>
      </c>
      <c r="B4794" s="1">
        <v>43788</v>
      </c>
      <c r="C4794" s="6" t="s">
        <v>11</v>
      </c>
      <c r="D4794" s="6" t="s">
        <v>13</v>
      </c>
      <c r="E4794" s="6">
        <v>3</v>
      </c>
      <c r="F4794" s="6">
        <v>2</v>
      </c>
      <c r="G4794" s="6" t="s">
        <v>18</v>
      </c>
      <c r="H4794" s="6" t="s">
        <v>17</v>
      </c>
      <c r="I4794" s="6">
        <f>TabJogos[[#This Row],[PontosTime1]]-TabJogos[[#This Row],[PontosTime2]]</f>
        <v>1</v>
      </c>
    </row>
    <row r="4795" spans="1:9" ht="15" customHeight="1" x14ac:dyDescent="0.25">
      <c r="A4795" s="7">
        <v>4756</v>
      </c>
      <c r="B4795" s="1">
        <v>43788</v>
      </c>
      <c r="C4795" s="6" t="s">
        <v>17</v>
      </c>
      <c r="D4795" s="6" t="s">
        <v>13</v>
      </c>
      <c r="E4795" s="6">
        <v>3</v>
      </c>
      <c r="F4795" s="6">
        <v>0</v>
      </c>
      <c r="G4795" s="6" t="s">
        <v>11</v>
      </c>
      <c r="H4795" s="6" t="s">
        <v>27</v>
      </c>
      <c r="I4795" s="6">
        <f>TabJogos[[#This Row],[PontosTime1]]-TabJogos[[#This Row],[PontosTime2]]</f>
        <v>3</v>
      </c>
    </row>
    <row r="4796" spans="1:9" ht="15" customHeight="1" x14ac:dyDescent="0.25">
      <c r="A4796" s="7">
        <v>4757</v>
      </c>
      <c r="B4796" s="1">
        <v>43788</v>
      </c>
      <c r="C4796" s="6" t="s">
        <v>13</v>
      </c>
      <c r="D4796" s="6" t="s">
        <v>18</v>
      </c>
      <c r="E4796" s="6">
        <v>5</v>
      </c>
      <c r="F4796" s="6">
        <v>1</v>
      </c>
      <c r="G4796" s="6" t="s">
        <v>17</v>
      </c>
      <c r="H4796" s="6" t="s">
        <v>27</v>
      </c>
      <c r="I4796" s="6">
        <f>TabJogos[[#This Row],[PontosTime1]]-TabJogos[[#This Row],[PontosTime2]]</f>
        <v>4</v>
      </c>
    </row>
    <row r="4797" spans="1:9" ht="15" customHeight="1" x14ac:dyDescent="0.25">
      <c r="A4797" s="7">
        <v>4758</v>
      </c>
      <c r="B4797" s="1">
        <v>43788</v>
      </c>
      <c r="C4797" s="6" t="s">
        <v>13</v>
      </c>
      <c r="D4797" s="6" t="s">
        <v>41</v>
      </c>
      <c r="E4797" s="6">
        <v>3</v>
      </c>
      <c r="F4797" s="6">
        <v>1</v>
      </c>
      <c r="G4797" s="6" t="s">
        <v>18</v>
      </c>
      <c r="H4797" s="6" t="s">
        <v>11</v>
      </c>
      <c r="I4797" s="6">
        <f>TabJogos[[#This Row],[PontosTime1]]-TabJogos[[#This Row],[PontosTime2]]</f>
        <v>2</v>
      </c>
    </row>
    <row r="4798" spans="1:9" ht="15" customHeight="1" x14ac:dyDescent="0.25">
      <c r="A4798" s="7">
        <v>4759</v>
      </c>
      <c r="B4798" s="1">
        <v>43788</v>
      </c>
      <c r="C4798" s="6" t="s">
        <v>13</v>
      </c>
      <c r="D4798" s="6" t="s">
        <v>27</v>
      </c>
      <c r="E4798" s="6">
        <v>3</v>
      </c>
      <c r="F4798" s="6">
        <v>1</v>
      </c>
      <c r="G4798" s="6" t="s">
        <v>41</v>
      </c>
      <c r="H4798" s="6" t="s">
        <v>17</v>
      </c>
      <c r="I4798" s="6">
        <f>TabJogos[[#This Row],[PontosTime1]]-TabJogos[[#This Row],[PontosTime2]]</f>
        <v>2</v>
      </c>
    </row>
    <row r="4799" spans="1:9" ht="15" customHeight="1" x14ac:dyDescent="0.25">
      <c r="A4799" s="7">
        <v>4760</v>
      </c>
      <c r="B4799" s="1">
        <v>43788</v>
      </c>
      <c r="C4799" s="6" t="s">
        <v>13</v>
      </c>
      <c r="D4799" s="6" t="s">
        <v>10</v>
      </c>
      <c r="E4799" s="6">
        <v>2</v>
      </c>
      <c r="F4799" s="6">
        <v>3</v>
      </c>
      <c r="G4799" s="6" t="s">
        <v>18</v>
      </c>
      <c r="H4799" s="6" t="s">
        <v>27</v>
      </c>
      <c r="I4799" s="6">
        <f>TabJogos[[#This Row],[PontosTime1]]-TabJogos[[#This Row],[PontosTime2]]</f>
        <v>-1</v>
      </c>
    </row>
    <row r="4800" spans="1:9" ht="15" customHeight="1" x14ac:dyDescent="0.25">
      <c r="A4800" s="7">
        <v>4761</v>
      </c>
      <c r="B4800" s="1">
        <v>43788</v>
      </c>
      <c r="C4800" s="6" t="s">
        <v>27</v>
      </c>
      <c r="D4800" s="6" t="s">
        <v>41</v>
      </c>
      <c r="E4800" s="6">
        <v>2</v>
      </c>
      <c r="F4800" s="6">
        <v>3</v>
      </c>
      <c r="G4800" s="6" t="s">
        <v>18</v>
      </c>
      <c r="H4800" s="6" t="s">
        <v>17</v>
      </c>
      <c r="I4800" s="6">
        <f>TabJogos[[#This Row],[PontosTime1]]-TabJogos[[#This Row],[PontosTime2]]</f>
        <v>-1</v>
      </c>
    </row>
    <row r="4801" spans="1:9" ht="15" customHeight="1" x14ac:dyDescent="0.25">
      <c r="A4801" s="7">
        <v>4762</v>
      </c>
      <c r="B4801" s="1">
        <v>43788</v>
      </c>
      <c r="C4801" s="6" t="s">
        <v>13</v>
      </c>
      <c r="D4801" s="6" t="s">
        <v>17</v>
      </c>
      <c r="E4801" s="6">
        <v>3</v>
      </c>
      <c r="F4801" s="6">
        <v>1</v>
      </c>
      <c r="G4801" s="6" t="s">
        <v>41</v>
      </c>
      <c r="H4801" s="6" t="s">
        <v>18</v>
      </c>
      <c r="I4801" s="6">
        <f>TabJogos[[#This Row],[PontosTime1]]-TabJogos[[#This Row],[PontosTime2]]</f>
        <v>2</v>
      </c>
    </row>
    <row r="4802" spans="1:9" ht="15" customHeight="1" x14ac:dyDescent="0.25">
      <c r="A4802" s="7">
        <v>4763</v>
      </c>
      <c r="B4802" s="1">
        <v>43788</v>
      </c>
      <c r="C4802" s="6" t="s">
        <v>27</v>
      </c>
      <c r="D4802" s="6" t="s">
        <v>17</v>
      </c>
      <c r="E4802" s="6">
        <v>3</v>
      </c>
      <c r="F4802" s="6">
        <v>2</v>
      </c>
      <c r="G4802" s="6" t="s">
        <v>18</v>
      </c>
      <c r="H4802" s="6" t="s">
        <v>13</v>
      </c>
      <c r="I4802" s="6">
        <f>TabJogos[[#This Row],[PontosTime1]]-TabJogos[[#This Row],[PontosTime2]]</f>
        <v>1</v>
      </c>
    </row>
    <row r="4803" spans="1:9" ht="15" customHeight="1" x14ac:dyDescent="0.25">
      <c r="A4803" s="7">
        <v>4764</v>
      </c>
      <c r="B4803" s="1">
        <v>43788</v>
      </c>
      <c r="C4803" s="6" t="s">
        <v>13</v>
      </c>
      <c r="D4803" s="6" t="s">
        <v>27</v>
      </c>
      <c r="E4803" s="6">
        <v>6</v>
      </c>
      <c r="F4803" s="6">
        <v>0</v>
      </c>
      <c r="G4803" s="6" t="s">
        <v>17</v>
      </c>
      <c r="H4803" s="6" t="s">
        <v>41</v>
      </c>
      <c r="I4803" s="6">
        <f>TabJogos[[#This Row],[PontosTime1]]-TabJogos[[#This Row],[PontosTime2]]</f>
        <v>6</v>
      </c>
    </row>
    <row r="4804" spans="1:9" ht="15" customHeight="1" x14ac:dyDescent="0.25">
      <c r="A4804" s="7">
        <v>4765</v>
      </c>
      <c r="B4804" s="1">
        <v>43788</v>
      </c>
      <c r="C4804" s="6" t="s">
        <v>18</v>
      </c>
      <c r="D4804" s="6" t="s">
        <v>27</v>
      </c>
      <c r="E4804" s="6">
        <v>2</v>
      </c>
      <c r="F4804" s="6">
        <v>3</v>
      </c>
      <c r="G4804" s="6" t="s">
        <v>17</v>
      </c>
      <c r="H4804" s="6" t="s">
        <v>13</v>
      </c>
      <c r="I4804" s="6">
        <f>TabJogos[[#This Row],[PontosTime1]]-TabJogos[[#This Row],[PontosTime2]]</f>
        <v>-1</v>
      </c>
    </row>
    <row r="4805" spans="1:9" ht="15" customHeight="1" x14ac:dyDescent="0.25">
      <c r="A4805" s="7">
        <v>4766</v>
      </c>
      <c r="B4805" s="1">
        <v>43789</v>
      </c>
      <c r="C4805" s="6" t="s">
        <v>13</v>
      </c>
      <c r="D4805" s="6" t="s">
        <v>10</v>
      </c>
      <c r="E4805" s="6">
        <v>1</v>
      </c>
      <c r="F4805" s="6">
        <v>3</v>
      </c>
      <c r="G4805" s="6" t="s">
        <v>11</v>
      </c>
      <c r="H4805" s="6" t="s">
        <v>18</v>
      </c>
      <c r="I4805" s="6">
        <f>TabJogos[[#This Row],[PontosTime1]]-TabJogos[[#This Row],[PontosTime2]]</f>
        <v>-2</v>
      </c>
    </row>
    <row r="4806" spans="1:9" ht="15" customHeight="1" x14ac:dyDescent="0.25">
      <c r="A4806" s="7">
        <v>4767</v>
      </c>
      <c r="B4806" s="1">
        <v>43789</v>
      </c>
      <c r="C4806" s="6" t="s">
        <v>11</v>
      </c>
      <c r="D4806" s="6" t="s">
        <v>13</v>
      </c>
      <c r="E4806" s="6">
        <v>3</v>
      </c>
      <c r="F4806" s="6">
        <v>0</v>
      </c>
      <c r="G4806" s="6" t="s">
        <v>18</v>
      </c>
      <c r="H4806" s="6" t="s">
        <v>10</v>
      </c>
      <c r="I4806" s="6">
        <f>TabJogos[[#This Row],[PontosTime1]]-TabJogos[[#This Row],[PontosTime2]]</f>
        <v>3</v>
      </c>
    </row>
    <row r="4807" spans="1:9" ht="15" customHeight="1" x14ac:dyDescent="0.25">
      <c r="A4807" s="7">
        <v>4768</v>
      </c>
      <c r="B4807" s="1">
        <v>43789</v>
      </c>
      <c r="C4807" s="6" t="s">
        <v>11</v>
      </c>
      <c r="D4807" s="6" t="s">
        <v>10</v>
      </c>
      <c r="E4807" s="6">
        <v>3</v>
      </c>
      <c r="F4807" s="6">
        <v>1</v>
      </c>
      <c r="G4807" s="6" t="s">
        <v>13</v>
      </c>
      <c r="H4807" s="6" t="s">
        <v>18</v>
      </c>
      <c r="I4807" s="6">
        <f>TabJogos[[#This Row],[PontosTime1]]-TabJogos[[#This Row],[PontosTime2]]</f>
        <v>2</v>
      </c>
    </row>
    <row r="4808" spans="1:9" ht="15" customHeight="1" x14ac:dyDescent="0.25">
      <c r="A4808" s="7">
        <v>4769</v>
      </c>
      <c r="B4808" s="1">
        <v>43789</v>
      </c>
      <c r="C4808" s="6" t="s">
        <v>11</v>
      </c>
      <c r="D4808" s="6" t="s">
        <v>18</v>
      </c>
      <c r="E4808" s="6">
        <v>3</v>
      </c>
      <c r="F4808" s="6">
        <v>0</v>
      </c>
      <c r="G4808" s="6" t="s">
        <v>10</v>
      </c>
      <c r="H4808" s="6" t="s">
        <v>13</v>
      </c>
      <c r="I4808" s="6">
        <f>TabJogos[[#This Row],[PontosTime1]]-TabJogos[[#This Row],[PontosTime2]]</f>
        <v>3</v>
      </c>
    </row>
    <row r="4809" spans="1:9" ht="15" customHeight="1" x14ac:dyDescent="0.25">
      <c r="A4809" s="7">
        <v>4770</v>
      </c>
      <c r="B4809" s="1">
        <v>43789</v>
      </c>
      <c r="C4809" s="6" t="s">
        <v>10</v>
      </c>
      <c r="D4809" s="6" t="s">
        <v>18</v>
      </c>
      <c r="E4809" s="6">
        <v>3</v>
      </c>
      <c r="F4809" s="6">
        <v>0</v>
      </c>
      <c r="G4809" s="6" t="s">
        <v>11</v>
      </c>
      <c r="H4809" s="6" t="s">
        <v>32</v>
      </c>
      <c r="I4809" s="6">
        <f>TabJogos[[#This Row],[PontosTime1]]-TabJogos[[#This Row],[PontosTime2]]</f>
        <v>3</v>
      </c>
    </row>
    <row r="4810" spans="1:9" ht="15" customHeight="1" x14ac:dyDescent="0.25">
      <c r="A4810" s="7">
        <v>4771</v>
      </c>
      <c r="B4810" s="1">
        <v>43789</v>
      </c>
      <c r="C4810" s="6" t="s">
        <v>13</v>
      </c>
      <c r="D4810" s="6" t="s">
        <v>18</v>
      </c>
      <c r="E4810" s="6">
        <v>3</v>
      </c>
      <c r="F4810" s="6">
        <v>0</v>
      </c>
      <c r="G4810" s="6" t="s">
        <v>41</v>
      </c>
      <c r="H4810" s="6" t="s">
        <v>10</v>
      </c>
      <c r="I4810" s="6">
        <f>TabJogos[[#This Row],[PontosTime1]]-TabJogos[[#This Row],[PontosTime2]]</f>
        <v>3</v>
      </c>
    </row>
    <row r="4811" spans="1:9" ht="15" customHeight="1" x14ac:dyDescent="0.25">
      <c r="A4811" s="7">
        <v>4772</v>
      </c>
      <c r="B4811" s="1">
        <v>43789</v>
      </c>
      <c r="C4811" s="6" t="s">
        <v>18</v>
      </c>
      <c r="D4811" s="6" t="s">
        <v>32</v>
      </c>
      <c r="E4811" s="6">
        <v>1</v>
      </c>
      <c r="F4811" s="6">
        <v>3</v>
      </c>
      <c r="G4811" s="6" t="s">
        <v>13</v>
      </c>
      <c r="H4811" s="6" t="s">
        <v>11</v>
      </c>
      <c r="I4811" s="6">
        <f>TabJogos[[#This Row],[PontosTime1]]-TabJogos[[#This Row],[PontosTime2]]</f>
        <v>-2</v>
      </c>
    </row>
    <row r="4812" spans="1:9" ht="15" customHeight="1" x14ac:dyDescent="0.25">
      <c r="A4812" s="7">
        <v>4773</v>
      </c>
      <c r="B4812" s="1">
        <v>43789</v>
      </c>
      <c r="C4812" s="6" t="s">
        <v>41</v>
      </c>
      <c r="D4812" s="6" t="s">
        <v>11</v>
      </c>
      <c r="E4812" s="6">
        <v>3</v>
      </c>
      <c r="F4812" s="6">
        <v>1</v>
      </c>
      <c r="G4812" s="6" t="s">
        <v>32</v>
      </c>
      <c r="H4812" s="6" t="s">
        <v>13</v>
      </c>
      <c r="I4812" s="6">
        <f>TabJogos[[#This Row],[PontosTime1]]-TabJogos[[#This Row],[PontosTime2]]</f>
        <v>2</v>
      </c>
    </row>
    <row r="4813" spans="1:9" ht="15" customHeight="1" x14ac:dyDescent="0.25">
      <c r="A4813" s="7">
        <v>4774</v>
      </c>
      <c r="B4813" s="1">
        <v>43789</v>
      </c>
      <c r="C4813" s="6" t="s">
        <v>41</v>
      </c>
      <c r="D4813" s="6" t="s">
        <v>9</v>
      </c>
      <c r="E4813" s="6">
        <v>4</v>
      </c>
      <c r="F4813" s="6">
        <v>0</v>
      </c>
      <c r="G4813" s="6" t="s">
        <v>18</v>
      </c>
      <c r="H4813" s="6" t="s">
        <v>11</v>
      </c>
      <c r="I4813" s="6">
        <f>TabJogos[[#This Row],[PontosTime1]]-TabJogos[[#This Row],[PontosTime2]]</f>
        <v>4</v>
      </c>
    </row>
    <row r="4814" spans="1:9" ht="15" customHeight="1" x14ac:dyDescent="0.25">
      <c r="A4814" s="7">
        <v>4775</v>
      </c>
      <c r="B4814" s="1">
        <v>43789</v>
      </c>
      <c r="C4814" s="6" t="s">
        <v>13</v>
      </c>
      <c r="D4814" s="6" t="s">
        <v>9</v>
      </c>
      <c r="E4814" s="6">
        <v>4</v>
      </c>
      <c r="F4814" s="6">
        <v>0</v>
      </c>
      <c r="G4814" s="6" t="s">
        <v>41</v>
      </c>
      <c r="H4814" s="6" t="s">
        <v>18</v>
      </c>
      <c r="I4814" s="6">
        <f>TabJogos[[#This Row],[PontosTime1]]-TabJogos[[#This Row],[PontosTime2]]</f>
        <v>4</v>
      </c>
    </row>
    <row r="4815" spans="1:9" ht="15" customHeight="1" x14ac:dyDescent="0.25">
      <c r="A4815" s="7">
        <v>4776</v>
      </c>
      <c r="B4815" s="1">
        <v>43789</v>
      </c>
      <c r="C4815" s="6" t="s">
        <v>9</v>
      </c>
      <c r="D4815" s="6" t="s">
        <v>11</v>
      </c>
      <c r="E4815" s="6">
        <v>3</v>
      </c>
      <c r="F4815" s="6">
        <v>2</v>
      </c>
      <c r="G4815" s="6" t="s">
        <v>18</v>
      </c>
      <c r="H4815" s="6" t="s">
        <v>13</v>
      </c>
      <c r="I4815" s="6">
        <f>TabJogos[[#This Row],[PontosTime1]]-TabJogos[[#This Row],[PontosTime2]]</f>
        <v>1</v>
      </c>
    </row>
    <row r="4816" spans="1:9" ht="15" customHeight="1" x14ac:dyDescent="0.25">
      <c r="A4816" s="7">
        <v>4777</v>
      </c>
      <c r="B4816" s="1">
        <v>43789</v>
      </c>
      <c r="C4816" s="6" t="s">
        <v>18</v>
      </c>
      <c r="D4816" s="6" t="s">
        <v>9</v>
      </c>
      <c r="E4816" s="6">
        <v>3</v>
      </c>
      <c r="F4816" s="6">
        <v>0</v>
      </c>
      <c r="G4816" s="6" t="s">
        <v>13</v>
      </c>
      <c r="H4816" s="6" t="s">
        <v>11</v>
      </c>
      <c r="I4816" s="6">
        <f>TabJogos[[#This Row],[PontosTime1]]-TabJogos[[#This Row],[PontosTime2]]</f>
        <v>3</v>
      </c>
    </row>
    <row r="4817" spans="1:9" ht="15" customHeight="1" x14ac:dyDescent="0.25">
      <c r="A4817" s="7">
        <v>4778</v>
      </c>
      <c r="B4817" s="1">
        <v>43790</v>
      </c>
      <c r="C4817" s="6" t="s">
        <v>13</v>
      </c>
      <c r="D4817" s="6" t="s">
        <v>11</v>
      </c>
      <c r="E4817" s="6">
        <v>3</v>
      </c>
      <c r="F4817" s="6">
        <v>1</v>
      </c>
      <c r="G4817" s="6" t="s">
        <v>41</v>
      </c>
      <c r="H4817" s="6" t="s">
        <v>64</v>
      </c>
      <c r="I4817" s="6">
        <f>TabJogos[[#This Row],[PontosTime1]]-TabJogos[[#This Row],[PontosTime2]]</f>
        <v>2</v>
      </c>
    </row>
    <row r="4818" spans="1:9" ht="15" customHeight="1" x14ac:dyDescent="0.25">
      <c r="A4818" s="7">
        <v>4779</v>
      </c>
      <c r="B4818" s="1">
        <v>43790</v>
      </c>
      <c r="C4818" s="6" t="s">
        <v>13</v>
      </c>
      <c r="D4818" s="6" t="s">
        <v>41</v>
      </c>
      <c r="E4818" s="6">
        <v>1</v>
      </c>
      <c r="F4818" s="6">
        <v>3</v>
      </c>
      <c r="G4818" s="6" t="s">
        <v>11</v>
      </c>
      <c r="H4818" s="6" t="s">
        <v>64</v>
      </c>
      <c r="I4818" s="6">
        <f>TabJogos[[#This Row],[PontosTime1]]-TabJogos[[#This Row],[PontosTime2]]</f>
        <v>-2</v>
      </c>
    </row>
    <row r="4819" spans="1:9" ht="15" customHeight="1" x14ac:dyDescent="0.25">
      <c r="A4819" s="7">
        <v>4780</v>
      </c>
      <c r="B4819" s="1">
        <v>43790</v>
      </c>
      <c r="C4819" s="6" t="s">
        <v>13</v>
      </c>
      <c r="D4819" s="6" t="s">
        <v>64</v>
      </c>
      <c r="E4819" s="6">
        <v>4</v>
      </c>
      <c r="F4819" s="6">
        <v>1</v>
      </c>
      <c r="G4819" s="6" t="s">
        <v>11</v>
      </c>
      <c r="H4819" s="6" t="s">
        <v>41</v>
      </c>
      <c r="I4819" s="6">
        <f>TabJogos[[#This Row],[PontosTime1]]-TabJogos[[#This Row],[PontosTime2]]</f>
        <v>3</v>
      </c>
    </row>
    <row r="4820" spans="1:9" ht="15" customHeight="1" x14ac:dyDescent="0.25">
      <c r="A4820" s="7">
        <v>4781</v>
      </c>
      <c r="B4820" s="1">
        <v>43790</v>
      </c>
      <c r="C4820" s="6" t="s">
        <v>13</v>
      </c>
      <c r="D4820" s="6" t="s">
        <v>18</v>
      </c>
      <c r="E4820" s="6">
        <v>3</v>
      </c>
      <c r="F4820" s="6">
        <v>0</v>
      </c>
      <c r="G4820" s="6" t="s">
        <v>17</v>
      </c>
      <c r="H4820" s="6" t="s">
        <v>11</v>
      </c>
      <c r="I4820" s="6">
        <f>TabJogos[[#This Row],[PontosTime1]]-TabJogos[[#This Row],[PontosTime2]]</f>
        <v>3</v>
      </c>
    </row>
    <row r="4821" spans="1:9" ht="15" customHeight="1" x14ac:dyDescent="0.25">
      <c r="A4821" s="7">
        <v>4782</v>
      </c>
      <c r="B4821" s="1">
        <v>43790</v>
      </c>
      <c r="C4821" s="6" t="s">
        <v>64</v>
      </c>
      <c r="D4821" s="6" t="s">
        <v>18</v>
      </c>
      <c r="E4821" s="6">
        <v>3</v>
      </c>
      <c r="F4821" s="6">
        <v>0</v>
      </c>
      <c r="G4821" s="6" t="s">
        <v>13</v>
      </c>
      <c r="H4821" s="6" t="s">
        <v>41</v>
      </c>
      <c r="I4821" s="6">
        <f>TabJogos[[#This Row],[PontosTime1]]-TabJogos[[#This Row],[PontosTime2]]</f>
        <v>3</v>
      </c>
    </row>
    <row r="4822" spans="1:9" ht="15" customHeight="1" x14ac:dyDescent="0.25">
      <c r="A4822" s="7">
        <v>4783</v>
      </c>
      <c r="B4822" s="1">
        <v>43790</v>
      </c>
      <c r="C4822" s="6" t="s">
        <v>64</v>
      </c>
      <c r="D4822" s="6" t="s">
        <v>13</v>
      </c>
      <c r="E4822" s="6">
        <v>3</v>
      </c>
      <c r="F4822" s="6">
        <v>0</v>
      </c>
      <c r="G4822" s="6" t="s">
        <v>17</v>
      </c>
      <c r="H4822" s="6" t="s">
        <v>18</v>
      </c>
      <c r="I4822" s="6">
        <f>TabJogos[[#This Row],[PontosTime1]]-TabJogos[[#This Row],[PontosTime2]]</f>
        <v>3</v>
      </c>
    </row>
    <row r="4823" spans="1:9" ht="15" customHeight="1" x14ac:dyDescent="0.25">
      <c r="A4823" s="7">
        <v>4784</v>
      </c>
      <c r="B4823" s="1">
        <v>43790</v>
      </c>
      <c r="C4823" s="6" t="s">
        <v>64</v>
      </c>
      <c r="D4823" s="6" t="s">
        <v>41</v>
      </c>
      <c r="E4823" s="6">
        <v>1</v>
      </c>
      <c r="F4823" s="6">
        <v>3</v>
      </c>
      <c r="G4823" s="6" t="s">
        <v>13</v>
      </c>
      <c r="H4823" s="6" t="s">
        <v>17</v>
      </c>
      <c r="I4823" s="6">
        <f>TabJogos[[#This Row],[PontosTime1]]-TabJogos[[#This Row],[PontosTime2]]</f>
        <v>-2</v>
      </c>
    </row>
    <row r="4824" spans="1:9" ht="15" customHeight="1" x14ac:dyDescent="0.25">
      <c r="A4824" s="7">
        <v>4785</v>
      </c>
      <c r="B4824" s="1">
        <v>43794</v>
      </c>
      <c r="C4824" s="6" t="s">
        <v>64</v>
      </c>
      <c r="D4824" s="6" t="s">
        <v>18</v>
      </c>
      <c r="E4824" s="6">
        <v>3</v>
      </c>
      <c r="F4824" s="6">
        <v>2</v>
      </c>
      <c r="G4824" s="6" t="s">
        <v>32</v>
      </c>
      <c r="H4824" s="6" t="s">
        <v>11</v>
      </c>
      <c r="I4824" s="6">
        <f>TabJogos[[#This Row],[PontosTime1]]-TabJogos[[#This Row],[PontosTime2]]</f>
        <v>1</v>
      </c>
    </row>
    <row r="4825" spans="1:9" ht="15" customHeight="1" x14ac:dyDescent="0.25">
      <c r="A4825" s="7">
        <v>4786</v>
      </c>
      <c r="B4825" s="1">
        <v>43794</v>
      </c>
      <c r="C4825" s="6" t="s">
        <v>11</v>
      </c>
      <c r="D4825" s="6" t="s">
        <v>64</v>
      </c>
      <c r="E4825" s="6">
        <v>0</v>
      </c>
      <c r="F4825" s="6">
        <v>3</v>
      </c>
      <c r="G4825" s="6" t="s">
        <v>18</v>
      </c>
      <c r="H4825" s="6" t="s">
        <v>32</v>
      </c>
      <c r="I4825" s="6">
        <f>TabJogos[[#This Row],[PontosTime1]]-TabJogos[[#This Row],[PontosTime2]]</f>
        <v>-3</v>
      </c>
    </row>
    <row r="4826" spans="1:9" ht="15" customHeight="1" x14ac:dyDescent="0.25">
      <c r="A4826" s="7">
        <v>4787</v>
      </c>
      <c r="B4826" s="1">
        <v>43794</v>
      </c>
      <c r="C4826" s="6" t="s">
        <v>18</v>
      </c>
      <c r="D4826" s="6" t="s">
        <v>11</v>
      </c>
      <c r="E4826" s="6">
        <v>3</v>
      </c>
      <c r="F4826" s="6">
        <v>0</v>
      </c>
      <c r="G4826" s="6" t="s">
        <v>64</v>
      </c>
      <c r="H4826" s="6" t="s">
        <v>32</v>
      </c>
      <c r="I4826" s="6">
        <f>TabJogos[[#This Row],[PontosTime1]]-TabJogos[[#This Row],[PontosTime2]]</f>
        <v>3</v>
      </c>
    </row>
    <row r="4827" spans="1:9" ht="15" customHeight="1" x14ac:dyDescent="0.25">
      <c r="A4827" s="7">
        <v>4788</v>
      </c>
      <c r="B4827" s="1">
        <v>43794</v>
      </c>
      <c r="C4827" s="6" t="s">
        <v>18</v>
      </c>
      <c r="D4827" s="6" t="s">
        <v>64</v>
      </c>
      <c r="E4827" s="6">
        <v>3</v>
      </c>
      <c r="F4827" s="6">
        <v>2</v>
      </c>
      <c r="G4827" s="6" t="s">
        <v>11</v>
      </c>
      <c r="H4827" s="6" t="s">
        <v>41</v>
      </c>
      <c r="I4827" s="6">
        <f>TabJogos[[#This Row],[PontosTime1]]-TabJogos[[#This Row],[PontosTime2]]</f>
        <v>1</v>
      </c>
    </row>
    <row r="4828" spans="1:9" ht="15" customHeight="1" x14ac:dyDescent="0.25">
      <c r="A4828" s="7">
        <v>4789</v>
      </c>
      <c r="B4828" s="1">
        <v>43794</v>
      </c>
      <c r="C4828" s="6" t="s">
        <v>18</v>
      </c>
      <c r="D4828" s="6" t="s">
        <v>41</v>
      </c>
      <c r="E4828" s="6">
        <v>3</v>
      </c>
      <c r="F4828" s="6">
        <v>1</v>
      </c>
      <c r="G4828" s="6" t="s">
        <v>64</v>
      </c>
      <c r="H4828" s="6" t="s">
        <v>11</v>
      </c>
      <c r="I4828" s="6">
        <f>TabJogos[[#This Row],[PontosTime1]]-TabJogos[[#This Row],[PontosTime2]]</f>
        <v>2</v>
      </c>
    </row>
    <row r="4829" spans="1:9" ht="15" customHeight="1" x14ac:dyDescent="0.25">
      <c r="A4829" s="7">
        <v>4790</v>
      </c>
      <c r="B4829" s="1">
        <v>43794</v>
      </c>
      <c r="C4829" s="6" t="s">
        <v>18</v>
      </c>
      <c r="D4829" s="6" t="s">
        <v>11</v>
      </c>
      <c r="E4829" s="6">
        <v>4</v>
      </c>
      <c r="F4829" s="6">
        <v>0</v>
      </c>
      <c r="G4829" s="6" t="s">
        <v>11</v>
      </c>
      <c r="H4829" s="6" t="s">
        <v>64</v>
      </c>
      <c r="I4829" s="6">
        <f>TabJogos[[#This Row],[PontosTime1]]-TabJogos[[#This Row],[PontosTime2]]</f>
        <v>4</v>
      </c>
    </row>
    <row r="4830" spans="1:9" ht="15" customHeight="1" x14ac:dyDescent="0.25">
      <c r="A4830" s="7">
        <v>4791</v>
      </c>
      <c r="B4830" s="1">
        <v>43794</v>
      </c>
      <c r="C4830" s="6" t="s">
        <v>64</v>
      </c>
      <c r="D4830" s="6" t="s">
        <v>18</v>
      </c>
      <c r="E4830" s="6">
        <v>0</v>
      </c>
      <c r="F4830" s="6">
        <v>4</v>
      </c>
      <c r="G4830" s="6" t="s">
        <v>41</v>
      </c>
      <c r="H4830" s="6" t="s">
        <v>11</v>
      </c>
      <c r="I4830" s="6">
        <f>TabJogos[[#This Row],[PontosTime1]]-TabJogos[[#This Row],[PontosTime2]]</f>
        <v>-4</v>
      </c>
    </row>
    <row r="4831" spans="1:9" ht="15" customHeight="1" x14ac:dyDescent="0.25">
      <c r="A4831" s="7">
        <v>4792</v>
      </c>
      <c r="B4831" s="1">
        <v>43795</v>
      </c>
      <c r="C4831" s="6" t="s">
        <v>18</v>
      </c>
      <c r="D4831" s="6" t="s">
        <v>11</v>
      </c>
      <c r="E4831" s="6">
        <v>3</v>
      </c>
      <c r="F4831" s="6">
        <v>2</v>
      </c>
      <c r="G4831" s="6" t="s">
        <v>10</v>
      </c>
      <c r="H4831" s="6" t="s">
        <v>9</v>
      </c>
      <c r="I4831" s="6">
        <f>TabJogos[[#This Row],[PontosTime1]]-TabJogos[[#This Row],[PontosTime2]]</f>
        <v>1</v>
      </c>
    </row>
    <row r="4832" spans="1:9" ht="15" customHeight="1" x14ac:dyDescent="0.25">
      <c r="A4832" s="7">
        <v>4793</v>
      </c>
      <c r="B4832" s="1">
        <v>43795</v>
      </c>
      <c r="C4832" s="6" t="s">
        <v>11</v>
      </c>
      <c r="D4832" s="6" t="s">
        <v>9</v>
      </c>
      <c r="E4832" s="6">
        <v>3</v>
      </c>
      <c r="F4832" s="6">
        <v>2</v>
      </c>
      <c r="G4832" s="6" t="s">
        <v>10</v>
      </c>
      <c r="H4832" s="6" t="s">
        <v>18</v>
      </c>
      <c r="I4832" s="6">
        <f>TabJogos[[#This Row],[PontosTime1]]-TabJogos[[#This Row],[PontosTime2]]</f>
        <v>1</v>
      </c>
    </row>
    <row r="4833" spans="1:9" ht="15" customHeight="1" x14ac:dyDescent="0.25">
      <c r="A4833" s="7">
        <v>4794</v>
      </c>
      <c r="B4833" s="1">
        <v>43795</v>
      </c>
      <c r="C4833" s="6" t="s">
        <v>10</v>
      </c>
      <c r="D4833" s="6" t="s">
        <v>11</v>
      </c>
      <c r="E4833" s="6">
        <v>5</v>
      </c>
      <c r="F4833" s="6">
        <v>0</v>
      </c>
      <c r="G4833" s="6" t="s">
        <v>9</v>
      </c>
      <c r="H4833" s="6" t="s">
        <v>41</v>
      </c>
      <c r="I4833" s="6">
        <f>TabJogos[[#This Row],[PontosTime1]]-TabJogos[[#This Row],[PontosTime2]]</f>
        <v>5</v>
      </c>
    </row>
    <row r="4834" spans="1:9" ht="15" customHeight="1" x14ac:dyDescent="0.25">
      <c r="A4834" s="7">
        <v>4795</v>
      </c>
      <c r="B4834" s="1">
        <v>43795</v>
      </c>
      <c r="C4834" s="6" t="s">
        <v>11</v>
      </c>
      <c r="D4834" s="6" t="s">
        <v>18</v>
      </c>
      <c r="E4834" s="6">
        <v>3</v>
      </c>
      <c r="F4834" s="6">
        <v>2</v>
      </c>
      <c r="G4834" s="6" t="s">
        <v>41</v>
      </c>
      <c r="H4834" s="6" t="s">
        <v>10</v>
      </c>
      <c r="I4834" s="6">
        <f>TabJogos[[#This Row],[PontosTime1]]-TabJogos[[#This Row],[PontosTime2]]</f>
        <v>1</v>
      </c>
    </row>
    <row r="4835" spans="1:9" ht="15" customHeight="1" x14ac:dyDescent="0.25">
      <c r="A4835" s="7">
        <v>4796</v>
      </c>
      <c r="B4835" s="1">
        <v>43795</v>
      </c>
      <c r="C4835" s="6" t="s">
        <v>11</v>
      </c>
      <c r="D4835" s="6" t="s">
        <v>27</v>
      </c>
      <c r="E4835" s="6">
        <v>3</v>
      </c>
      <c r="F4835" s="6">
        <v>1</v>
      </c>
      <c r="G4835" s="6" t="s">
        <v>9</v>
      </c>
      <c r="H4835" s="6" t="s">
        <v>18</v>
      </c>
      <c r="I4835" s="6">
        <f>TabJogos[[#This Row],[PontosTime1]]-TabJogos[[#This Row],[PontosTime2]]</f>
        <v>2</v>
      </c>
    </row>
    <row r="4836" spans="1:9" ht="15" customHeight="1" x14ac:dyDescent="0.25">
      <c r="A4836" s="7">
        <v>4797</v>
      </c>
      <c r="B4836" s="1">
        <v>43795</v>
      </c>
      <c r="C4836" s="6" t="s">
        <v>11</v>
      </c>
      <c r="D4836" s="6" t="s">
        <v>41</v>
      </c>
      <c r="E4836" s="6">
        <v>3</v>
      </c>
      <c r="F4836" s="6">
        <v>2</v>
      </c>
      <c r="G4836" s="6" t="s">
        <v>18</v>
      </c>
      <c r="H4836" s="6" t="s">
        <v>27</v>
      </c>
      <c r="I4836" s="6">
        <f>TabJogos[[#This Row],[PontosTime1]]-TabJogos[[#This Row],[PontosTime2]]</f>
        <v>1</v>
      </c>
    </row>
    <row r="4837" spans="1:9" ht="15" customHeight="1" x14ac:dyDescent="0.25">
      <c r="A4837" s="7">
        <v>4798</v>
      </c>
      <c r="B4837" s="1">
        <v>43795</v>
      </c>
      <c r="C4837" s="6" t="s">
        <v>11</v>
      </c>
      <c r="D4837" s="6" t="s">
        <v>9</v>
      </c>
      <c r="E4837" s="6">
        <v>3</v>
      </c>
      <c r="F4837" s="6">
        <v>1</v>
      </c>
      <c r="G4837" s="6" t="s">
        <v>41</v>
      </c>
      <c r="H4837" s="6" t="s">
        <v>27</v>
      </c>
      <c r="I4837" s="6">
        <f>TabJogos[[#This Row],[PontosTime1]]-TabJogos[[#This Row],[PontosTime2]]</f>
        <v>2</v>
      </c>
    </row>
    <row r="4838" spans="1:9" ht="15" customHeight="1" x14ac:dyDescent="0.25">
      <c r="A4838" s="7">
        <v>4799</v>
      </c>
      <c r="B4838" s="1">
        <v>43795</v>
      </c>
      <c r="C4838" s="6" t="s">
        <v>9</v>
      </c>
      <c r="D4838" s="6" t="s">
        <v>41</v>
      </c>
      <c r="E4838" s="6">
        <v>3</v>
      </c>
      <c r="F4838" s="6">
        <v>1</v>
      </c>
      <c r="G4838" s="6" t="s">
        <v>18</v>
      </c>
      <c r="H4838" s="6" t="s">
        <v>11</v>
      </c>
      <c r="I4838" s="6">
        <f>TabJogos[[#This Row],[PontosTime1]]-TabJogos[[#This Row],[PontosTime2]]</f>
        <v>2</v>
      </c>
    </row>
    <row r="4839" spans="1:9" ht="15" customHeight="1" x14ac:dyDescent="0.25">
      <c r="A4839" s="7">
        <v>4800</v>
      </c>
      <c r="B4839" s="1">
        <v>43795</v>
      </c>
      <c r="C4839" s="6" t="s">
        <v>41</v>
      </c>
      <c r="D4839" s="6" t="s">
        <v>18</v>
      </c>
      <c r="E4839" s="6">
        <v>3</v>
      </c>
      <c r="F4839" s="6">
        <v>0</v>
      </c>
      <c r="G4839" s="6" t="s">
        <v>9</v>
      </c>
      <c r="H4839" s="6" t="s">
        <v>27</v>
      </c>
      <c r="I4839" s="6">
        <f>TabJogos[[#This Row],[PontosTime1]]-TabJogos[[#This Row],[PontosTime2]]</f>
        <v>3</v>
      </c>
    </row>
    <row r="4840" spans="1:9" ht="15" customHeight="1" x14ac:dyDescent="0.25">
      <c r="A4840" s="7">
        <v>4801</v>
      </c>
      <c r="B4840" s="1">
        <v>43795</v>
      </c>
      <c r="C4840" s="6" t="s">
        <v>9</v>
      </c>
      <c r="D4840" s="6" t="s">
        <v>18</v>
      </c>
      <c r="E4840" s="6">
        <v>3</v>
      </c>
      <c r="F4840" s="6">
        <v>2</v>
      </c>
      <c r="G4840" s="6" t="s">
        <v>41</v>
      </c>
      <c r="H4840" s="6" t="s">
        <v>11</v>
      </c>
      <c r="I4840" s="6">
        <f>TabJogos[[#This Row],[PontosTime1]]-TabJogos[[#This Row],[PontosTime2]]</f>
        <v>1</v>
      </c>
    </row>
    <row r="4841" spans="1:9" ht="15" customHeight="1" x14ac:dyDescent="0.25">
      <c r="A4841" s="7">
        <v>4802</v>
      </c>
      <c r="B4841" s="1">
        <v>43795</v>
      </c>
      <c r="C4841" s="6" t="s">
        <v>11</v>
      </c>
      <c r="D4841" s="6" t="s">
        <v>18</v>
      </c>
      <c r="E4841" s="6">
        <v>3</v>
      </c>
      <c r="F4841" s="6">
        <v>0</v>
      </c>
      <c r="G4841" s="6" t="s">
        <v>41</v>
      </c>
      <c r="H4841" s="6" t="s">
        <v>9</v>
      </c>
      <c r="I4841" s="6">
        <f>TabJogos[[#This Row],[PontosTime1]]-TabJogos[[#This Row],[PontosTime2]]</f>
        <v>3</v>
      </c>
    </row>
    <row r="4842" spans="1:9" ht="15" customHeight="1" x14ac:dyDescent="0.25">
      <c r="A4842" s="7">
        <v>4803</v>
      </c>
      <c r="B4842" s="1">
        <v>43795</v>
      </c>
      <c r="C4842" s="6" t="s">
        <v>11</v>
      </c>
      <c r="D4842" s="6" t="s">
        <v>9</v>
      </c>
      <c r="E4842" s="6">
        <v>3</v>
      </c>
      <c r="F4842" s="6">
        <v>0</v>
      </c>
      <c r="G4842" s="6" t="s">
        <v>41</v>
      </c>
      <c r="H4842" s="6" t="s">
        <v>18</v>
      </c>
      <c r="I4842" s="6">
        <f>TabJogos[[#This Row],[PontosTime1]]-TabJogos[[#This Row],[PontosTime2]]</f>
        <v>3</v>
      </c>
    </row>
    <row r="4843" spans="1:9" ht="15" customHeight="1" x14ac:dyDescent="0.25">
      <c r="A4843" s="7">
        <v>4804</v>
      </c>
      <c r="B4843" s="1">
        <v>43796</v>
      </c>
      <c r="C4843" s="6" t="s">
        <v>11</v>
      </c>
      <c r="D4843" s="6" t="s">
        <v>18</v>
      </c>
      <c r="E4843" s="6">
        <v>3</v>
      </c>
      <c r="F4843" s="6">
        <v>1</v>
      </c>
      <c r="G4843" s="6" t="s">
        <v>17</v>
      </c>
      <c r="H4843" s="6" t="s">
        <v>41</v>
      </c>
      <c r="I4843" s="6">
        <f>TabJogos[[#This Row],[PontosTime1]]-TabJogos[[#This Row],[PontosTime2]]</f>
        <v>2</v>
      </c>
    </row>
    <row r="4844" spans="1:9" ht="15" customHeight="1" x14ac:dyDescent="0.25">
      <c r="A4844" s="7">
        <v>4805</v>
      </c>
      <c r="B4844" s="1">
        <v>43796</v>
      </c>
      <c r="C4844" s="6" t="s">
        <v>11</v>
      </c>
      <c r="D4844" s="6" t="s">
        <v>41</v>
      </c>
      <c r="E4844" s="6">
        <v>4</v>
      </c>
      <c r="F4844" s="6">
        <v>0</v>
      </c>
      <c r="G4844" s="6" t="s">
        <v>18</v>
      </c>
      <c r="H4844" s="6" t="s">
        <v>64</v>
      </c>
      <c r="I4844" s="6">
        <f>TabJogos[[#This Row],[PontosTime1]]-TabJogos[[#This Row],[PontosTime2]]</f>
        <v>4</v>
      </c>
    </row>
    <row r="4845" spans="1:9" ht="15" customHeight="1" x14ac:dyDescent="0.25">
      <c r="A4845" s="7">
        <v>4806</v>
      </c>
      <c r="B4845" s="1">
        <v>43796</v>
      </c>
      <c r="C4845" s="6" t="s">
        <v>64</v>
      </c>
      <c r="D4845" s="6" t="s">
        <v>11</v>
      </c>
      <c r="E4845" s="6">
        <v>0</v>
      </c>
      <c r="F4845" s="6">
        <v>3</v>
      </c>
      <c r="G4845" s="6" t="s">
        <v>41</v>
      </c>
      <c r="H4845" s="6" t="s">
        <v>18</v>
      </c>
      <c r="I4845" s="6">
        <f>TabJogos[[#This Row],[PontosTime1]]-TabJogos[[#This Row],[PontosTime2]]</f>
        <v>-3</v>
      </c>
    </row>
    <row r="4846" spans="1:9" ht="15" customHeight="1" x14ac:dyDescent="0.25">
      <c r="A4846" s="7">
        <v>4807</v>
      </c>
      <c r="B4846" s="1">
        <v>43796</v>
      </c>
      <c r="C4846" s="6" t="s">
        <v>41</v>
      </c>
      <c r="D4846" s="6" t="s">
        <v>64</v>
      </c>
      <c r="E4846" s="6">
        <v>4</v>
      </c>
      <c r="F4846" s="6">
        <v>1</v>
      </c>
      <c r="G4846" s="6" t="s">
        <v>11</v>
      </c>
      <c r="H4846" s="6" t="s">
        <v>18</v>
      </c>
      <c r="I4846" s="6">
        <f>TabJogos[[#This Row],[PontosTime1]]-TabJogos[[#This Row],[PontosTime2]]</f>
        <v>3</v>
      </c>
    </row>
    <row r="4847" spans="1:9" ht="15" customHeight="1" x14ac:dyDescent="0.25">
      <c r="A4847" s="7">
        <v>4808</v>
      </c>
      <c r="B4847" s="1">
        <v>43796</v>
      </c>
      <c r="C4847" s="6" t="s">
        <v>64</v>
      </c>
      <c r="D4847" s="6" t="s">
        <v>18</v>
      </c>
      <c r="E4847" s="6">
        <v>2</v>
      </c>
      <c r="F4847" s="6">
        <v>4</v>
      </c>
      <c r="G4847" s="6" t="s">
        <v>11</v>
      </c>
      <c r="H4847" s="6" t="s">
        <v>41</v>
      </c>
      <c r="I4847" s="6">
        <f>TabJogos[[#This Row],[PontosTime1]]-TabJogos[[#This Row],[PontosTime2]]</f>
        <v>-2</v>
      </c>
    </row>
    <row r="4848" spans="1:9" ht="15" customHeight="1" x14ac:dyDescent="0.25">
      <c r="A4848" s="7">
        <v>4809</v>
      </c>
      <c r="B4848" s="1">
        <v>43796</v>
      </c>
      <c r="C4848" s="6" t="s">
        <v>11</v>
      </c>
      <c r="D4848" s="6" t="s">
        <v>64</v>
      </c>
      <c r="E4848" s="6">
        <v>1</v>
      </c>
      <c r="F4848" s="6">
        <v>3</v>
      </c>
      <c r="G4848" s="6" t="s">
        <v>18</v>
      </c>
      <c r="H4848" s="6" t="s">
        <v>41</v>
      </c>
      <c r="I4848" s="6">
        <f>TabJogos[[#This Row],[PontosTime1]]-TabJogos[[#This Row],[PontosTime2]]</f>
        <v>-2</v>
      </c>
    </row>
    <row r="4849" spans="1:9" ht="15" customHeight="1" x14ac:dyDescent="0.25">
      <c r="A4849" s="7">
        <v>4810</v>
      </c>
      <c r="B4849" s="1">
        <v>43796</v>
      </c>
      <c r="C4849" s="6" t="s">
        <v>11</v>
      </c>
      <c r="D4849" s="6" t="s">
        <v>18</v>
      </c>
      <c r="E4849" s="6">
        <v>3</v>
      </c>
      <c r="F4849" s="6">
        <v>1</v>
      </c>
      <c r="G4849" s="6" t="s">
        <v>41</v>
      </c>
      <c r="H4849" s="6" t="s">
        <v>64</v>
      </c>
      <c r="I4849" s="6">
        <f>TabJogos[[#This Row],[PontosTime1]]-TabJogos[[#This Row],[PontosTime2]]</f>
        <v>2</v>
      </c>
    </row>
    <row r="4850" spans="1:9" ht="15" customHeight="1" x14ac:dyDescent="0.25">
      <c r="A4850" s="7">
        <v>4811</v>
      </c>
      <c r="B4850" s="1">
        <v>43796</v>
      </c>
      <c r="C4850" s="6" t="s">
        <v>11</v>
      </c>
      <c r="D4850" s="6" t="s">
        <v>41</v>
      </c>
      <c r="E4850" s="6">
        <v>3</v>
      </c>
      <c r="F4850" s="6">
        <v>2</v>
      </c>
      <c r="G4850" s="6" t="s">
        <v>64</v>
      </c>
      <c r="H4850" s="6" t="s">
        <v>18</v>
      </c>
      <c r="I4850" s="6">
        <f>TabJogos[[#This Row],[PontosTime1]]-TabJogos[[#This Row],[PontosTime2]]</f>
        <v>1</v>
      </c>
    </row>
    <row r="4851" spans="1:9" ht="15" customHeight="1" x14ac:dyDescent="0.25">
      <c r="A4851" s="7">
        <v>4812</v>
      </c>
      <c r="B4851" s="1">
        <v>43801</v>
      </c>
      <c r="C4851" s="23" t="s">
        <v>11</v>
      </c>
      <c r="D4851" s="6" t="s">
        <v>13</v>
      </c>
      <c r="E4851" s="6">
        <v>4</v>
      </c>
      <c r="F4851" s="6">
        <v>0</v>
      </c>
      <c r="G4851" s="6" t="s">
        <v>12</v>
      </c>
      <c r="H4851" s="6" t="s">
        <v>10</v>
      </c>
      <c r="I4851" s="6">
        <f>TabJogos[[#This Row],[PontosTime1]]-TabJogos[[#This Row],[PontosTime2]]</f>
        <v>4</v>
      </c>
    </row>
    <row r="4852" spans="1:9" ht="15" customHeight="1" x14ac:dyDescent="0.25">
      <c r="A4852" s="7">
        <v>4813</v>
      </c>
      <c r="B4852" s="1">
        <v>43801</v>
      </c>
      <c r="C4852" s="34" t="s">
        <v>11</v>
      </c>
      <c r="D4852" s="6" t="s">
        <v>10</v>
      </c>
      <c r="E4852" s="6">
        <v>3</v>
      </c>
      <c r="F4852" s="6">
        <v>2</v>
      </c>
      <c r="G4852" s="6" t="s">
        <v>12</v>
      </c>
      <c r="H4852" s="6" t="s">
        <v>13</v>
      </c>
      <c r="I4852" s="6">
        <f>TabJogos[[#This Row],[PontosTime1]]-TabJogos[[#This Row],[PontosTime2]]</f>
        <v>1</v>
      </c>
    </row>
    <row r="4853" spans="1:9" ht="15" customHeight="1" x14ac:dyDescent="0.25">
      <c r="A4853" s="7">
        <v>4814</v>
      </c>
      <c r="B4853" s="1">
        <v>43801</v>
      </c>
      <c r="C4853" s="24" t="s">
        <v>12</v>
      </c>
      <c r="D4853" s="6" t="s">
        <v>11</v>
      </c>
      <c r="E4853" s="6">
        <v>2</v>
      </c>
      <c r="F4853" s="6">
        <v>3</v>
      </c>
      <c r="G4853" s="6" t="s">
        <v>10</v>
      </c>
      <c r="H4853" s="6" t="s">
        <v>18</v>
      </c>
      <c r="I4853" s="6">
        <f>TabJogos[[#This Row],[PontosTime1]]-TabJogos[[#This Row],[PontosTime2]]</f>
        <v>-1</v>
      </c>
    </row>
    <row r="4854" spans="1:9" ht="15" customHeight="1" x14ac:dyDescent="0.25">
      <c r="A4854" s="7">
        <v>4815</v>
      </c>
      <c r="B4854" s="1">
        <v>43801</v>
      </c>
      <c r="C4854" s="34" t="s">
        <v>10</v>
      </c>
      <c r="D4854" s="6" t="s">
        <v>13</v>
      </c>
      <c r="E4854" s="6">
        <v>3</v>
      </c>
      <c r="F4854" s="6">
        <v>2</v>
      </c>
      <c r="G4854" s="6" t="s">
        <v>18</v>
      </c>
      <c r="H4854" s="6" t="s">
        <v>11</v>
      </c>
      <c r="I4854" s="6">
        <f>TabJogos[[#This Row],[PontosTime1]]-TabJogos[[#This Row],[PontosTime2]]</f>
        <v>1</v>
      </c>
    </row>
    <row r="4855" spans="1:9" ht="15" customHeight="1" x14ac:dyDescent="0.25">
      <c r="A4855" s="7">
        <v>4816</v>
      </c>
      <c r="B4855" s="1">
        <v>43801</v>
      </c>
      <c r="C4855" s="34" t="s">
        <v>18</v>
      </c>
      <c r="D4855" s="6" t="s">
        <v>13</v>
      </c>
      <c r="E4855" s="6">
        <v>3</v>
      </c>
      <c r="F4855" s="6">
        <v>1</v>
      </c>
      <c r="G4855" s="6" t="s">
        <v>11</v>
      </c>
      <c r="H4855" s="6" t="s">
        <v>10</v>
      </c>
      <c r="I4855" s="6">
        <f>TabJogos[[#This Row],[PontosTime1]]-TabJogos[[#This Row],[PontosTime2]]</f>
        <v>2</v>
      </c>
    </row>
    <row r="4856" spans="1:9" ht="15" customHeight="1" x14ac:dyDescent="0.25">
      <c r="A4856" s="7">
        <v>4817</v>
      </c>
      <c r="B4856" s="1">
        <v>43801</v>
      </c>
      <c r="C4856" s="6" t="s">
        <v>13</v>
      </c>
      <c r="D4856" s="6" t="s">
        <v>11</v>
      </c>
      <c r="E4856" s="6">
        <v>3</v>
      </c>
      <c r="F4856" s="6">
        <v>1</v>
      </c>
      <c r="G4856" s="6" t="s">
        <v>10</v>
      </c>
      <c r="H4856" s="6" t="s">
        <v>18</v>
      </c>
      <c r="I4856" s="6">
        <f>TabJogos[[#This Row],[PontosTime1]]-TabJogos[[#This Row],[PontosTime2]]</f>
        <v>2</v>
      </c>
    </row>
    <row r="4857" spans="1:9" ht="15" customHeight="1" x14ac:dyDescent="0.25">
      <c r="A4857" s="7">
        <v>4818</v>
      </c>
      <c r="B4857" s="1">
        <v>43801</v>
      </c>
      <c r="C4857" s="6" t="s">
        <v>13</v>
      </c>
      <c r="D4857" s="6" t="s">
        <v>18</v>
      </c>
      <c r="E4857" s="6">
        <v>1</v>
      </c>
      <c r="F4857" s="6">
        <v>3</v>
      </c>
      <c r="G4857" s="6" t="s">
        <v>11</v>
      </c>
      <c r="H4857" s="6" t="s">
        <v>32</v>
      </c>
      <c r="I4857" s="6">
        <f>TabJogos[[#This Row],[PontosTime1]]-TabJogos[[#This Row],[PontosTime2]]</f>
        <v>-2</v>
      </c>
    </row>
    <row r="4858" spans="1:9" ht="15" customHeight="1" x14ac:dyDescent="0.25">
      <c r="A4858" s="7">
        <v>4819</v>
      </c>
      <c r="B4858" s="1">
        <v>43801</v>
      </c>
      <c r="C4858" s="6" t="s">
        <v>11</v>
      </c>
      <c r="D4858" s="6" t="s">
        <v>18</v>
      </c>
      <c r="E4858" s="6">
        <v>3</v>
      </c>
      <c r="F4858" s="6">
        <v>1</v>
      </c>
      <c r="G4858" s="6" t="s">
        <v>32</v>
      </c>
      <c r="H4858" s="6" t="s">
        <v>13</v>
      </c>
      <c r="I4858" s="6">
        <f>TabJogos[[#This Row],[PontosTime1]]-TabJogos[[#This Row],[PontosTime2]]</f>
        <v>2</v>
      </c>
    </row>
    <row r="4859" spans="1:9" ht="15" customHeight="1" x14ac:dyDescent="0.25">
      <c r="A4859" s="7">
        <v>4820</v>
      </c>
      <c r="B4859" s="1">
        <v>43801</v>
      </c>
      <c r="C4859" s="6" t="s">
        <v>11</v>
      </c>
      <c r="D4859" s="6" t="s">
        <v>13</v>
      </c>
      <c r="E4859" s="6">
        <v>3</v>
      </c>
      <c r="F4859" s="6">
        <v>2</v>
      </c>
      <c r="G4859" s="6" t="s">
        <v>32</v>
      </c>
      <c r="H4859" s="6" t="s">
        <v>18</v>
      </c>
      <c r="I4859" s="6">
        <f>TabJogos[[#This Row],[PontosTime1]]-TabJogos[[#This Row],[PontosTime2]]</f>
        <v>1</v>
      </c>
    </row>
    <row r="4860" spans="1:9" ht="15" customHeight="1" x14ac:dyDescent="0.25">
      <c r="A4860" s="7">
        <v>4821</v>
      </c>
      <c r="B4860" s="1">
        <v>43801</v>
      </c>
      <c r="C4860" s="6" t="s">
        <v>11</v>
      </c>
      <c r="D4860" s="6" t="s">
        <v>32</v>
      </c>
      <c r="E4860" s="6">
        <v>3</v>
      </c>
      <c r="F4860" s="6">
        <v>0</v>
      </c>
      <c r="G4860" s="6" t="s">
        <v>18</v>
      </c>
      <c r="H4860" s="6" t="s">
        <v>13</v>
      </c>
      <c r="I4860" s="6">
        <f>TabJogos[[#This Row],[PontosTime1]]-TabJogos[[#This Row],[PontosTime2]]</f>
        <v>3</v>
      </c>
    </row>
    <row r="4861" spans="1:9" ht="15" customHeight="1" x14ac:dyDescent="0.25">
      <c r="A4861" s="7">
        <v>4822</v>
      </c>
      <c r="B4861" s="1">
        <v>43802</v>
      </c>
      <c r="C4861" s="6" t="s">
        <v>13</v>
      </c>
      <c r="D4861" s="6" t="s">
        <v>27</v>
      </c>
      <c r="E4861" s="6">
        <v>4</v>
      </c>
      <c r="F4861" s="6">
        <v>1</v>
      </c>
      <c r="G4861" s="6" t="s">
        <v>18</v>
      </c>
      <c r="H4861" s="6" t="s">
        <v>32</v>
      </c>
      <c r="I4861" s="6">
        <f>TabJogos[[#This Row],[PontosTime1]]-TabJogos[[#This Row],[PontosTime2]]</f>
        <v>3</v>
      </c>
    </row>
    <row r="4862" spans="1:9" ht="15" customHeight="1" x14ac:dyDescent="0.25">
      <c r="A4862" s="7">
        <v>4823</v>
      </c>
      <c r="B4862" s="1">
        <v>43802</v>
      </c>
      <c r="C4862" s="6" t="s">
        <v>13</v>
      </c>
      <c r="D4862" s="6" t="s">
        <v>11</v>
      </c>
      <c r="E4862" s="6">
        <v>1</v>
      </c>
      <c r="F4862" s="6">
        <v>3</v>
      </c>
      <c r="G4862" s="6" t="s">
        <v>18</v>
      </c>
      <c r="H4862" s="6" t="s">
        <v>27</v>
      </c>
      <c r="I4862" s="6">
        <f>TabJogos[[#This Row],[PontosTime1]]-TabJogos[[#This Row],[PontosTime2]]</f>
        <v>-2</v>
      </c>
    </row>
    <row r="4863" spans="1:9" ht="15" customHeight="1" x14ac:dyDescent="0.25">
      <c r="A4863" s="7">
        <v>4824</v>
      </c>
      <c r="B4863" s="1">
        <v>43802</v>
      </c>
      <c r="C4863" s="6" t="s">
        <v>41</v>
      </c>
      <c r="D4863" s="6" t="s">
        <v>18</v>
      </c>
      <c r="E4863" s="6">
        <v>3</v>
      </c>
      <c r="F4863" s="6">
        <v>0</v>
      </c>
      <c r="G4863" s="6" t="s">
        <v>27</v>
      </c>
      <c r="H4863" s="6" t="s">
        <v>32</v>
      </c>
      <c r="I4863" s="6">
        <f>TabJogos[[#This Row],[PontosTime1]]-TabJogos[[#This Row],[PontosTime2]]</f>
        <v>3</v>
      </c>
    </row>
    <row r="4864" spans="1:9" ht="15" customHeight="1" x14ac:dyDescent="0.25">
      <c r="A4864" s="7">
        <v>4825</v>
      </c>
      <c r="B4864" s="1">
        <v>43802</v>
      </c>
      <c r="C4864" s="6" t="s">
        <v>13</v>
      </c>
      <c r="D4864" s="6" t="s">
        <v>41</v>
      </c>
      <c r="E4864" s="6">
        <v>0</v>
      </c>
      <c r="F4864" s="6">
        <v>4</v>
      </c>
      <c r="G4864" s="6" t="s">
        <v>11</v>
      </c>
      <c r="H4864" s="6" t="s">
        <v>18</v>
      </c>
      <c r="I4864" s="6">
        <f>TabJogos[[#This Row],[PontosTime1]]-TabJogos[[#This Row],[PontosTime2]]</f>
        <v>-4</v>
      </c>
    </row>
    <row r="4865" spans="1:9" ht="15" customHeight="1" x14ac:dyDescent="0.25">
      <c r="A4865" s="7">
        <v>4826</v>
      </c>
      <c r="B4865" s="1">
        <v>43802</v>
      </c>
      <c r="C4865" s="6" t="s">
        <v>11</v>
      </c>
      <c r="D4865" s="6" t="s">
        <v>27</v>
      </c>
      <c r="E4865" s="6">
        <v>0</v>
      </c>
      <c r="F4865" s="6">
        <v>3</v>
      </c>
      <c r="G4865" s="6" t="s">
        <v>32</v>
      </c>
      <c r="H4865" s="6" t="s">
        <v>18</v>
      </c>
      <c r="I4865" s="6">
        <f>TabJogos[[#This Row],[PontosTime1]]-TabJogos[[#This Row],[PontosTime2]]</f>
        <v>-3</v>
      </c>
    </row>
    <row r="4866" spans="1:9" ht="15" customHeight="1" x14ac:dyDescent="0.25">
      <c r="A4866" s="7">
        <v>4827</v>
      </c>
      <c r="B4866" s="1">
        <v>43802</v>
      </c>
      <c r="C4866" s="6" t="s">
        <v>32</v>
      </c>
      <c r="D4866" s="6" t="s">
        <v>41</v>
      </c>
      <c r="E4866" s="6">
        <v>0</v>
      </c>
      <c r="F4866" s="6">
        <v>3</v>
      </c>
      <c r="G4866" s="6" t="s">
        <v>18</v>
      </c>
      <c r="H4866" s="6" t="s">
        <v>65</v>
      </c>
      <c r="I4866" s="6">
        <f>TabJogos[[#This Row],[PontosTime1]]-TabJogos[[#This Row],[PontosTime2]]</f>
        <v>-3</v>
      </c>
    </row>
    <row r="4867" spans="1:9" ht="15" customHeight="1" x14ac:dyDescent="0.25">
      <c r="A4867" s="7">
        <v>4828</v>
      </c>
      <c r="B4867" s="1">
        <v>43802</v>
      </c>
      <c r="C4867" s="6" t="s">
        <v>13</v>
      </c>
      <c r="D4867" s="6" t="s">
        <v>18</v>
      </c>
      <c r="E4867" s="6">
        <v>4</v>
      </c>
      <c r="F4867" s="6">
        <v>0</v>
      </c>
      <c r="G4867" s="6" t="s">
        <v>11</v>
      </c>
      <c r="H4867" s="6" t="s">
        <v>65</v>
      </c>
      <c r="I4867" s="6">
        <f>TabJogos[[#This Row],[PontosTime1]]-TabJogos[[#This Row],[PontosTime2]]</f>
        <v>4</v>
      </c>
    </row>
    <row r="4868" spans="1:9" ht="15" customHeight="1" x14ac:dyDescent="0.25">
      <c r="A4868" s="7">
        <v>4829</v>
      </c>
      <c r="B4868" s="1">
        <v>43802</v>
      </c>
      <c r="C4868" s="6" t="s">
        <v>41</v>
      </c>
      <c r="D4868" s="6" t="s">
        <v>18</v>
      </c>
      <c r="E4868" s="6">
        <v>3</v>
      </c>
      <c r="F4868" s="6">
        <v>0</v>
      </c>
      <c r="G4868" s="6" t="s">
        <v>27</v>
      </c>
      <c r="H4868" s="6" t="s">
        <v>13</v>
      </c>
      <c r="I4868" s="6">
        <f>TabJogos[[#This Row],[PontosTime1]]-TabJogos[[#This Row],[PontosTime2]]</f>
        <v>3</v>
      </c>
    </row>
    <row r="4869" spans="1:9" ht="15" customHeight="1" x14ac:dyDescent="0.25">
      <c r="A4869" s="7">
        <v>4830</v>
      </c>
      <c r="B4869" s="1">
        <v>43802</v>
      </c>
      <c r="C4869" s="6" t="s">
        <v>65</v>
      </c>
      <c r="D4869" s="6" t="s">
        <v>41</v>
      </c>
      <c r="E4869" s="6">
        <v>2</v>
      </c>
      <c r="F4869" s="6">
        <v>6</v>
      </c>
      <c r="G4869" s="6" t="s">
        <v>18</v>
      </c>
      <c r="H4869" s="6" t="s">
        <v>32</v>
      </c>
      <c r="I4869" s="6">
        <f>TabJogos[[#This Row],[PontosTime1]]-TabJogos[[#This Row],[PontosTime2]]</f>
        <v>-4</v>
      </c>
    </row>
    <row r="4870" spans="1:9" ht="15" customHeight="1" x14ac:dyDescent="0.25">
      <c r="A4870" s="7">
        <v>4831</v>
      </c>
      <c r="B4870" s="1">
        <v>43802</v>
      </c>
      <c r="C4870" s="6" t="s">
        <v>13</v>
      </c>
      <c r="D4870" s="6" t="s">
        <v>18</v>
      </c>
      <c r="E4870" s="6">
        <v>3</v>
      </c>
      <c r="F4870" s="6">
        <v>1</v>
      </c>
      <c r="G4870" s="6" t="s">
        <v>27</v>
      </c>
      <c r="H4870" s="6" t="s">
        <v>32</v>
      </c>
      <c r="I4870" s="6">
        <f>TabJogos[[#This Row],[PontosTime1]]-TabJogos[[#This Row],[PontosTime2]]</f>
        <v>2</v>
      </c>
    </row>
    <row r="4871" spans="1:9" ht="15" customHeight="1" x14ac:dyDescent="0.25">
      <c r="A4871" s="7">
        <v>4832</v>
      </c>
      <c r="B4871" s="1">
        <v>43802</v>
      </c>
      <c r="C4871" s="6" t="s">
        <v>65</v>
      </c>
      <c r="D4871" s="6" t="s">
        <v>18</v>
      </c>
      <c r="E4871" s="6">
        <v>3</v>
      </c>
      <c r="F4871" s="6">
        <v>1</v>
      </c>
      <c r="G4871" s="6" t="s">
        <v>13</v>
      </c>
      <c r="H4871" s="6" t="s">
        <v>41</v>
      </c>
      <c r="I4871" s="6">
        <f>TabJogos[[#This Row],[PontosTime1]]-TabJogos[[#This Row],[PontosTime2]]</f>
        <v>2</v>
      </c>
    </row>
    <row r="4872" spans="1:9" ht="15" customHeight="1" x14ac:dyDescent="0.25">
      <c r="A4872" s="7">
        <v>4833</v>
      </c>
      <c r="B4872" s="1">
        <v>43802</v>
      </c>
      <c r="C4872" s="6" t="s">
        <v>27</v>
      </c>
      <c r="D4872" s="6" t="s">
        <v>65</v>
      </c>
      <c r="E4872" s="6">
        <v>3</v>
      </c>
      <c r="F4872" s="6">
        <v>0</v>
      </c>
      <c r="G4872" s="6" t="s">
        <v>13</v>
      </c>
      <c r="H4872" s="6" t="s">
        <v>18</v>
      </c>
      <c r="I4872" s="6">
        <f>TabJogos[[#This Row],[PontosTime1]]-TabJogos[[#This Row],[PontosTime2]]</f>
        <v>3</v>
      </c>
    </row>
    <row r="4873" spans="1:9" ht="15" customHeight="1" x14ac:dyDescent="0.25">
      <c r="A4873" s="7">
        <v>4834</v>
      </c>
      <c r="B4873" s="1">
        <v>43802</v>
      </c>
      <c r="C4873" s="6" t="s">
        <v>13</v>
      </c>
      <c r="D4873" s="6" t="s">
        <v>65</v>
      </c>
      <c r="E4873" s="6">
        <v>4</v>
      </c>
      <c r="F4873" s="6">
        <v>2</v>
      </c>
      <c r="G4873" s="6" t="s">
        <v>18</v>
      </c>
      <c r="H4873" s="6" t="s">
        <v>27</v>
      </c>
      <c r="I4873" s="6">
        <f>TabJogos[[#This Row],[PontosTime1]]-TabJogos[[#This Row],[PontosTime2]]</f>
        <v>2</v>
      </c>
    </row>
    <row r="4874" spans="1:9" ht="15" customHeight="1" x14ac:dyDescent="0.25">
      <c r="A4874" s="7">
        <v>4835</v>
      </c>
      <c r="B4874" s="1">
        <v>43802</v>
      </c>
      <c r="C4874" s="6" t="s">
        <v>13</v>
      </c>
      <c r="D4874" s="6" t="s">
        <v>18</v>
      </c>
      <c r="E4874" s="6">
        <v>4</v>
      </c>
      <c r="F4874" s="6">
        <v>1</v>
      </c>
      <c r="G4874" s="6" t="s">
        <v>65</v>
      </c>
      <c r="H4874" s="6" t="s">
        <v>41</v>
      </c>
      <c r="I4874" s="6">
        <f>TabJogos[[#This Row],[PontosTime1]]-TabJogos[[#This Row],[PontosTime2]]</f>
        <v>3</v>
      </c>
    </row>
    <row r="4875" spans="1:9" ht="15" customHeight="1" x14ac:dyDescent="0.25">
      <c r="A4875" s="7">
        <v>4836</v>
      </c>
      <c r="B4875" s="1">
        <v>43803</v>
      </c>
      <c r="C4875" s="6" t="s">
        <v>10</v>
      </c>
      <c r="D4875" s="6" t="s">
        <v>9</v>
      </c>
      <c r="E4875" s="6">
        <v>3</v>
      </c>
      <c r="F4875" s="6">
        <v>2</v>
      </c>
      <c r="G4875" s="6" t="s">
        <v>11</v>
      </c>
      <c r="H4875" s="6" t="s">
        <v>13</v>
      </c>
      <c r="I4875" s="6">
        <f>TabJogos[[#This Row],[PontosTime1]]-TabJogos[[#This Row],[PontosTime2]]</f>
        <v>1</v>
      </c>
    </row>
    <row r="4876" spans="1:9" ht="15" customHeight="1" x14ac:dyDescent="0.25">
      <c r="A4876" s="7">
        <v>4837</v>
      </c>
      <c r="B4876" s="1">
        <v>43803</v>
      </c>
      <c r="C4876" s="6" t="s">
        <v>10</v>
      </c>
      <c r="D4876" s="6" t="s">
        <v>13</v>
      </c>
      <c r="E4876" s="6">
        <v>0</v>
      </c>
      <c r="F4876" s="6">
        <v>3</v>
      </c>
      <c r="G4876" s="6" t="s">
        <v>11</v>
      </c>
      <c r="H4876" s="6" t="s">
        <v>9</v>
      </c>
      <c r="I4876" s="6">
        <f>TabJogos[[#This Row],[PontosTime1]]-TabJogos[[#This Row],[PontosTime2]]</f>
        <v>-3</v>
      </c>
    </row>
    <row r="4877" spans="1:9" ht="15" customHeight="1" x14ac:dyDescent="0.25">
      <c r="A4877" s="7">
        <v>4838</v>
      </c>
      <c r="B4877" s="1">
        <v>43803</v>
      </c>
      <c r="C4877" s="6" t="s">
        <v>11</v>
      </c>
      <c r="D4877" s="6" t="s">
        <v>10</v>
      </c>
      <c r="E4877" s="6">
        <v>2</v>
      </c>
      <c r="F4877" s="6">
        <v>3</v>
      </c>
      <c r="G4877" s="6" t="s">
        <v>13</v>
      </c>
      <c r="H4877" s="6" t="s">
        <v>9</v>
      </c>
      <c r="I4877" s="6">
        <f>TabJogos[[#This Row],[PontosTime1]]-TabJogos[[#This Row],[PontosTime2]]</f>
        <v>-1</v>
      </c>
    </row>
    <row r="4878" spans="1:9" ht="15" customHeight="1" x14ac:dyDescent="0.25">
      <c r="A4878" s="7">
        <v>4839</v>
      </c>
      <c r="B4878" s="1">
        <v>43803</v>
      </c>
      <c r="C4878" s="6" t="s">
        <v>10</v>
      </c>
      <c r="D4878" s="6" t="s">
        <v>9</v>
      </c>
      <c r="E4878" s="6">
        <v>0</v>
      </c>
      <c r="F4878" s="6">
        <v>3</v>
      </c>
      <c r="G4878" s="6" t="s">
        <v>11</v>
      </c>
      <c r="H4878" s="6" t="s">
        <v>13</v>
      </c>
      <c r="I4878" s="6">
        <f>TabJogos[[#This Row],[PontosTime1]]-TabJogos[[#This Row],[PontosTime2]]</f>
        <v>-3</v>
      </c>
    </row>
    <row r="4879" spans="1:9" ht="15" customHeight="1" x14ac:dyDescent="0.25">
      <c r="A4879" s="7">
        <v>4840</v>
      </c>
      <c r="B4879" s="1">
        <v>43803</v>
      </c>
      <c r="C4879" s="6" t="s">
        <v>10</v>
      </c>
      <c r="D4879" s="6" t="s">
        <v>13</v>
      </c>
      <c r="E4879" s="6">
        <v>3</v>
      </c>
      <c r="F4879" s="6">
        <v>1</v>
      </c>
      <c r="G4879" s="6" t="s">
        <v>11</v>
      </c>
      <c r="H4879" s="6" t="s">
        <v>9</v>
      </c>
      <c r="I4879" s="6">
        <f>TabJogos[[#This Row],[PontosTime1]]-TabJogos[[#This Row],[PontosTime2]]</f>
        <v>2</v>
      </c>
    </row>
    <row r="4880" spans="1:9" ht="15" customHeight="1" x14ac:dyDescent="0.25">
      <c r="A4880" s="7">
        <v>4841</v>
      </c>
      <c r="B4880" s="1">
        <v>43803</v>
      </c>
      <c r="C4880" s="6" t="s">
        <v>11</v>
      </c>
      <c r="D4880" s="6" t="s">
        <v>10</v>
      </c>
      <c r="E4880" s="6">
        <v>4</v>
      </c>
      <c r="F4880" s="6">
        <v>2</v>
      </c>
      <c r="G4880" s="6" t="s">
        <v>13</v>
      </c>
      <c r="H4880" s="6" t="s">
        <v>9</v>
      </c>
      <c r="I4880" s="6">
        <f>TabJogos[[#This Row],[PontosTime1]]-TabJogos[[#This Row],[PontosTime2]]</f>
        <v>2</v>
      </c>
    </row>
    <row r="4881" spans="1:9" ht="15" customHeight="1" x14ac:dyDescent="0.25">
      <c r="A4881" s="7">
        <v>4842</v>
      </c>
      <c r="B4881" s="1">
        <v>43803</v>
      </c>
      <c r="C4881" s="6" t="s">
        <v>11</v>
      </c>
      <c r="D4881" s="6" t="s">
        <v>13</v>
      </c>
      <c r="E4881" s="6">
        <v>1</v>
      </c>
      <c r="F4881" s="6">
        <v>3</v>
      </c>
      <c r="G4881" s="6" t="s">
        <v>9</v>
      </c>
      <c r="H4881" s="6" t="s">
        <v>17</v>
      </c>
      <c r="I4881" s="6">
        <f>TabJogos[[#This Row],[PontosTime1]]-TabJogos[[#This Row],[PontosTime2]]</f>
        <v>-2</v>
      </c>
    </row>
    <row r="4882" spans="1:9" ht="15" customHeight="1" x14ac:dyDescent="0.25">
      <c r="A4882" s="7">
        <v>4843</v>
      </c>
      <c r="B4882" s="1">
        <v>43803</v>
      </c>
      <c r="C4882" s="6" t="s">
        <v>11</v>
      </c>
      <c r="D4882" s="6" t="s">
        <v>9</v>
      </c>
      <c r="E4882" s="6">
        <v>4</v>
      </c>
      <c r="F4882" s="6">
        <v>2</v>
      </c>
      <c r="G4882" s="6" t="s">
        <v>13</v>
      </c>
      <c r="H4882" s="6" t="s">
        <v>17</v>
      </c>
      <c r="I4882" s="6">
        <f>TabJogos[[#This Row],[PontosTime1]]-TabJogos[[#This Row],[PontosTime2]]</f>
        <v>2</v>
      </c>
    </row>
    <row r="4883" spans="1:9" ht="15" customHeight="1" x14ac:dyDescent="0.25">
      <c r="A4883" s="7">
        <v>4844</v>
      </c>
      <c r="B4883" s="1">
        <v>43803</v>
      </c>
      <c r="C4883" s="6" t="s">
        <v>11</v>
      </c>
      <c r="D4883" s="6" t="s">
        <v>27</v>
      </c>
      <c r="E4883" s="6">
        <v>3</v>
      </c>
      <c r="F4883" s="6">
        <v>1</v>
      </c>
      <c r="G4883" s="6" t="s">
        <v>9</v>
      </c>
      <c r="H4883" s="6" t="s">
        <v>13</v>
      </c>
      <c r="I4883" s="6">
        <f>TabJogos[[#This Row],[PontosTime1]]-TabJogos[[#This Row],[PontosTime2]]</f>
        <v>2</v>
      </c>
    </row>
    <row r="4884" spans="1:9" ht="15" customHeight="1" x14ac:dyDescent="0.25">
      <c r="A4884" s="7">
        <v>4845</v>
      </c>
      <c r="B4884" s="1">
        <v>43803</v>
      </c>
      <c r="C4884" s="6" t="s">
        <v>11</v>
      </c>
      <c r="D4884" s="6" t="s">
        <v>13</v>
      </c>
      <c r="E4884" s="6">
        <v>1</v>
      </c>
      <c r="F4884" s="6">
        <v>3</v>
      </c>
      <c r="G4884" s="6" t="s">
        <v>9</v>
      </c>
      <c r="H4884" s="6" t="s">
        <v>27</v>
      </c>
      <c r="I4884" s="6">
        <f>TabJogos[[#This Row],[PontosTime1]]-TabJogos[[#This Row],[PontosTime2]]</f>
        <v>-2</v>
      </c>
    </row>
    <row r="4885" spans="1:9" ht="15" customHeight="1" x14ac:dyDescent="0.25">
      <c r="A4885" s="7">
        <v>4846</v>
      </c>
      <c r="B4885" s="1">
        <v>43803</v>
      </c>
      <c r="C4885" s="6" t="s">
        <v>9</v>
      </c>
      <c r="D4885" s="6" t="s">
        <v>11</v>
      </c>
      <c r="E4885" s="6">
        <v>3</v>
      </c>
      <c r="F4885" s="6">
        <v>1</v>
      </c>
      <c r="G4885" s="6" t="s">
        <v>13</v>
      </c>
      <c r="H4885" s="6" t="s">
        <v>27</v>
      </c>
      <c r="I4885" s="6">
        <f>TabJogos[[#This Row],[PontosTime1]]-TabJogos[[#This Row],[PontosTime2]]</f>
        <v>2</v>
      </c>
    </row>
    <row r="4886" spans="1:9" ht="15" customHeight="1" x14ac:dyDescent="0.25">
      <c r="A4886" s="7">
        <v>4847</v>
      </c>
      <c r="B4886" s="1">
        <v>43803</v>
      </c>
      <c r="C4886" s="6" t="s">
        <v>9</v>
      </c>
      <c r="D4886" s="6" t="s">
        <v>13</v>
      </c>
      <c r="E4886" s="6">
        <v>2</v>
      </c>
      <c r="F4886" s="6">
        <v>3</v>
      </c>
      <c r="G4886" s="6" t="s">
        <v>11</v>
      </c>
      <c r="H4886" s="6" t="s">
        <v>27</v>
      </c>
      <c r="I4886" s="6">
        <f>TabJogos[[#This Row],[PontosTime1]]-TabJogos[[#This Row],[PontosTime2]]</f>
        <v>-1</v>
      </c>
    </row>
    <row r="4887" spans="1:9" ht="15" customHeight="1" x14ac:dyDescent="0.25">
      <c r="A4887" s="7">
        <v>4848</v>
      </c>
      <c r="B4887" s="1">
        <v>43804</v>
      </c>
      <c r="C4887" s="6" t="s">
        <v>13</v>
      </c>
      <c r="D4887" s="6" t="s">
        <v>10</v>
      </c>
      <c r="E4887" s="6">
        <v>0</v>
      </c>
      <c r="F4887" s="6">
        <v>3</v>
      </c>
      <c r="G4887" s="6" t="s">
        <v>9</v>
      </c>
      <c r="H4887" s="6" t="s">
        <v>11</v>
      </c>
      <c r="I4887" s="6">
        <f>TabJogos[[#This Row],[PontosTime1]]-TabJogos[[#This Row],[PontosTime2]]</f>
        <v>-3</v>
      </c>
    </row>
    <row r="4888" spans="1:9" ht="15" customHeight="1" x14ac:dyDescent="0.25">
      <c r="A4888" s="7">
        <v>4849</v>
      </c>
      <c r="B4888" s="1">
        <v>43804</v>
      </c>
      <c r="C4888" s="6" t="s">
        <v>11</v>
      </c>
      <c r="D4888" s="6" t="s">
        <v>10</v>
      </c>
      <c r="E4888" s="6">
        <v>0</v>
      </c>
      <c r="F4888" s="6">
        <v>3</v>
      </c>
      <c r="G4888" s="6" t="s">
        <v>9</v>
      </c>
      <c r="H4888" s="6" t="s">
        <v>13</v>
      </c>
      <c r="I4888" s="6">
        <f>TabJogos[[#This Row],[PontosTime1]]-TabJogos[[#This Row],[PontosTime2]]</f>
        <v>-3</v>
      </c>
    </row>
    <row r="4889" spans="1:9" ht="15" customHeight="1" x14ac:dyDescent="0.25">
      <c r="A4889" s="7">
        <v>4850</v>
      </c>
      <c r="B4889" s="1">
        <v>43804</v>
      </c>
      <c r="C4889" s="6" t="s">
        <v>13</v>
      </c>
      <c r="D4889" s="6" t="s">
        <v>11</v>
      </c>
      <c r="E4889" s="6">
        <v>3</v>
      </c>
      <c r="F4889" s="6">
        <v>2</v>
      </c>
      <c r="G4889" s="6" t="s">
        <v>9</v>
      </c>
      <c r="H4889" s="6" t="s">
        <v>10</v>
      </c>
      <c r="I4889" s="6">
        <f>TabJogos[[#This Row],[PontosTime1]]-TabJogos[[#This Row],[PontosTime2]]</f>
        <v>1</v>
      </c>
    </row>
    <row r="4890" spans="1:9" ht="15" customHeight="1" x14ac:dyDescent="0.25">
      <c r="A4890" s="7">
        <v>4851</v>
      </c>
      <c r="B4890" s="1">
        <v>43804</v>
      </c>
      <c r="C4890" s="6" t="s">
        <v>13</v>
      </c>
      <c r="D4890" s="6" t="s">
        <v>10</v>
      </c>
      <c r="E4890" s="6">
        <v>0</v>
      </c>
      <c r="F4890" s="6">
        <v>3</v>
      </c>
      <c r="G4890" s="6" t="s">
        <v>9</v>
      </c>
      <c r="H4890" s="6" t="s">
        <v>11</v>
      </c>
      <c r="I4890" s="6">
        <f>TabJogos[[#This Row],[PontosTime1]]-TabJogos[[#This Row],[PontosTime2]]</f>
        <v>-3</v>
      </c>
    </row>
    <row r="4891" spans="1:9" ht="15" customHeight="1" x14ac:dyDescent="0.25">
      <c r="A4891" s="7">
        <v>4852</v>
      </c>
      <c r="B4891" s="1">
        <v>43804</v>
      </c>
      <c r="C4891" s="6" t="s">
        <v>11</v>
      </c>
      <c r="D4891" s="6" t="s">
        <v>10</v>
      </c>
      <c r="E4891" s="6">
        <v>2</v>
      </c>
      <c r="F4891" s="6">
        <v>4</v>
      </c>
      <c r="G4891" s="6" t="s">
        <v>9</v>
      </c>
      <c r="H4891" s="6" t="s">
        <v>13</v>
      </c>
      <c r="I4891" s="6">
        <f>TabJogos[[#This Row],[PontosTime1]]-TabJogos[[#This Row],[PontosTime2]]</f>
        <v>-2</v>
      </c>
    </row>
    <row r="4892" spans="1:9" ht="15" customHeight="1" x14ac:dyDescent="0.25">
      <c r="A4892" s="7">
        <v>4853</v>
      </c>
      <c r="B4892" s="1">
        <v>43804</v>
      </c>
      <c r="C4892" s="6" t="s">
        <v>13</v>
      </c>
      <c r="D4892" s="6" t="s">
        <v>11</v>
      </c>
      <c r="E4892" s="6">
        <v>1</v>
      </c>
      <c r="F4892" s="6">
        <v>4</v>
      </c>
      <c r="G4892" s="6" t="s">
        <v>9</v>
      </c>
      <c r="H4892" s="6" t="s">
        <v>10</v>
      </c>
      <c r="I4892" s="6">
        <f>TabJogos[[#This Row],[PontosTime1]]-TabJogos[[#This Row],[PontosTime2]]</f>
        <v>-3</v>
      </c>
    </row>
    <row r="4893" spans="1:9" ht="15" customHeight="1" x14ac:dyDescent="0.25">
      <c r="A4893" s="7">
        <v>4854</v>
      </c>
      <c r="B4893" s="1">
        <v>43804</v>
      </c>
      <c r="C4893" s="6" t="s">
        <v>13</v>
      </c>
      <c r="D4893" s="6" t="s">
        <v>10</v>
      </c>
      <c r="E4893" s="6">
        <v>3</v>
      </c>
      <c r="F4893" s="6">
        <v>0</v>
      </c>
      <c r="G4893" s="6" t="s">
        <v>9</v>
      </c>
      <c r="H4893" s="6" t="s">
        <v>11</v>
      </c>
      <c r="I4893" s="6">
        <f>TabJogos[[#This Row],[PontosTime1]]-TabJogos[[#This Row],[PontosTime2]]</f>
        <v>3</v>
      </c>
    </row>
    <row r="4894" spans="1:9" ht="15" customHeight="1" x14ac:dyDescent="0.25">
      <c r="A4894" s="7">
        <v>4855</v>
      </c>
      <c r="B4894" s="1">
        <v>43804</v>
      </c>
      <c r="C4894" s="6" t="s">
        <v>13</v>
      </c>
      <c r="D4894" s="6" t="s">
        <v>9</v>
      </c>
      <c r="E4894" s="6">
        <v>2</v>
      </c>
      <c r="F4894" s="6">
        <v>7</v>
      </c>
      <c r="G4894" s="6" t="s">
        <v>10</v>
      </c>
      <c r="H4894" s="6" t="s">
        <v>16</v>
      </c>
      <c r="I4894" s="6">
        <f>TabJogos[[#This Row],[PontosTime1]]-TabJogos[[#This Row],[PontosTime2]]</f>
        <v>-5</v>
      </c>
    </row>
    <row r="4895" spans="1:9" ht="15" customHeight="1" x14ac:dyDescent="0.25">
      <c r="A4895" s="7">
        <v>4856</v>
      </c>
      <c r="B4895" s="1">
        <v>43804</v>
      </c>
      <c r="C4895" s="6" t="s">
        <v>16</v>
      </c>
      <c r="D4895" s="6" t="s">
        <v>13</v>
      </c>
      <c r="E4895" s="6">
        <v>3</v>
      </c>
      <c r="F4895" s="6">
        <v>1</v>
      </c>
      <c r="G4895" s="6" t="s">
        <v>11</v>
      </c>
      <c r="H4895" s="6" t="s">
        <v>9</v>
      </c>
      <c r="I4895" s="6">
        <f>TabJogos[[#This Row],[PontosTime1]]-TabJogos[[#This Row],[PontosTime2]]</f>
        <v>2</v>
      </c>
    </row>
    <row r="4896" spans="1:9" ht="15" customHeight="1" x14ac:dyDescent="0.25">
      <c r="A4896" s="7">
        <v>4857</v>
      </c>
      <c r="B4896" s="1">
        <v>43809</v>
      </c>
      <c r="C4896" s="6" t="s">
        <v>17</v>
      </c>
      <c r="D4896" s="6" t="s">
        <v>10</v>
      </c>
      <c r="E4896" s="6">
        <v>1</v>
      </c>
      <c r="F4896" s="6">
        <v>3</v>
      </c>
      <c r="G4896" s="6" t="s">
        <v>18</v>
      </c>
      <c r="H4896" s="6" t="s">
        <v>13</v>
      </c>
      <c r="I4896" s="6">
        <f>TabJogos[[#This Row],[PontosTime1]]-TabJogos[[#This Row],[PontosTime2]]</f>
        <v>-2</v>
      </c>
    </row>
    <row r="4897" spans="1:9" ht="15" customHeight="1" x14ac:dyDescent="0.25">
      <c r="A4897" s="7">
        <v>4858</v>
      </c>
      <c r="B4897" s="1">
        <v>43809</v>
      </c>
      <c r="C4897" s="6" t="s">
        <v>11</v>
      </c>
      <c r="D4897" s="6" t="s">
        <v>13</v>
      </c>
      <c r="E4897" s="6">
        <v>1</v>
      </c>
      <c r="F4897" s="6">
        <v>3</v>
      </c>
      <c r="G4897" s="6" t="s">
        <v>18</v>
      </c>
      <c r="H4897" s="6" t="s">
        <v>12</v>
      </c>
      <c r="I4897" s="6">
        <f>TabJogos[[#This Row],[PontosTime1]]-TabJogos[[#This Row],[PontosTime2]]</f>
        <v>-2</v>
      </c>
    </row>
    <row r="4898" spans="1:9" ht="15" customHeight="1" x14ac:dyDescent="0.25">
      <c r="A4898" s="7">
        <v>4859</v>
      </c>
      <c r="B4898" s="1">
        <v>43809</v>
      </c>
      <c r="C4898" s="6" t="s">
        <v>13</v>
      </c>
      <c r="D4898" s="6" t="s">
        <v>12</v>
      </c>
      <c r="E4898" s="6">
        <v>3</v>
      </c>
      <c r="F4898" s="6">
        <v>1</v>
      </c>
      <c r="G4898" s="6" t="s">
        <v>18</v>
      </c>
      <c r="H4898" s="6" t="s">
        <v>10</v>
      </c>
      <c r="I4898" s="6">
        <f>TabJogos[[#This Row],[PontosTime1]]-TabJogos[[#This Row],[PontosTime2]]</f>
        <v>2</v>
      </c>
    </row>
    <row r="4899" spans="1:9" ht="15" customHeight="1" x14ac:dyDescent="0.25">
      <c r="A4899" s="7">
        <v>4860</v>
      </c>
      <c r="B4899" s="1">
        <v>43809</v>
      </c>
      <c r="C4899" s="6" t="s">
        <v>13</v>
      </c>
      <c r="D4899" s="6" t="s">
        <v>17</v>
      </c>
      <c r="E4899" s="6">
        <v>0</v>
      </c>
      <c r="F4899" s="6">
        <v>4</v>
      </c>
      <c r="G4899" s="6" t="s">
        <v>18</v>
      </c>
      <c r="H4899" s="6" t="s">
        <v>11</v>
      </c>
      <c r="I4899" s="6">
        <f>TabJogos[[#This Row],[PontosTime1]]-TabJogos[[#This Row],[PontosTime2]]</f>
        <v>-4</v>
      </c>
    </row>
    <row r="4900" spans="1:9" ht="15" customHeight="1" x14ac:dyDescent="0.25">
      <c r="A4900" s="7">
        <v>4861</v>
      </c>
      <c r="B4900" s="1">
        <v>43809</v>
      </c>
      <c r="C4900" s="6" t="s">
        <v>11</v>
      </c>
      <c r="D4900" s="6" t="s">
        <v>10</v>
      </c>
      <c r="E4900" s="6">
        <v>3</v>
      </c>
      <c r="F4900" s="6">
        <v>1</v>
      </c>
      <c r="G4900" s="6" t="s">
        <v>13</v>
      </c>
      <c r="H4900" s="6" t="s">
        <v>18</v>
      </c>
      <c r="I4900" s="6">
        <f>TabJogos[[#This Row],[PontosTime1]]-TabJogos[[#This Row],[PontosTime2]]</f>
        <v>2</v>
      </c>
    </row>
    <row r="4901" spans="1:9" ht="15" customHeight="1" x14ac:dyDescent="0.25">
      <c r="A4901" s="7">
        <v>4862</v>
      </c>
      <c r="B4901" s="1">
        <v>43809</v>
      </c>
      <c r="C4901" s="6" t="s">
        <v>11</v>
      </c>
      <c r="D4901" s="6" t="s">
        <v>13</v>
      </c>
      <c r="E4901" s="6">
        <v>2</v>
      </c>
      <c r="F4901" s="6">
        <v>3</v>
      </c>
      <c r="G4901" s="6" t="s">
        <v>18</v>
      </c>
      <c r="H4901" s="6" t="s">
        <v>10</v>
      </c>
      <c r="I4901" s="6">
        <f>TabJogos[[#This Row],[PontosTime1]]-TabJogos[[#This Row],[PontosTime2]]</f>
        <v>-1</v>
      </c>
    </row>
    <row r="4902" spans="1:9" ht="15" customHeight="1" x14ac:dyDescent="0.25">
      <c r="A4902" s="7">
        <v>4863</v>
      </c>
      <c r="B4902" s="1">
        <v>43809</v>
      </c>
      <c r="C4902" s="6" t="s">
        <v>11</v>
      </c>
      <c r="D4902" s="6" t="s">
        <v>18</v>
      </c>
      <c r="E4902" s="6">
        <v>3</v>
      </c>
      <c r="F4902" s="6">
        <v>0</v>
      </c>
      <c r="G4902" s="6" t="s">
        <v>10</v>
      </c>
      <c r="H4902" s="6" t="s">
        <v>13</v>
      </c>
      <c r="I4902" s="6">
        <f>TabJogos[[#This Row],[PontosTime1]]-TabJogos[[#This Row],[PontosTime2]]</f>
        <v>3</v>
      </c>
    </row>
    <row r="4903" spans="1:9" ht="15" customHeight="1" x14ac:dyDescent="0.25">
      <c r="A4903" s="7">
        <v>4864</v>
      </c>
      <c r="B4903" s="1">
        <v>43809</v>
      </c>
      <c r="C4903" s="6" t="s">
        <v>11</v>
      </c>
      <c r="D4903" s="6" t="s">
        <v>10</v>
      </c>
      <c r="E4903" s="6">
        <v>3</v>
      </c>
      <c r="F4903" s="6">
        <v>0</v>
      </c>
      <c r="G4903" s="6" t="s">
        <v>18</v>
      </c>
      <c r="H4903" s="6" t="s">
        <v>13</v>
      </c>
      <c r="I4903" s="6">
        <f>TabJogos[[#This Row],[PontosTime1]]-TabJogos[[#This Row],[PontosTime2]]</f>
        <v>3</v>
      </c>
    </row>
    <row r="4904" spans="1:9" ht="15" customHeight="1" x14ac:dyDescent="0.25">
      <c r="A4904" s="7">
        <v>4865</v>
      </c>
      <c r="B4904" s="1">
        <v>43810</v>
      </c>
      <c r="C4904" s="6" t="s">
        <v>12</v>
      </c>
      <c r="D4904" s="6" t="s">
        <v>10</v>
      </c>
      <c r="E4904" s="6">
        <v>0</v>
      </c>
      <c r="F4904" s="6">
        <v>3</v>
      </c>
      <c r="G4904" s="6" t="s">
        <v>11</v>
      </c>
      <c r="H4904" s="6" t="s">
        <v>13</v>
      </c>
      <c r="I4904" s="6">
        <f>TabJogos[[#This Row],[PontosTime1]]-TabJogos[[#This Row],[PontosTime2]]</f>
        <v>-3</v>
      </c>
    </row>
    <row r="4905" spans="1:9" ht="15" customHeight="1" x14ac:dyDescent="0.25">
      <c r="A4905" s="7">
        <v>4866</v>
      </c>
      <c r="B4905" s="1">
        <v>43810</v>
      </c>
      <c r="C4905" s="6" t="s">
        <v>11</v>
      </c>
      <c r="D4905" s="6" t="s">
        <v>12</v>
      </c>
      <c r="E4905" s="6">
        <v>2</v>
      </c>
      <c r="F4905" s="6">
        <v>3</v>
      </c>
      <c r="G4905" s="6" t="s">
        <v>13</v>
      </c>
      <c r="H4905" s="6" t="s">
        <v>10</v>
      </c>
      <c r="I4905" s="6">
        <f>TabJogos[[#This Row],[PontosTime1]]-TabJogos[[#This Row],[PontosTime2]]</f>
        <v>-1</v>
      </c>
    </row>
    <row r="4906" spans="1:9" ht="15" customHeight="1" x14ac:dyDescent="0.25">
      <c r="A4906" s="7">
        <v>4867</v>
      </c>
      <c r="B4906" s="1">
        <v>43810</v>
      </c>
      <c r="C4906" s="6" t="s">
        <v>12</v>
      </c>
      <c r="D4906" s="6" t="s">
        <v>13</v>
      </c>
      <c r="E4906" s="6">
        <v>3</v>
      </c>
      <c r="F4906" s="6">
        <v>1</v>
      </c>
      <c r="G4906" s="6" t="s">
        <v>11</v>
      </c>
      <c r="H4906" s="6" t="s">
        <v>10</v>
      </c>
      <c r="I4906" s="6">
        <f>TabJogos[[#This Row],[PontosTime1]]-TabJogos[[#This Row],[PontosTime2]]</f>
        <v>2</v>
      </c>
    </row>
    <row r="4907" spans="1:9" ht="15" customHeight="1" x14ac:dyDescent="0.25">
      <c r="A4907" s="7">
        <v>4868</v>
      </c>
      <c r="B4907" s="1">
        <v>43810</v>
      </c>
      <c r="C4907" s="6" t="s">
        <v>10</v>
      </c>
      <c r="D4907" s="6" t="s">
        <v>12</v>
      </c>
      <c r="E4907" s="6">
        <v>4</v>
      </c>
      <c r="F4907" s="6">
        <v>0</v>
      </c>
      <c r="G4907" s="6" t="s">
        <v>11</v>
      </c>
      <c r="H4907" s="6" t="s">
        <v>13</v>
      </c>
      <c r="I4907" s="6">
        <f>TabJogos[[#This Row],[PontosTime1]]-TabJogos[[#This Row],[PontosTime2]]</f>
        <v>4</v>
      </c>
    </row>
    <row r="4908" spans="1:9" ht="15" customHeight="1" x14ac:dyDescent="0.25">
      <c r="A4908" s="7">
        <v>4869</v>
      </c>
      <c r="B4908" s="1">
        <v>43810</v>
      </c>
      <c r="C4908" s="6" t="s">
        <v>11</v>
      </c>
      <c r="D4908" s="6" t="s">
        <v>12</v>
      </c>
      <c r="E4908" s="6">
        <v>3</v>
      </c>
      <c r="F4908" s="6">
        <v>2</v>
      </c>
      <c r="G4908" s="6" t="s">
        <v>13</v>
      </c>
      <c r="H4908" s="6" t="s">
        <v>10</v>
      </c>
      <c r="I4908" s="6">
        <f>TabJogos[[#This Row],[PontosTime1]]-TabJogos[[#This Row],[PontosTime2]]</f>
        <v>1</v>
      </c>
    </row>
    <row r="4909" spans="1:9" ht="15" customHeight="1" x14ac:dyDescent="0.25">
      <c r="A4909" s="7">
        <v>4870</v>
      </c>
      <c r="B4909" s="1">
        <v>43810</v>
      </c>
      <c r="C4909" s="6" t="s">
        <v>11</v>
      </c>
      <c r="D4909" s="6" t="s">
        <v>10</v>
      </c>
      <c r="E4909" s="6">
        <v>3</v>
      </c>
      <c r="F4909" s="6">
        <v>2</v>
      </c>
      <c r="G4909" s="6" t="s">
        <v>13</v>
      </c>
      <c r="H4909" s="6" t="s">
        <v>12</v>
      </c>
      <c r="I4909" s="6">
        <f>TabJogos[[#This Row],[PontosTime1]]-TabJogos[[#This Row],[PontosTime2]]</f>
        <v>1</v>
      </c>
    </row>
    <row r="4910" spans="1:9" ht="15" customHeight="1" x14ac:dyDescent="0.25">
      <c r="A4910" s="7">
        <v>4871</v>
      </c>
      <c r="B4910" s="1">
        <v>43810</v>
      </c>
      <c r="C4910" s="6" t="s">
        <v>11</v>
      </c>
      <c r="D4910" s="6" t="s">
        <v>13</v>
      </c>
      <c r="E4910" s="6">
        <v>3</v>
      </c>
      <c r="F4910" s="6">
        <v>2</v>
      </c>
      <c r="G4910" s="6" t="s">
        <v>18</v>
      </c>
      <c r="H4910" s="6" t="s">
        <v>10</v>
      </c>
      <c r="I4910" s="6">
        <f>TabJogos[[#This Row],[PontosTime1]]-TabJogos[[#This Row],[PontosTime2]]</f>
        <v>1</v>
      </c>
    </row>
    <row r="4911" spans="1:9" ht="15" customHeight="1" x14ac:dyDescent="0.25">
      <c r="A4911" s="7">
        <v>4872</v>
      </c>
      <c r="B4911" s="1">
        <v>43810</v>
      </c>
      <c r="C4911" s="6" t="s">
        <v>11</v>
      </c>
      <c r="D4911" s="6" t="s">
        <v>18</v>
      </c>
      <c r="E4911" s="6">
        <v>3</v>
      </c>
      <c r="F4911" s="6">
        <v>1</v>
      </c>
      <c r="G4911" s="6" t="s">
        <v>13</v>
      </c>
      <c r="H4911" s="6" t="s">
        <v>10</v>
      </c>
      <c r="I4911" s="6">
        <f>TabJogos[[#This Row],[PontosTime1]]-TabJogos[[#This Row],[PontosTime2]]</f>
        <v>2</v>
      </c>
    </row>
    <row r="4912" spans="1:9" ht="15" customHeight="1" x14ac:dyDescent="0.25">
      <c r="A4912" s="7">
        <v>4873</v>
      </c>
      <c r="B4912" s="1">
        <v>43810</v>
      </c>
      <c r="C4912" s="6" t="s">
        <v>11</v>
      </c>
      <c r="D4912" s="6" t="s">
        <v>10</v>
      </c>
      <c r="E4912" s="6">
        <v>0</v>
      </c>
      <c r="F4912" s="6">
        <v>3</v>
      </c>
      <c r="G4912" s="6" t="s">
        <v>13</v>
      </c>
      <c r="H4912" s="6" t="s">
        <v>18</v>
      </c>
      <c r="I4912" s="6">
        <f>TabJogos[[#This Row],[PontosTime1]]-TabJogos[[#This Row],[PontosTime2]]</f>
        <v>-3</v>
      </c>
    </row>
    <row r="4913" spans="1:9" ht="15" customHeight="1" x14ac:dyDescent="0.25">
      <c r="A4913" s="7">
        <v>4874</v>
      </c>
      <c r="B4913" s="1">
        <v>43811</v>
      </c>
      <c r="C4913" s="6" t="s">
        <v>11</v>
      </c>
      <c r="D4913" s="6" t="s">
        <v>17</v>
      </c>
      <c r="E4913" s="6">
        <v>4</v>
      </c>
      <c r="F4913" s="6">
        <v>2</v>
      </c>
      <c r="G4913" s="6" t="s">
        <v>10</v>
      </c>
      <c r="H4913" s="6" t="s">
        <v>18</v>
      </c>
      <c r="I4913" s="6">
        <f>TabJogos[[#This Row],[PontosTime1]]-TabJogos[[#This Row],[PontosTime2]]</f>
        <v>2</v>
      </c>
    </row>
    <row r="4914" spans="1:9" ht="15" customHeight="1" x14ac:dyDescent="0.25">
      <c r="A4914" s="7">
        <v>4875</v>
      </c>
      <c r="B4914" s="1">
        <v>43811</v>
      </c>
      <c r="C4914" s="6" t="s">
        <v>11</v>
      </c>
      <c r="D4914" s="6" t="s">
        <v>13</v>
      </c>
      <c r="E4914" s="6">
        <v>3</v>
      </c>
      <c r="F4914" s="6">
        <v>2</v>
      </c>
      <c r="G4914" s="6" t="s">
        <v>17</v>
      </c>
      <c r="H4914" s="6" t="s">
        <v>18</v>
      </c>
      <c r="I4914" s="6">
        <f>TabJogos[[#This Row],[PontosTime1]]-TabJogos[[#This Row],[PontosTime2]]</f>
        <v>1</v>
      </c>
    </row>
    <row r="4915" spans="1:9" ht="15" customHeight="1" x14ac:dyDescent="0.25">
      <c r="A4915" s="7">
        <v>4876</v>
      </c>
      <c r="B4915" s="1">
        <v>43811</v>
      </c>
      <c r="C4915" s="6" t="s">
        <v>11</v>
      </c>
      <c r="D4915" s="6" t="s">
        <v>10</v>
      </c>
      <c r="E4915" s="6">
        <v>3</v>
      </c>
      <c r="F4915" s="6">
        <v>1</v>
      </c>
      <c r="G4915" s="6" t="s">
        <v>13</v>
      </c>
      <c r="H4915" s="6" t="s">
        <v>18</v>
      </c>
      <c r="I4915" s="6">
        <f>TabJogos[[#This Row],[PontosTime1]]-TabJogos[[#This Row],[PontosTime2]]</f>
        <v>2</v>
      </c>
    </row>
    <row r="4916" spans="1:9" ht="15" customHeight="1" x14ac:dyDescent="0.25">
      <c r="A4916" s="7">
        <v>4877</v>
      </c>
      <c r="B4916" s="1">
        <v>43811</v>
      </c>
      <c r="C4916" s="6" t="s">
        <v>11</v>
      </c>
      <c r="D4916" s="6" t="s">
        <v>18</v>
      </c>
      <c r="E4916" s="6">
        <v>2</v>
      </c>
      <c r="F4916" s="6">
        <v>3</v>
      </c>
      <c r="G4916" s="6" t="s">
        <v>10</v>
      </c>
      <c r="H4916" s="6" t="s">
        <v>13</v>
      </c>
      <c r="I4916" s="6">
        <f>TabJogos[[#This Row],[PontosTime1]]-TabJogos[[#This Row],[PontosTime2]]</f>
        <v>-1</v>
      </c>
    </row>
    <row r="4917" spans="1:9" ht="15" customHeight="1" x14ac:dyDescent="0.25">
      <c r="A4917" s="7">
        <v>4878</v>
      </c>
      <c r="B4917" s="1">
        <v>43812</v>
      </c>
      <c r="C4917" s="6" t="s">
        <v>11</v>
      </c>
      <c r="D4917" s="6" t="s">
        <v>17</v>
      </c>
      <c r="E4917" s="6">
        <v>0</v>
      </c>
      <c r="F4917" s="6">
        <v>5</v>
      </c>
      <c r="G4917" s="6" t="s">
        <v>13</v>
      </c>
      <c r="H4917" s="6" t="s">
        <v>10</v>
      </c>
      <c r="I4917" s="6">
        <f>TabJogos[[#This Row],[PontosTime1]]-TabJogos[[#This Row],[PontosTime2]]</f>
        <v>-5</v>
      </c>
    </row>
    <row r="4918" spans="1:9" ht="15" customHeight="1" x14ac:dyDescent="0.25">
      <c r="A4918" s="7">
        <v>4879</v>
      </c>
      <c r="B4918" s="1">
        <v>43812</v>
      </c>
      <c r="C4918" s="6" t="s">
        <v>11</v>
      </c>
      <c r="D4918" s="6" t="s">
        <v>10</v>
      </c>
      <c r="E4918" s="6">
        <v>3</v>
      </c>
      <c r="F4918" s="6">
        <v>1</v>
      </c>
      <c r="G4918" s="6" t="s">
        <v>17</v>
      </c>
      <c r="H4918" s="6" t="s">
        <v>13</v>
      </c>
      <c r="I4918" s="6">
        <f>TabJogos[[#This Row],[PontosTime1]]-TabJogos[[#This Row],[PontosTime2]]</f>
        <v>2</v>
      </c>
    </row>
    <row r="4919" spans="1:9" ht="15" customHeight="1" x14ac:dyDescent="0.25">
      <c r="A4919" s="7">
        <v>4880</v>
      </c>
      <c r="B4919" s="1">
        <v>43812</v>
      </c>
      <c r="C4919" s="6" t="s">
        <v>11</v>
      </c>
      <c r="D4919" s="6" t="s">
        <v>13</v>
      </c>
      <c r="E4919" s="6">
        <v>3</v>
      </c>
      <c r="F4919" s="6">
        <v>2</v>
      </c>
      <c r="G4919" s="6" t="s">
        <v>10</v>
      </c>
      <c r="H4919" s="6" t="s">
        <v>17</v>
      </c>
      <c r="I4919" s="6">
        <f>TabJogos[[#This Row],[PontosTime1]]-TabJogos[[#This Row],[PontosTime2]]</f>
        <v>1</v>
      </c>
    </row>
    <row r="4920" spans="1:9" ht="15" customHeight="1" x14ac:dyDescent="0.25">
      <c r="A4920" s="7">
        <v>4881</v>
      </c>
      <c r="B4920" s="1">
        <v>43812</v>
      </c>
      <c r="C4920" s="6" t="s">
        <v>11</v>
      </c>
      <c r="D4920" s="6" t="s">
        <v>17</v>
      </c>
      <c r="E4920" s="6">
        <v>2</v>
      </c>
      <c r="F4920" s="6">
        <v>3</v>
      </c>
      <c r="G4920" s="6" t="s">
        <v>10</v>
      </c>
      <c r="H4920" s="6" t="s">
        <v>13</v>
      </c>
      <c r="I4920" s="6">
        <f>TabJogos[[#This Row],[PontosTime1]]-TabJogos[[#This Row],[PontosTime2]]</f>
        <v>-1</v>
      </c>
    </row>
    <row r="4921" spans="1:9" ht="15" customHeight="1" x14ac:dyDescent="0.25">
      <c r="A4921" s="7">
        <v>4882</v>
      </c>
      <c r="B4921" s="1">
        <v>43812</v>
      </c>
      <c r="C4921" s="6" t="s">
        <v>11</v>
      </c>
      <c r="D4921" s="6" t="s">
        <v>10</v>
      </c>
      <c r="E4921" s="6">
        <v>4</v>
      </c>
      <c r="F4921" s="6">
        <v>2</v>
      </c>
      <c r="G4921" s="6" t="s">
        <v>17</v>
      </c>
      <c r="H4921" s="6" t="s">
        <v>13</v>
      </c>
      <c r="I4921" s="6">
        <f>TabJogos[[#This Row],[PontosTime1]]-TabJogos[[#This Row],[PontosTime2]]</f>
        <v>2</v>
      </c>
    </row>
    <row r="4922" spans="1:9" ht="15" customHeight="1" x14ac:dyDescent="0.25">
      <c r="A4922" s="7">
        <v>4883</v>
      </c>
      <c r="B4922" s="1">
        <v>43812</v>
      </c>
      <c r="C4922" s="6" t="s">
        <v>10</v>
      </c>
      <c r="D4922" s="6" t="s">
        <v>17</v>
      </c>
      <c r="E4922" s="6">
        <v>2</v>
      </c>
      <c r="F4922" s="6">
        <v>3</v>
      </c>
      <c r="G4922" s="6" t="s">
        <v>11</v>
      </c>
      <c r="H4922" s="6" t="s">
        <v>13</v>
      </c>
      <c r="I4922" s="6">
        <f>TabJogos[[#This Row],[PontosTime1]]-TabJogos[[#This Row],[PontosTime2]]</f>
        <v>-1</v>
      </c>
    </row>
    <row r="4923" spans="1:9" ht="15" customHeight="1" x14ac:dyDescent="0.25">
      <c r="A4923" s="7">
        <v>4884</v>
      </c>
      <c r="B4923" s="1">
        <v>43812</v>
      </c>
      <c r="C4923" s="6" t="s">
        <v>11</v>
      </c>
      <c r="D4923" s="6" t="s">
        <v>17</v>
      </c>
      <c r="E4923" s="6">
        <v>3</v>
      </c>
      <c r="F4923" s="6">
        <v>1</v>
      </c>
      <c r="G4923" s="6" t="s">
        <v>10</v>
      </c>
      <c r="H4923" s="6" t="s">
        <v>13</v>
      </c>
      <c r="I4923" s="6">
        <f>TabJogos[[#This Row],[PontosTime1]]-TabJogos[[#This Row],[PontosTime2]]</f>
        <v>2</v>
      </c>
    </row>
    <row r="4924" spans="1:9" ht="15" customHeight="1" x14ac:dyDescent="0.25">
      <c r="A4924" s="7">
        <v>4885</v>
      </c>
      <c r="B4924" s="1">
        <v>43812</v>
      </c>
      <c r="C4924" s="6" t="s">
        <v>13</v>
      </c>
      <c r="D4924" s="6" t="s">
        <v>17</v>
      </c>
      <c r="E4924" s="6">
        <v>3</v>
      </c>
      <c r="F4924" s="6">
        <v>0</v>
      </c>
      <c r="G4924" s="6" t="s">
        <v>10</v>
      </c>
      <c r="H4924" s="6" t="s">
        <v>11</v>
      </c>
      <c r="I4924" s="6">
        <f>TabJogos[[#This Row],[PontosTime1]]-TabJogos[[#This Row],[PontosTime2]]</f>
        <v>3</v>
      </c>
    </row>
    <row r="4925" spans="1:9" ht="15" customHeight="1" x14ac:dyDescent="0.25">
      <c r="A4925" s="7">
        <v>4886</v>
      </c>
      <c r="B4925" s="1">
        <v>43812</v>
      </c>
      <c r="C4925" s="6" t="s">
        <v>10</v>
      </c>
      <c r="D4925" s="6" t="s">
        <v>17</v>
      </c>
      <c r="E4925" s="6">
        <v>3</v>
      </c>
      <c r="F4925" s="6">
        <v>1</v>
      </c>
      <c r="G4925" s="6" t="s">
        <v>13</v>
      </c>
      <c r="H4925" s="6" t="s">
        <v>11</v>
      </c>
      <c r="I4925" s="6">
        <f>TabJogos[[#This Row],[PontosTime1]]-TabJogos[[#This Row],[PontosTime2]]</f>
        <v>2</v>
      </c>
    </row>
    <row r="4926" spans="1:9" ht="15" customHeight="1" x14ac:dyDescent="0.25">
      <c r="A4926" s="7">
        <v>4887</v>
      </c>
      <c r="B4926" s="1">
        <v>43816</v>
      </c>
      <c r="C4926" s="6" t="s">
        <v>18</v>
      </c>
      <c r="D4926" s="6" t="s">
        <v>10</v>
      </c>
      <c r="E4926" s="6">
        <v>3</v>
      </c>
      <c r="F4926" s="6">
        <v>2</v>
      </c>
      <c r="G4926" s="6" t="s">
        <v>11</v>
      </c>
      <c r="H4926" s="6" t="s">
        <v>9</v>
      </c>
      <c r="I4926" s="6">
        <f>TabJogos[[#This Row],[PontosTime1]]-TabJogos[[#This Row],[PontosTime2]]</f>
        <v>1</v>
      </c>
    </row>
    <row r="4927" spans="1:9" ht="15" customHeight="1" x14ac:dyDescent="0.25">
      <c r="A4927" s="7">
        <v>4888</v>
      </c>
      <c r="B4927" s="1">
        <v>43816</v>
      </c>
      <c r="C4927" s="6" t="s">
        <v>18</v>
      </c>
      <c r="D4927" s="6" t="s">
        <v>9</v>
      </c>
      <c r="E4927" s="6">
        <v>3</v>
      </c>
      <c r="F4927" s="6">
        <v>2</v>
      </c>
      <c r="G4927" s="6" t="s">
        <v>11</v>
      </c>
      <c r="H4927" s="6" t="s">
        <v>10</v>
      </c>
      <c r="I4927" s="6">
        <f>TabJogos[[#This Row],[PontosTime1]]-TabJogos[[#This Row],[PontosTime2]]</f>
        <v>1</v>
      </c>
    </row>
    <row r="4928" spans="1:9" ht="15" customHeight="1" x14ac:dyDescent="0.25">
      <c r="A4928" s="7">
        <v>4889</v>
      </c>
      <c r="B4928" s="1">
        <v>43816</v>
      </c>
      <c r="C4928" s="6" t="s">
        <v>9</v>
      </c>
      <c r="D4928" s="6" t="s">
        <v>10</v>
      </c>
      <c r="E4928" s="6">
        <v>3</v>
      </c>
      <c r="F4928" s="6">
        <v>0</v>
      </c>
      <c r="G4928" s="6" t="s">
        <v>11</v>
      </c>
      <c r="H4928" s="6" t="s">
        <v>18</v>
      </c>
      <c r="I4928" s="6">
        <f>TabJogos[[#This Row],[PontosTime1]]-TabJogos[[#This Row],[PontosTime2]]</f>
        <v>3</v>
      </c>
    </row>
    <row r="4929" spans="1:9" ht="15" customHeight="1" x14ac:dyDescent="0.25">
      <c r="A4929" s="7">
        <v>4890</v>
      </c>
      <c r="B4929" s="1">
        <v>43816</v>
      </c>
      <c r="C4929" s="6" t="s">
        <v>18</v>
      </c>
      <c r="D4929" s="6" t="s">
        <v>10</v>
      </c>
      <c r="E4929" s="6">
        <v>0</v>
      </c>
      <c r="F4929" s="6">
        <v>3</v>
      </c>
      <c r="G4929" s="6" t="s">
        <v>11</v>
      </c>
      <c r="H4929" s="6" t="s">
        <v>9</v>
      </c>
      <c r="I4929" s="6">
        <f>TabJogos[[#This Row],[PontosTime1]]-TabJogos[[#This Row],[PontosTime2]]</f>
        <v>-3</v>
      </c>
    </row>
    <row r="4930" spans="1:9" ht="15" customHeight="1" x14ac:dyDescent="0.25">
      <c r="A4930" s="7">
        <v>4891</v>
      </c>
      <c r="B4930" s="1">
        <v>43816</v>
      </c>
      <c r="C4930" s="6" t="s">
        <v>11</v>
      </c>
      <c r="D4930" s="6" t="s">
        <v>10</v>
      </c>
      <c r="E4930" s="6">
        <v>0</v>
      </c>
      <c r="F4930" s="6">
        <v>4</v>
      </c>
      <c r="G4930" s="6" t="s">
        <v>9</v>
      </c>
      <c r="H4930" s="6" t="s">
        <v>18</v>
      </c>
      <c r="I4930" s="6">
        <f>TabJogos[[#This Row],[PontosTime1]]-TabJogos[[#This Row],[PontosTime2]]</f>
        <v>-4</v>
      </c>
    </row>
    <row r="4931" spans="1:9" ht="15" customHeight="1" x14ac:dyDescent="0.25">
      <c r="A4931" s="7">
        <v>4892</v>
      </c>
      <c r="B4931" s="1">
        <v>43816</v>
      </c>
      <c r="C4931" s="6" t="s">
        <v>9</v>
      </c>
      <c r="D4931" s="6" t="s">
        <v>10</v>
      </c>
      <c r="E4931" s="6">
        <v>3</v>
      </c>
      <c r="F4931" s="6">
        <v>0</v>
      </c>
      <c r="G4931" s="6" t="s">
        <v>11</v>
      </c>
      <c r="H4931" s="6" t="s">
        <v>18</v>
      </c>
      <c r="I4931" s="6">
        <f>TabJogos[[#This Row],[PontosTime1]]-TabJogos[[#This Row],[PontosTime2]]</f>
        <v>3</v>
      </c>
    </row>
    <row r="4932" spans="1:9" ht="15" customHeight="1" x14ac:dyDescent="0.25">
      <c r="A4932" s="7">
        <v>4893</v>
      </c>
      <c r="B4932" s="1">
        <v>43816</v>
      </c>
      <c r="C4932" s="6" t="s">
        <v>9</v>
      </c>
      <c r="D4932" s="6" t="s">
        <v>64</v>
      </c>
      <c r="E4932" s="6">
        <v>1</v>
      </c>
      <c r="F4932" s="6">
        <v>3</v>
      </c>
      <c r="G4932" s="6" t="s">
        <v>10</v>
      </c>
      <c r="H4932" s="6" t="s">
        <v>41</v>
      </c>
      <c r="I4932" s="6">
        <f>TabJogos[[#This Row],[PontosTime1]]-TabJogos[[#This Row],[PontosTime2]]</f>
        <v>-2</v>
      </c>
    </row>
    <row r="4933" spans="1:9" ht="15" customHeight="1" x14ac:dyDescent="0.25">
      <c r="A4933" s="7">
        <v>4894</v>
      </c>
      <c r="B4933" s="1">
        <v>43816</v>
      </c>
      <c r="C4933" s="6" t="s">
        <v>10</v>
      </c>
      <c r="D4933" s="6" t="s">
        <v>11</v>
      </c>
      <c r="E4933" s="6">
        <v>5</v>
      </c>
      <c r="F4933" s="6">
        <v>2</v>
      </c>
      <c r="G4933" s="6" t="s">
        <v>18</v>
      </c>
      <c r="H4933" s="6" t="s">
        <v>41</v>
      </c>
      <c r="I4933" s="6">
        <f>TabJogos[[#This Row],[PontosTime1]]-TabJogos[[#This Row],[PontosTime2]]</f>
        <v>3</v>
      </c>
    </row>
    <row r="4934" spans="1:9" ht="15" customHeight="1" x14ac:dyDescent="0.25">
      <c r="A4934" s="7">
        <v>4895</v>
      </c>
      <c r="B4934" s="1">
        <v>43816</v>
      </c>
      <c r="C4934" s="6" t="s">
        <v>11</v>
      </c>
      <c r="D4934" s="6" t="s">
        <v>9</v>
      </c>
      <c r="E4934" s="6">
        <v>3</v>
      </c>
      <c r="F4934" s="6">
        <v>2</v>
      </c>
      <c r="G4934" s="6" t="s">
        <v>10</v>
      </c>
      <c r="H4934" s="6" t="s">
        <v>64</v>
      </c>
      <c r="I4934" s="6">
        <f>TabJogos[[#This Row],[PontosTime1]]-TabJogos[[#This Row],[PontosTime2]]</f>
        <v>1</v>
      </c>
    </row>
    <row r="4935" spans="1:9" ht="15" customHeight="1" x14ac:dyDescent="0.25">
      <c r="A4935" s="7">
        <v>4896</v>
      </c>
      <c r="B4935" s="1">
        <v>43816</v>
      </c>
      <c r="C4935" s="6" t="s">
        <v>9</v>
      </c>
      <c r="D4935" s="6" t="s">
        <v>18</v>
      </c>
      <c r="E4935" s="6">
        <v>3</v>
      </c>
      <c r="F4935" s="6">
        <v>0</v>
      </c>
      <c r="G4935" s="6" t="s">
        <v>11</v>
      </c>
      <c r="H4935" s="6" t="s">
        <v>41</v>
      </c>
      <c r="I4935" s="6">
        <f>TabJogos[[#This Row],[PontosTime1]]-TabJogos[[#This Row],[PontosTime2]]</f>
        <v>3</v>
      </c>
    </row>
    <row r="4936" spans="1:9" ht="15" customHeight="1" x14ac:dyDescent="0.25">
      <c r="A4936" s="7">
        <v>4897</v>
      </c>
      <c r="B4936" s="1">
        <v>43816</v>
      </c>
      <c r="C4936" s="6" t="s">
        <v>9</v>
      </c>
      <c r="D4936" s="6" t="s">
        <v>41</v>
      </c>
      <c r="E4936" s="6">
        <v>3</v>
      </c>
      <c r="F4936" s="6">
        <v>0</v>
      </c>
      <c r="G4936" s="6" t="s">
        <v>64</v>
      </c>
      <c r="H4936" s="6" t="s">
        <v>18</v>
      </c>
      <c r="I4936" s="6">
        <f>TabJogos[[#This Row],[PontosTime1]]-TabJogos[[#This Row],[PontosTime2]]</f>
        <v>3</v>
      </c>
    </row>
    <row r="4937" spans="1:9" ht="15" customHeight="1" x14ac:dyDescent="0.25">
      <c r="A4937" s="7">
        <v>4898</v>
      </c>
      <c r="B4937" s="1">
        <v>43816</v>
      </c>
      <c r="C4937" s="6" t="s">
        <v>9</v>
      </c>
      <c r="D4937" s="6" t="s">
        <v>11</v>
      </c>
      <c r="E4937" s="6">
        <v>2</v>
      </c>
      <c r="F4937" s="6">
        <v>3</v>
      </c>
      <c r="G4937" s="6" t="s">
        <v>64</v>
      </c>
      <c r="H4937" s="6" t="s">
        <v>18</v>
      </c>
      <c r="I4937" s="6">
        <f>TabJogos[[#This Row],[PontosTime1]]-TabJogos[[#This Row],[PontosTime2]]</f>
        <v>-1</v>
      </c>
    </row>
    <row r="4938" spans="1:9" ht="15" customHeight="1" x14ac:dyDescent="0.25">
      <c r="A4938" s="7">
        <v>4899</v>
      </c>
      <c r="B4938" s="1">
        <v>43816</v>
      </c>
      <c r="C4938" s="6" t="s">
        <v>9</v>
      </c>
      <c r="D4938" s="6" t="s">
        <v>64</v>
      </c>
      <c r="E4938" s="6">
        <v>1</v>
      </c>
      <c r="F4938" s="6">
        <v>3</v>
      </c>
      <c r="G4938" s="6" t="s">
        <v>64</v>
      </c>
      <c r="H4938" s="6" t="s">
        <v>11</v>
      </c>
      <c r="I4938" s="6">
        <f>TabJogos[[#This Row],[PontosTime1]]-TabJogos[[#This Row],[PontosTime2]]</f>
        <v>-2</v>
      </c>
    </row>
    <row r="4939" spans="1:9" ht="15" customHeight="1" x14ac:dyDescent="0.25">
      <c r="A4939" s="7">
        <v>4900</v>
      </c>
      <c r="B4939" s="1">
        <v>43816</v>
      </c>
      <c r="C4939" s="6" t="s">
        <v>9</v>
      </c>
      <c r="D4939" s="6" t="s">
        <v>18</v>
      </c>
      <c r="E4939" s="6">
        <v>1</v>
      </c>
      <c r="F4939" s="6">
        <v>3</v>
      </c>
      <c r="G4939" s="6" t="s">
        <v>18</v>
      </c>
      <c r="H4939" s="6" t="s">
        <v>11</v>
      </c>
      <c r="I4939" s="6">
        <f>TabJogos[[#This Row],[PontosTime1]]-TabJogos[[#This Row],[PontosTime2]]</f>
        <v>-2</v>
      </c>
    </row>
    <row r="4940" spans="1:9" ht="15" customHeight="1" x14ac:dyDescent="0.25">
      <c r="A4940" s="7">
        <v>4901</v>
      </c>
      <c r="B4940" s="1">
        <v>43817</v>
      </c>
      <c r="C4940" s="6" t="s">
        <v>18</v>
      </c>
      <c r="D4940" s="6" t="s">
        <v>10</v>
      </c>
      <c r="E4940" s="6">
        <v>2</v>
      </c>
      <c r="F4940" s="6">
        <v>3</v>
      </c>
      <c r="G4940" s="6" t="s">
        <v>17</v>
      </c>
      <c r="H4940" s="6" t="s">
        <v>11</v>
      </c>
      <c r="I4940" s="6">
        <f>TabJogos[[#This Row],[PontosTime1]]-TabJogos[[#This Row],[PontosTime2]]</f>
        <v>-1</v>
      </c>
    </row>
    <row r="4941" spans="1:9" ht="15" customHeight="1" x14ac:dyDescent="0.25">
      <c r="A4941" s="7">
        <v>4902</v>
      </c>
      <c r="B4941" s="1">
        <v>43817</v>
      </c>
      <c r="C4941" s="6" t="s">
        <v>18</v>
      </c>
      <c r="D4941" s="6" t="s">
        <v>17</v>
      </c>
      <c r="E4941" s="6">
        <v>3</v>
      </c>
      <c r="F4941" s="6">
        <v>0</v>
      </c>
      <c r="G4941" s="6" t="s">
        <v>10</v>
      </c>
      <c r="H4941" s="6" t="s">
        <v>11</v>
      </c>
      <c r="I4941" s="6">
        <f>TabJogos[[#This Row],[PontosTime1]]-TabJogos[[#This Row],[PontosTime2]]</f>
        <v>3</v>
      </c>
    </row>
    <row r="4942" spans="1:9" ht="15" customHeight="1" x14ac:dyDescent="0.25">
      <c r="A4942" s="7">
        <v>4903</v>
      </c>
      <c r="B4942" s="1">
        <v>43817</v>
      </c>
      <c r="C4942" s="6" t="s">
        <v>18</v>
      </c>
      <c r="D4942" s="6" t="s">
        <v>11</v>
      </c>
      <c r="E4942" s="6">
        <v>1</v>
      </c>
      <c r="F4942" s="6">
        <v>3</v>
      </c>
      <c r="G4942" s="6" t="s">
        <v>10</v>
      </c>
      <c r="H4942" s="6" t="s">
        <v>17</v>
      </c>
      <c r="I4942" s="6">
        <f>TabJogos[[#This Row],[PontosTime1]]-TabJogos[[#This Row],[PontosTime2]]</f>
        <v>-2</v>
      </c>
    </row>
    <row r="4943" spans="1:9" ht="15" customHeight="1" x14ac:dyDescent="0.25">
      <c r="A4943" s="7">
        <v>4904</v>
      </c>
      <c r="B4943" s="1">
        <v>43817</v>
      </c>
      <c r="C4943" s="6" t="s">
        <v>10</v>
      </c>
      <c r="D4943" s="6" t="s">
        <v>18</v>
      </c>
      <c r="E4943" s="6">
        <v>3</v>
      </c>
      <c r="F4943" s="6">
        <v>1</v>
      </c>
      <c r="G4943" s="6" t="s">
        <v>11</v>
      </c>
      <c r="H4943" s="6" t="s">
        <v>17</v>
      </c>
      <c r="I4943" s="6">
        <f>TabJogos[[#This Row],[PontosTime1]]-TabJogos[[#This Row],[PontosTime2]]</f>
        <v>2</v>
      </c>
    </row>
    <row r="4944" spans="1:9" ht="15" customHeight="1" x14ac:dyDescent="0.25">
      <c r="A4944" s="7">
        <v>4905</v>
      </c>
      <c r="B4944" s="1">
        <v>43817</v>
      </c>
      <c r="C4944" s="6" t="s">
        <v>10</v>
      </c>
      <c r="D4944" s="6" t="s">
        <v>11</v>
      </c>
      <c r="E4944" s="6">
        <v>1</v>
      </c>
      <c r="F4944" s="6">
        <v>3</v>
      </c>
      <c r="G4944" s="6" t="s">
        <v>17</v>
      </c>
      <c r="H4944" s="6" t="s">
        <v>18</v>
      </c>
      <c r="I4944" s="6">
        <f>TabJogos[[#This Row],[PontosTime1]]-TabJogos[[#This Row],[PontosTime2]]</f>
        <v>-2</v>
      </c>
    </row>
    <row r="4945" spans="1:9" ht="15" customHeight="1" x14ac:dyDescent="0.25">
      <c r="A4945" s="7">
        <v>4906</v>
      </c>
      <c r="B4945" s="1">
        <v>43817</v>
      </c>
      <c r="C4945" s="6" t="s">
        <v>10</v>
      </c>
      <c r="D4945" s="6" t="s">
        <v>11</v>
      </c>
      <c r="E4945" s="6">
        <v>3</v>
      </c>
      <c r="F4945" s="6">
        <v>2</v>
      </c>
      <c r="G4945" s="6" t="s">
        <v>64</v>
      </c>
      <c r="H4945" s="6" t="s">
        <v>18</v>
      </c>
      <c r="I4945" s="6">
        <f>TabJogos[[#This Row],[PontosTime1]]-TabJogos[[#This Row],[PontosTime2]]</f>
        <v>1</v>
      </c>
    </row>
    <row r="4946" spans="1:9" ht="15" customHeight="1" x14ac:dyDescent="0.25">
      <c r="A4946" s="7">
        <v>4907</v>
      </c>
      <c r="B4946" s="1">
        <v>43817</v>
      </c>
      <c r="C4946" s="6" t="s">
        <v>18</v>
      </c>
      <c r="D4946" s="6" t="s">
        <v>11</v>
      </c>
      <c r="E4946" s="6">
        <v>4</v>
      </c>
      <c r="F4946" s="6">
        <v>0</v>
      </c>
      <c r="G4946" s="6" t="s">
        <v>64</v>
      </c>
      <c r="H4946" s="6" t="s">
        <v>10</v>
      </c>
      <c r="I4946" s="6">
        <f>TabJogos[[#This Row],[PontosTime1]]-TabJogos[[#This Row],[PontosTime2]]</f>
        <v>4</v>
      </c>
    </row>
    <row r="4947" spans="1:9" ht="15" customHeight="1" x14ac:dyDescent="0.25">
      <c r="A4947" s="7">
        <v>4908</v>
      </c>
      <c r="B4947" s="1">
        <v>43817</v>
      </c>
      <c r="C4947" s="6" t="s">
        <v>11</v>
      </c>
      <c r="D4947" s="6" t="s">
        <v>64</v>
      </c>
      <c r="E4947" s="6">
        <v>3</v>
      </c>
      <c r="F4947" s="6">
        <v>1</v>
      </c>
      <c r="G4947" s="6" t="s">
        <v>18</v>
      </c>
      <c r="H4947" s="6" t="s">
        <v>10</v>
      </c>
      <c r="I4947" s="6">
        <f>TabJogos[[#This Row],[PontosTime1]]-TabJogos[[#This Row],[PontosTime2]]</f>
        <v>2</v>
      </c>
    </row>
    <row r="4948" spans="1:9" ht="15" customHeight="1" x14ac:dyDescent="0.25">
      <c r="A4948" s="7">
        <v>4909</v>
      </c>
      <c r="B4948" s="1">
        <v>43817</v>
      </c>
      <c r="C4948" s="6" t="s">
        <v>11</v>
      </c>
      <c r="D4948" s="6" t="s">
        <v>10</v>
      </c>
      <c r="E4948" s="6">
        <v>4</v>
      </c>
      <c r="F4948" s="6">
        <v>0</v>
      </c>
      <c r="G4948" s="6" t="s">
        <v>18</v>
      </c>
      <c r="H4948" s="6" t="s">
        <v>64</v>
      </c>
      <c r="I4948" s="6">
        <f>TabJogos[[#This Row],[PontosTime1]]-TabJogos[[#This Row],[PontosTime2]]</f>
        <v>4</v>
      </c>
    </row>
    <row r="4949" spans="1:9" ht="15" customHeight="1" x14ac:dyDescent="0.25">
      <c r="A4949" s="7">
        <v>4910</v>
      </c>
      <c r="B4949" s="1">
        <v>43817</v>
      </c>
      <c r="C4949" s="6" t="s">
        <v>11</v>
      </c>
      <c r="D4949" s="6" t="s">
        <v>64</v>
      </c>
      <c r="E4949" s="6">
        <v>3</v>
      </c>
      <c r="F4949" s="6">
        <v>1</v>
      </c>
      <c r="G4949" s="6" t="s">
        <v>18</v>
      </c>
      <c r="H4949" s="6" t="s">
        <v>10</v>
      </c>
      <c r="I4949" s="6">
        <f>TabJogos[[#This Row],[PontosTime1]]-TabJogos[[#This Row],[PontosTime2]]</f>
        <v>2</v>
      </c>
    </row>
    <row r="4950" spans="1:9" ht="15" customHeight="1" x14ac:dyDescent="0.25">
      <c r="A4950" s="7">
        <v>4911</v>
      </c>
      <c r="B4950" s="1">
        <v>43817</v>
      </c>
      <c r="C4950" s="6" t="s">
        <v>10</v>
      </c>
      <c r="D4950" s="6" t="s">
        <v>64</v>
      </c>
      <c r="E4950" s="6">
        <v>3</v>
      </c>
      <c r="F4950" s="6">
        <v>1</v>
      </c>
      <c r="G4950" s="6" t="s">
        <v>18</v>
      </c>
      <c r="H4950" s="6" t="s">
        <v>11</v>
      </c>
      <c r="I4950" s="6">
        <f>TabJogos[[#This Row],[PontosTime1]]-TabJogos[[#This Row],[PontosTime2]]</f>
        <v>2</v>
      </c>
    </row>
    <row r="4951" spans="1:9" ht="15" customHeight="1" x14ac:dyDescent="0.25">
      <c r="A4951" s="7">
        <v>4912</v>
      </c>
      <c r="B4951" s="1">
        <v>43818</v>
      </c>
      <c r="C4951" s="6" t="s">
        <v>18</v>
      </c>
      <c r="D4951" s="6" t="s">
        <v>10</v>
      </c>
      <c r="E4951" s="6">
        <v>3</v>
      </c>
      <c r="F4951" s="6">
        <v>2</v>
      </c>
      <c r="G4951" s="6" t="s">
        <v>9</v>
      </c>
      <c r="H4951" s="6" t="s">
        <v>11</v>
      </c>
      <c r="I4951" s="6">
        <f>TabJogos[[#This Row],[PontosTime1]]-TabJogos[[#This Row],[PontosTime2]]</f>
        <v>1</v>
      </c>
    </row>
    <row r="4952" spans="1:9" ht="15" customHeight="1" x14ac:dyDescent="0.25">
      <c r="A4952" s="7">
        <v>4913</v>
      </c>
      <c r="B4952" s="1">
        <v>43818</v>
      </c>
      <c r="C4952" s="6" t="s">
        <v>9</v>
      </c>
      <c r="D4952" s="6" t="s">
        <v>10</v>
      </c>
      <c r="E4952" s="6">
        <v>0</v>
      </c>
      <c r="F4952" s="6">
        <v>3</v>
      </c>
      <c r="G4952" s="6" t="s">
        <v>18</v>
      </c>
      <c r="H4952" s="6" t="s">
        <v>64</v>
      </c>
      <c r="I4952" s="6">
        <f>TabJogos[[#This Row],[PontosTime1]]-TabJogos[[#This Row],[PontosTime2]]</f>
        <v>-3</v>
      </c>
    </row>
    <row r="4953" spans="1:9" ht="15" customHeight="1" x14ac:dyDescent="0.25">
      <c r="A4953" s="7">
        <v>4914</v>
      </c>
      <c r="B4953" s="1">
        <v>43818</v>
      </c>
      <c r="C4953" s="6" t="s">
        <v>10</v>
      </c>
      <c r="D4953" s="6" t="s">
        <v>64</v>
      </c>
      <c r="E4953" s="6">
        <v>3</v>
      </c>
      <c r="F4953" s="6">
        <v>1</v>
      </c>
      <c r="G4953" s="6" t="s">
        <v>18</v>
      </c>
      <c r="H4953" s="6" t="s">
        <v>11</v>
      </c>
      <c r="I4953" s="6">
        <f>TabJogos[[#This Row],[PontosTime1]]-TabJogos[[#This Row],[PontosTime2]]</f>
        <v>2</v>
      </c>
    </row>
    <row r="4954" spans="1:9" ht="15" customHeight="1" x14ac:dyDescent="0.25">
      <c r="A4954" s="7">
        <v>4915</v>
      </c>
      <c r="B4954" s="1">
        <v>43818</v>
      </c>
      <c r="C4954" s="6" t="s">
        <v>9</v>
      </c>
      <c r="D4954" s="6" t="s">
        <v>18</v>
      </c>
      <c r="E4954" s="6">
        <v>3</v>
      </c>
      <c r="F4954" s="6">
        <v>1</v>
      </c>
      <c r="G4954" s="6" t="s">
        <v>64</v>
      </c>
      <c r="H4954" s="6" t="s">
        <v>11</v>
      </c>
      <c r="I4954" s="6">
        <f>TabJogos[[#This Row],[PontosTime1]]-TabJogos[[#This Row],[PontosTime2]]</f>
        <v>2</v>
      </c>
    </row>
    <row r="4955" spans="1:9" ht="15" customHeight="1" x14ac:dyDescent="0.25">
      <c r="A4955" s="7">
        <v>4916</v>
      </c>
      <c r="B4955" s="1">
        <v>43818</v>
      </c>
      <c r="C4955" s="6" t="s">
        <v>9</v>
      </c>
      <c r="D4955" s="6" t="s">
        <v>11</v>
      </c>
      <c r="E4955" s="6">
        <v>3</v>
      </c>
      <c r="F4955" s="6">
        <v>2</v>
      </c>
      <c r="G4955" s="6" t="s">
        <v>10</v>
      </c>
      <c r="H4955" s="6" t="s">
        <v>18</v>
      </c>
      <c r="I4955" s="6">
        <f>TabJogos[[#This Row],[PontosTime1]]-TabJogos[[#This Row],[PontosTime2]]</f>
        <v>1</v>
      </c>
    </row>
    <row r="4956" spans="1:9" ht="15" customHeight="1" x14ac:dyDescent="0.25">
      <c r="A4956" s="7">
        <v>4917</v>
      </c>
      <c r="B4956" s="1">
        <v>43818</v>
      </c>
      <c r="C4956" s="6" t="s">
        <v>11</v>
      </c>
      <c r="D4956" s="6" t="s">
        <v>41</v>
      </c>
      <c r="E4956" s="6">
        <v>3</v>
      </c>
      <c r="F4956" s="6">
        <v>1</v>
      </c>
      <c r="G4956" s="6" t="s">
        <v>9</v>
      </c>
      <c r="H4956" s="6" t="s">
        <v>64</v>
      </c>
      <c r="I4956" s="6">
        <f>TabJogos[[#This Row],[PontosTime1]]-TabJogos[[#This Row],[PontosTime2]]</f>
        <v>2</v>
      </c>
    </row>
    <row r="4957" spans="1:9" ht="15" customHeight="1" x14ac:dyDescent="0.25">
      <c r="A4957" s="7">
        <v>4918</v>
      </c>
      <c r="B4957" s="1">
        <v>43818</v>
      </c>
      <c r="C4957" s="6" t="s">
        <v>9</v>
      </c>
      <c r="D4957" s="6" t="s">
        <v>11</v>
      </c>
      <c r="E4957" s="6">
        <v>3</v>
      </c>
      <c r="F4957" s="6">
        <v>2</v>
      </c>
      <c r="G4957" s="6" t="s">
        <v>41</v>
      </c>
      <c r="H4957" s="6" t="s">
        <v>18</v>
      </c>
      <c r="I4957" s="6">
        <f>TabJogos[[#This Row],[PontosTime1]]-TabJogos[[#This Row],[PontosTime2]]</f>
        <v>1</v>
      </c>
    </row>
    <row r="4958" spans="1:9" ht="15" customHeight="1" x14ac:dyDescent="0.25">
      <c r="A4958" s="7">
        <v>4919</v>
      </c>
      <c r="B4958" s="1">
        <v>43818</v>
      </c>
      <c r="C4958" s="6" t="s">
        <v>9</v>
      </c>
      <c r="D4958" s="6" t="s">
        <v>41</v>
      </c>
      <c r="E4958" s="6">
        <v>3</v>
      </c>
      <c r="F4958" s="6">
        <v>0</v>
      </c>
      <c r="G4958" s="6" t="s">
        <v>11</v>
      </c>
      <c r="H4958" s="6" t="s">
        <v>64</v>
      </c>
      <c r="I4958" s="6">
        <f>TabJogos[[#This Row],[PontosTime1]]-TabJogos[[#This Row],[PontosTime2]]</f>
        <v>3</v>
      </c>
    </row>
    <row r="4959" spans="1:9" ht="15" customHeight="1" x14ac:dyDescent="0.25">
      <c r="A4959" s="7">
        <v>4920</v>
      </c>
      <c r="B4959" s="1">
        <v>43818</v>
      </c>
      <c r="C4959" s="6" t="s">
        <v>11</v>
      </c>
      <c r="D4959" s="6" t="s">
        <v>11</v>
      </c>
      <c r="E4959" s="6">
        <v>3</v>
      </c>
      <c r="F4959" s="6">
        <v>2</v>
      </c>
      <c r="G4959" s="6" t="s">
        <v>9</v>
      </c>
      <c r="H4959" s="6" t="s">
        <v>18</v>
      </c>
      <c r="I4959" s="6">
        <f>TabJogos[[#This Row],[PontosTime1]]-TabJogos[[#This Row],[PontosTime2]]</f>
        <v>1</v>
      </c>
    </row>
    <row r="4960" spans="1:9" ht="15" customHeight="1" x14ac:dyDescent="0.25">
      <c r="A4960" s="7">
        <v>4921</v>
      </c>
      <c r="B4960" s="1">
        <v>43819</v>
      </c>
      <c r="C4960" s="6" t="s">
        <v>9</v>
      </c>
      <c r="D4960" s="6" t="s">
        <v>11</v>
      </c>
      <c r="E4960" s="6">
        <v>3</v>
      </c>
      <c r="F4960" s="6">
        <v>0</v>
      </c>
      <c r="G4960" s="6" t="s">
        <v>10</v>
      </c>
      <c r="H4960" s="6" t="s">
        <v>18</v>
      </c>
      <c r="I4960" s="6">
        <f>TabJogos[[#This Row],[PontosTime1]]-TabJogos[[#This Row],[PontosTime2]]</f>
        <v>3</v>
      </c>
    </row>
    <row r="4961" spans="1:9" ht="15" customHeight="1" x14ac:dyDescent="0.25">
      <c r="A4961" s="7">
        <v>4922</v>
      </c>
      <c r="B4961" s="1">
        <v>43819</v>
      </c>
      <c r="C4961" s="6" t="s">
        <v>9</v>
      </c>
      <c r="D4961" s="6" t="s">
        <v>18</v>
      </c>
      <c r="E4961" s="6">
        <v>3</v>
      </c>
      <c r="F4961" s="6">
        <v>0</v>
      </c>
      <c r="G4961" s="6" t="s">
        <v>11</v>
      </c>
      <c r="H4961" s="6" t="s">
        <v>10</v>
      </c>
      <c r="I4961" s="6">
        <f>TabJogos[[#This Row],[PontosTime1]]-TabJogos[[#This Row],[PontosTime2]]</f>
        <v>3</v>
      </c>
    </row>
    <row r="4962" spans="1:9" ht="15" customHeight="1" x14ac:dyDescent="0.25">
      <c r="A4962" s="7">
        <v>4923</v>
      </c>
      <c r="B4962" s="1">
        <v>43819</v>
      </c>
      <c r="C4962" s="6" t="s">
        <v>9</v>
      </c>
      <c r="D4962" s="6" t="s">
        <v>10</v>
      </c>
      <c r="E4962" s="6">
        <v>3</v>
      </c>
      <c r="F4962" s="6">
        <v>0</v>
      </c>
      <c r="G4962" s="6" t="s">
        <v>18</v>
      </c>
      <c r="H4962" s="6" t="s">
        <v>64</v>
      </c>
      <c r="I4962" s="6">
        <f>TabJogos[[#This Row],[PontosTime1]]-TabJogos[[#This Row],[PontosTime2]]</f>
        <v>3</v>
      </c>
    </row>
    <row r="4963" spans="1:9" ht="15" customHeight="1" x14ac:dyDescent="0.25">
      <c r="A4963" s="7">
        <v>4924</v>
      </c>
      <c r="B4963" s="1">
        <v>43819</v>
      </c>
      <c r="C4963" s="6" t="s">
        <v>10</v>
      </c>
      <c r="D4963" s="6" t="s">
        <v>18</v>
      </c>
      <c r="E4963" s="6">
        <v>3</v>
      </c>
      <c r="F4963" s="6">
        <v>1</v>
      </c>
      <c r="G4963" s="6" t="s">
        <v>11</v>
      </c>
      <c r="H4963" s="6" t="s">
        <v>9</v>
      </c>
      <c r="I4963" s="6">
        <f>TabJogos[[#This Row],[PontosTime1]]-TabJogos[[#This Row],[PontosTime2]]</f>
        <v>2</v>
      </c>
    </row>
    <row r="4964" spans="1:9" ht="15" customHeight="1" x14ac:dyDescent="0.25">
      <c r="A4964" s="7">
        <v>4925</v>
      </c>
      <c r="B4964" s="1">
        <v>43819</v>
      </c>
      <c r="C4964" s="6" t="s">
        <v>10</v>
      </c>
      <c r="D4964" s="6" t="s">
        <v>64</v>
      </c>
      <c r="E4964" s="6">
        <v>3</v>
      </c>
      <c r="F4964" s="6">
        <v>1</v>
      </c>
      <c r="G4964" s="6" t="s">
        <v>41</v>
      </c>
      <c r="H4964" s="6" t="s">
        <v>18</v>
      </c>
      <c r="I4964" s="6">
        <f>TabJogos[[#This Row],[PontosTime1]]-TabJogos[[#This Row],[PontosTime2]]</f>
        <v>2</v>
      </c>
    </row>
    <row r="4965" spans="1:9" ht="15" customHeight="1" x14ac:dyDescent="0.25">
      <c r="A4965" s="7">
        <v>4926</v>
      </c>
      <c r="B4965" s="1">
        <v>43819</v>
      </c>
      <c r="C4965" s="6" t="s">
        <v>10</v>
      </c>
      <c r="D4965" s="6" t="s">
        <v>11</v>
      </c>
      <c r="E4965" s="6">
        <v>3</v>
      </c>
      <c r="F4965" s="6">
        <v>1</v>
      </c>
      <c r="G4965" s="6" t="s">
        <v>9</v>
      </c>
      <c r="H4965" s="6" t="s">
        <v>64</v>
      </c>
      <c r="I4965" s="6">
        <f>TabJogos[[#This Row],[PontosTime1]]-TabJogos[[#This Row],[PontosTime2]]</f>
        <v>2</v>
      </c>
    </row>
    <row r="4966" spans="1:9" ht="15" customHeight="1" x14ac:dyDescent="0.25">
      <c r="A4966" s="7">
        <v>4927</v>
      </c>
      <c r="B4966" s="1">
        <v>43819</v>
      </c>
      <c r="C4966" s="6" t="s">
        <v>9</v>
      </c>
      <c r="D4966" s="6" t="s">
        <v>10</v>
      </c>
      <c r="E4966" s="6">
        <v>2</v>
      </c>
      <c r="F4966" s="6">
        <v>3</v>
      </c>
      <c r="G4966" s="6" t="s">
        <v>18</v>
      </c>
      <c r="H4966" s="6" t="s">
        <v>11</v>
      </c>
      <c r="I4966" s="6">
        <f>TabJogos[[#This Row],[PontosTime1]]-TabJogos[[#This Row],[PontosTime2]]</f>
        <v>-1</v>
      </c>
    </row>
    <row r="4967" spans="1:9" ht="15" customHeight="1" x14ac:dyDescent="0.25">
      <c r="A4967" s="7">
        <v>4928</v>
      </c>
      <c r="B4967" s="1">
        <v>43819</v>
      </c>
      <c r="C4967" s="6" t="s">
        <v>11</v>
      </c>
      <c r="D4967" s="6" t="s">
        <v>64</v>
      </c>
      <c r="E4967" s="6">
        <v>3</v>
      </c>
      <c r="F4967" s="6">
        <v>0</v>
      </c>
      <c r="G4967" s="6" t="s">
        <v>18</v>
      </c>
      <c r="H4967" s="6" t="s">
        <v>9</v>
      </c>
      <c r="I4967" s="6">
        <f>TabJogos[[#This Row],[PontosTime1]]-TabJogos[[#This Row],[PontosTime2]]</f>
        <v>3</v>
      </c>
    </row>
    <row r="4968" spans="1:9" ht="15" customHeight="1" x14ac:dyDescent="0.25">
      <c r="A4968" s="7">
        <v>4929</v>
      </c>
      <c r="B4968" s="1">
        <v>43819</v>
      </c>
      <c r="C4968" s="6" t="s">
        <v>11</v>
      </c>
      <c r="D4968" s="6" t="s">
        <v>9</v>
      </c>
      <c r="E4968" s="6">
        <v>3</v>
      </c>
      <c r="F4968" s="6">
        <v>1</v>
      </c>
      <c r="G4968" s="6" t="s">
        <v>64</v>
      </c>
      <c r="H4968" s="6" t="s">
        <v>18</v>
      </c>
      <c r="I4968" s="6">
        <f>TabJogos[[#This Row],[PontosTime1]]-TabJogos[[#This Row],[PontosTime2]]</f>
        <v>2</v>
      </c>
    </row>
    <row r="4969" spans="1:9" ht="15" customHeight="1" x14ac:dyDescent="0.25">
      <c r="A4969" s="7">
        <v>4930</v>
      </c>
      <c r="B4969" s="1">
        <v>43819</v>
      </c>
      <c r="C4969" s="6" t="s">
        <v>18</v>
      </c>
      <c r="D4969" s="6" t="s">
        <v>11</v>
      </c>
      <c r="E4969" s="6">
        <v>3</v>
      </c>
      <c r="F4969" s="6">
        <v>0</v>
      </c>
      <c r="G4969" s="6" t="s">
        <v>64</v>
      </c>
      <c r="H4969" s="6" t="s">
        <v>9</v>
      </c>
      <c r="I4969" s="6">
        <f>TabJogos[[#This Row],[PontosTime1]]-TabJogos[[#This Row],[PontosTime2]]</f>
        <v>3</v>
      </c>
    </row>
    <row r="4970" spans="1:9" ht="15" customHeight="1" x14ac:dyDescent="0.25">
      <c r="A4970" s="7">
        <v>4931</v>
      </c>
      <c r="B4970" s="1">
        <v>43819</v>
      </c>
      <c r="C4970" s="6" t="s">
        <v>11</v>
      </c>
      <c r="D4970" s="6" t="s">
        <v>64</v>
      </c>
      <c r="E4970" s="6">
        <v>3</v>
      </c>
      <c r="F4970" s="6">
        <v>1</v>
      </c>
      <c r="G4970" s="6" t="s">
        <v>18</v>
      </c>
      <c r="H4970" s="6" t="s">
        <v>9</v>
      </c>
      <c r="I4970" s="6">
        <f>TabJogos[[#This Row],[PontosTime1]]-TabJogos[[#This Row],[PontosTime2]]</f>
        <v>2</v>
      </c>
    </row>
    <row r="4971" spans="1:9" ht="15" customHeight="1" x14ac:dyDescent="0.25">
      <c r="A4971" s="7">
        <v>4932</v>
      </c>
      <c r="B4971" s="1">
        <v>43819</v>
      </c>
      <c r="C4971" s="6" t="s">
        <v>11</v>
      </c>
      <c r="D4971" s="6" t="s">
        <v>9</v>
      </c>
      <c r="E4971" s="6">
        <v>3</v>
      </c>
      <c r="F4971" s="6">
        <v>1</v>
      </c>
      <c r="G4971" s="6" t="s">
        <v>64</v>
      </c>
      <c r="H4971" s="6" t="s">
        <v>18</v>
      </c>
      <c r="I4971" s="6">
        <f>TabJogos[[#This Row],[PontosTime1]]-TabJogos[[#This Row],[PontosTime2]]</f>
        <v>2</v>
      </c>
    </row>
    <row r="4972" spans="1:9" ht="15" customHeight="1" x14ac:dyDescent="0.25">
      <c r="A4972" s="7">
        <v>4933</v>
      </c>
      <c r="B4972" s="1">
        <v>43819</v>
      </c>
      <c r="C4972" s="6" t="s">
        <v>11</v>
      </c>
      <c r="D4972" s="6" t="s">
        <v>18</v>
      </c>
      <c r="E4972" s="6">
        <v>3</v>
      </c>
      <c r="F4972" s="6">
        <v>1</v>
      </c>
      <c r="G4972" s="6" t="s">
        <v>9</v>
      </c>
      <c r="H4972" s="6" t="s">
        <v>64</v>
      </c>
      <c r="I4972" s="6">
        <f>TabJogos[[#This Row],[PontosTime1]]-TabJogos[[#This Row],[PontosTime2]]</f>
        <v>2</v>
      </c>
    </row>
    <row r="4973" spans="1:9" ht="15" customHeight="1" x14ac:dyDescent="0.25">
      <c r="A4973" s="7">
        <v>4934</v>
      </c>
      <c r="B4973" s="1">
        <v>43825</v>
      </c>
      <c r="C4973" s="6" t="s">
        <v>13</v>
      </c>
      <c r="D4973" s="6" t="s">
        <v>12</v>
      </c>
      <c r="E4973" s="6">
        <v>2</v>
      </c>
      <c r="F4973" s="6">
        <v>6</v>
      </c>
      <c r="G4973" s="6" t="s">
        <v>41</v>
      </c>
      <c r="H4973" s="6" t="s">
        <v>18</v>
      </c>
      <c r="I4973" s="6">
        <f>TabJogos[[#This Row],[PontosTime1]]-TabJogos[[#This Row],[PontosTime2]]</f>
        <v>-4</v>
      </c>
    </row>
    <row r="4974" spans="1:9" ht="15" customHeight="1" x14ac:dyDescent="0.25">
      <c r="A4974" s="7">
        <v>4935</v>
      </c>
      <c r="B4974" s="1">
        <v>43825</v>
      </c>
      <c r="C4974" s="6" t="s">
        <v>13</v>
      </c>
      <c r="D4974" s="6" t="s">
        <v>18</v>
      </c>
      <c r="E4974" s="6">
        <v>1</v>
      </c>
      <c r="F4974" s="6">
        <v>3</v>
      </c>
      <c r="G4974" s="6" t="s">
        <v>12</v>
      </c>
      <c r="H4974" s="6" t="s">
        <v>41</v>
      </c>
      <c r="I4974" s="6">
        <f>TabJogos[[#This Row],[PontosTime1]]-TabJogos[[#This Row],[PontosTime2]]</f>
        <v>-2</v>
      </c>
    </row>
    <row r="4975" spans="1:9" ht="15" customHeight="1" x14ac:dyDescent="0.25">
      <c r="A4975" s="7">
        <v>4936</v>
      </c>
      <c r="B4975" s="1">
        <v>43825</v>
      </c>
      <c r="C4975" s="6" t="s">
        <v>41</v>
      </c>
      <c r="D4975" s="6" t="s">
        <v>13</v>
      </c>
      <c r="E4975" s="6">
        <v>0</v>
      </c>
      <c r="F4975" s="6">
        <v>3</v>
      </c>
      <c r="G4975" s="6" t="s">
        <v>12</v>
      </c>
      <c r="H4975" s="6" t="s">
        <v>18</v>
      </c>
      <c r="I4975" s="6">
        <f>TabJogos[[#This Row],[PontosTime1]]-TabJogos[[#This Row],[PontosTime2]]</f>
        <v>-3</v>
      </c>
    </row>
    <row r="4976" spans="1:9" ht="15" customHeight="1" x14ac:dyDescent="0.25">
      <c r="A4976" s="7">
        <v>4937</v>
      </c>
      <c r="B4976" s="1">
        <v>43825</v>
      </c>
      <c r="C4976" s="6" t="s">
        <v>41</v>
      </c>
      <c r="D4976" s="6" t="s">
        <v>18</v>
      </c>
      <c r="E4976" s="6">
        <v>3</v>
      </c>
      <c r="F4976" s="6">
        <v>1</v>
      </c>
      <c r="G4976" s="6" t="s">
        <v>12</v>
      </c>
      <c r="H4976" s="6" t="s">
        <v>13</v>
      </c>
      <c r="I4976" s="6">
        <f>TabJogos[[#This Row],[PontosTime1]]-TabJogos[[#This Row],[PontosTime2]]</f>
        <v>2</v>
      </c>
    </row>
    <row r="4977" spans="1:9" ht="15" customHeight="1" x14ac:dyDescent="0.25">
      <c r="A4977" s="7">
        <v>4938</v>
      </c>
      <c r="B4977" s="1">
        <v>43825</v>
      </c>
      <c r="C4977" s="6" t="s">
        <v>13</v>
      </c>
      <c r="D4977" s="6" t="s">
        <v>18</v>
      </c>
      <c r="E4977" s="6">
        <v>3</v>
      </c>
      <c r="F4977" s="6">
        <v>0</v>
      </c>
      <c r="G4977" s="6" t="s">
        <v>12</v>
      </c>
      <c r="H4977" s="6" t="s">
        <v>41</v>
      </c>
      <c r="I4977" s="6">
        <f>TabJogos[[#This Row],[PontosTime1]]-TabJogos[[#This Row],[PontosTime2]]</f>
        <v>3</v>
      </c>
    </row>
    <row r="4978" spans="1:9" ht="15" customHeight="1" x14ac:dyDescent="0.25">
      <c r="A4978" s="7">
        <v>4939</v>
      </c>
      <c r="B4978" s="1">
        <v>43825</v>
      </c>
      <c r="C4978" s="6" t="s">
        <v>12</v>
      </c>
      <c r="D4978" s="6" t="s">
        <v>18</v>
      </c>
      <c r="E4978" s="6">
        <v>4</v>
      </c>
      <c r="F4978" s="6">
        <v>2</v>
      </c>
      <c r="G4978" s="6" t="s">
        <v>13</v>
      </c>
      <c r="H4978" s="6" t="s">
        <v>41</v>
      </c>
      <c r="I4978" s="6">
        <f>TabJogos[[#This Row],[PontosTime1]]-TabJogos[[#This Row],[PontosTime2]]</f>
        <v>2</v>
      </c>
    </row>
    <row r="4979" spans="1:9" ht="15" customHeight="1" x14ac:dyDescent="0.25">
      <c r="A4979" s="7">
        <v>4940</v>
      </c>
      <c r="B4979" s="1">
        <v>43825</v>
      </c>
      <c r="C4979" s="6" t="s">
        <v>13</v>
      </c>
      <c r="D4979" s="6" t="s">
        <v>18</v>
      </c>
      <c r="E4979" s="6">
        <v>3</v>
      </c>
      <c r="F4979" s="6">
        <v>0</v>
      </c>
      <c r="G4979" s="6" t="s">
        <v>12</v>
      </c>
      <c r="H4979" s="6" t="s">
        <v>41</v>
      </c>
      <c r="I4979" s="6">
        <f>TabJogos[[#This Row],[PontosTime1]]-TabJogos[[#This Row],[PontosTime2]]</f>
        <v>3</v>
      </c>
    </row>
    <row r="4980" spans="1:9" ht="15" customHeight="1" x14ac:dyDescent="0.25">
      <c r="A4980" s="7">
        <v>4941</v>
      </c>
      <c r="B4980" s="1">
        <v>43843</v>
      </c>
      <c r="C4980" s="6" t="s">
        <v>18</v>
      </c>
      <c r="D4980" s="6" t="s">
        <v>41</v>
      </c>
      <c r="E4980" s="6">
        <v>3</v>
      </c>
      <c r="F4980" s="6">
        <v>2</v>
      </c>
      <c r="G4980" s="6" t="s">
        <v>11</v>
      </c>
      <c r="H4980" s="6" t="s">
        <v>9</v>
      </c>
      <c r="I4980" s="6">
        <f>TabJogos[[#This Row],[PontosTime1]]-TabJogos[[#This Row],[PontosTime2]]</f>
        <v>1</v>
      </c>
    </row>
    <row r="4981" spans="1:9" ht="15" customHeight="1" x14ac:dyDescent="0.25">
      <c r="A4981" s="7">
        <v>4942</v>
      </c>
      <c r="B4981" s="1">
        <v>43843</v>
      </c>
      <c r="C4981" s="6" t="s">
        <v>11</v>
      </c>
      <c r="D4981" s="6" t="s">
        <v>18</v>
      </c>
      <c r="E4981" s="6">
        <v>4</v>
      </c>
      <c r="F4981" s="6">
        <v>0</v>
      </c>
      <c r="G4981" s="6" t="s">
        <v>9</v>
      </c>
      <c r="H4981" s="6" t="s">
        <v>41</v>
      </c>
      <c r="I4981" s="6">
        <f>TabJogos[[#This Row],[PontosTime1]]-TabJogos[[#This Row],[PontosTime2]]</f>
        <v>4</v>
      </c>
    </row>
    <row r="4982" spans="1:9" ht="15" customHeight="1" x14ac:dyDescent="0.25">
      <c r="A4982" s="7">
        <v>4943</v>
      </c>
      <c r="B4982" s="1">
        <v>43843</v>
      </c>
      <c r="C4982" s="6" t="s">
        <v>9</v>
      </c>
      <c r="D4982" s="6" t="s">
        <v>18</v>
      </c>
      <c r="E4982" s="6">
        <v>3</v>
      </c>
      <c r="F4982" s="6">
        <v>0</v>
      </c>
      <c r="G4982" s="6" t="s">
        <v>41</v>
      </c>
      <c r="H4982" s="6" t="s">
        <v>11</v>
      </c>
      <c r="I4982" s="6">
        <f>TabJogos[[#This Row],[PontosTime1]]-TabJogos[[#This Row],[PontosTime2]]</f>
        <v>3</v>
      </c>
    </row>
    <row r="4983" spans="1:9" ht="15" customHeight="1" x14ac:dyDescent="0.25">
      <c r="A4983" s="7">
        <v>4944</v>
      </c>
      <c r="B4983" s="1">
        <v>43843</v>
      </c>
      <c r="C4983" s="6" t="s">
        <v>9</v>
      </c>
      <c r="D4983" s="6" t="s">
        <v>11</v>
      </c>
      <c r="E4983" s="6">
        <v>2</v>
      </c>
      <c r="F4983" s="6">
        <v>3</v>
      </c>
      <c r="G4983" s="6" t="s">
        <v>41</v>
      </c>
      <c r="H4983" s="6" t="s">
        <v>18</v>
      </c>
      <c r="I4983" s="6">
        <f>TabJogos[[#This Row],[PontosTime1]]-TabJogos[[#This Row],[PontosTime2]]</f>
        <v>-1</v>
      </c>
    </row>
    <row r="4984" spans="1:9" ht="15" customHeight="1" x14ac:dyDescent="0.25">
      <c r="A4984" s="7">
        <v>4945</v>
      </c>
      <c r="B4984" s="1">
        <v>43843</v>
      </c>
      <c r="C4984" s="6" t="s">
        <v>9</v>
      </c>
      <c r="D4984" s="6" t="s">
        <v>41</v>
      </c>
      <c r="E4984" s="6">
        <v>3</v>
      </c>
      <c r="F4984" s="6">
        <v>0</v>
      </c>
      <c r="G4984" s="6" t="s">
        <v>11</v>
      </c>
      <c r="H4984" s="6" t="s">
        <v>18</v>
      </c>
      <c r="I4984" s="6">
        <f>TabJogos[[#This Row],[PontosTime1]]-TabJogos[[#This Row],[PontosTime2]]</f>
        <v>3</v>
      </c>
    </row>
    <row r="4985" spans="1:9" ht="15" customHeight="1" x14ac:dyDescent="0.25">
      <c r="A4985" s="7">
        <v>4946</v>
      </c>
      <c r="B4985" s="1">
        <v>43843</v>
      </c>
      <c r="C4985" s="6" t="s">
        <v>11</v>
      </c>
      <c r="D4985" s="6" t="s">
        <v>41</v>
      </c>
      <c r="E4985" s="6">
        <v>2</v>
      </c>
      <c r="F4985" s="6">
        <v>4</v>
      </c>
      <c r="G4985" s="6" t="s">
        <v>18</v>
      </c>
      <c r="H4985" s="6" t="s">
        <v>9</v>
      </c>
      <c r="I4985" s="6">
        <f>TabJogos[[#This Row],[PontosTime1]]-TabJogos[[#This Row],[PontosTime2]]</f>
        <v>-2</v>
      </c>
    </row>
    <row r="4986" spans="1:9" ht="15" customHeight="1" x14ac:dyDescent="0.25">
      <c r="A4986" s="7">
        <v>4947</v>
      </c>
      <c r="B4986" s="1">
        <v>43844</v>
      </c>
      <c r="C4986" s="6" t="s">
        <v>11</v>
      </c>
      <c r="D4986" s="6" t="s">
        <v>41</v>
      </c>
      <c r="E4986" s="6">
        <v>3</v>
      </c>
      <c r="F4986" s="6">
        <v>1</v>
      </c>
      <c r="G4986" s="6" t="s">
        <v>18</v>
      </c>
      <c r="H4986" s="6" t="s">
        <v>9</v>
      </c>
      <c r="I4986" s="6">
        <f>TabJogos[[#This Row],[PontosTime1]]-TabJogos[[#This Row],[PontosTime2]]</f>
        <v>2</v>
      </c>
    </row>
    <row r="4987" spans="1:9" ht="15" customHeight="1" x14ac:dyDescent="0.25">
      <c r="A4987" s="7">
        <v>4948</v>
      </c>
      <c r="B4987" s="1">
        <v>43844</v>
      </c>
      <c r="C4987" s="6" t="s">
        <v>18</v>
      </c>
      <c r="D4987" s="6" t="s">
        <v>11</v>
      </c>
      <c r="E4987" s="6">
        <v>4</v>
      </c>
      <c r="F4987" s="6">
        <v>0</v>
      </c>
      <c r="G4987" s="6" t="s">
        <v>9</v>
      </c>
      <c r="H4987" s="6" t="s">
        <v>41</v>
      </c>
      <c r="I4987" s="6">
        <f>TabJogos[[#This Row],[PontosTime1]]-TabJogos[[#This Row],[PontosTime2]]</f>
        <v>4</v>
      </c>
    </row>
    <row r="4988" spans="1:9" ht="15" customHeight="1" x14ac:dyDescent="0.25">
      <c r="A4988" s="7">
        <v>4949</v>
      </c>
      <c r="B4988" s="1">
        <v>43844</v>
      </c>
      <c r="C4988" s="6" t="s">
        <v>11</v>
      </c>
      <c r="D4988" s="6" t="s">
        <v>9</v>
      </c>
      <c r="E4988" s="6">
        <v>3</v>
      </c>
      <c r="F4988" s="6">
        <v>0</v>
      </c>
      <c r="G4988" s="6" t="s">
        <v>18</v>
      </c>
      <c r="H4988" s="6" t="s">
        <v>41</v>
      </c>
      <c r="I4988" s="6">
        <f>TabJogos[[#This Row],[PontosTime1]]-TabJogos[[#This Row],[PontosTime2]]</f>
        <v>3</v>
      </c>
    </row>
    <row r="4989" spans="1:9" ht="15" customHeight="1" x14ac:dyDescent="0.25">
      <c r="A4989" s="7">
        <v>4950</v>
      </c>
      <c r="B4989" s="1">
        <v>43844</v>
      </c>
      <c r="C4989" s="6" t="s">
        <v>11</v>
      </c>
      <c r="D4989" s="6" t="s">
        <v>41</v>
      </c>
      <c r="E4989" s="6">
        <v>1</v>
      </c>
      <c r="F4989" s="6">
        <v>3</v>
      </c>
      <c r="G4989" s="6" t="s">
        <v>18</v>
      </c>
      <c r="H4989" s="6" t="s">
        <v>9</v>
      </c>
      <c r="I4989" s="6">
        <f>TabJogos[[#This Row],[PontosTime1]]-TabJogos[[#This Row],[PontosTime2]]</f>
        <v>-2</v>
      </c>
    </row>
    <row r="4990" spans="1:9" ht="15" customHeight="1" x14ac:dyDescent="0.25">
      <c r="A4990" s="7">
        <v>4951</v>
      </c>
      <c r="B4990" s="1">
        <v>43844</v>
      </c>
      <c r="C4990" s="6" t="s">
        <v>9</v>
      </c>
      <c r="D4990" s="6" t="s">
        <v>41</v>
      </c>
      <c r="E4990" s="6">
        <v>3</v>
      </c>
      <c r="F4990" s="6">
        <v>0</v>
      </c>
      <c r="G4990" s="6" t="s">
        <v>18</v>
      </c>
      <c r="H4990" s="6" t="s">
        <v>11</v>
      </c>
      <c r="I4990" s="6">
        <f>TabJogos[[#This Row],[PontosTime1]]-TabJogos[[#This Row],[PontosTime2]]</f>
        <v>3</v>
      </c>
    </row>
    <row r="4991" spans="1:9" ht="15" customHeight="1" x14ac:dyDescent="0.25">
      <c r="A4991" s="7">
        <v>4952</v>
      </c>
      <c r="B4991" s="1">
        <v>43844</v>
      </c>
      <c r="C4991" s="6" t="s">
        <v>11</v>
      </c>
      <c r="D4991" s="6" t="s">
        <v>9</v>
      </c>
      <c r="E4991" s="6">
        <v>3</v>
      </c>
      <c r="F4991" s="6">
        <v>2</v>
      </c>
      <c r="G4991" s="6" t="s">
        <v>41</v>
      </c>
      <c r="H4991" s="6" t="s">
        <v>18</v>
      </c>
      <c r="I4991" s="6">
        <f>TabJogos[[#This Row],[PontosTime1]]-TabJogos[[#This Row],[PontosTime2]]</f>
        <v>1</v>
      </c>
    </row>
    <row r="4992" spans="1:9" ht="15" customHeight="1" x14ac:dyDescent="0.25">
      <c r="A4992" s="7">
        <v>4953</v>
      </c>
      <c r="B4992" s="1">
        <v>43844</v>
      </c>
      <c r="C4992" s="6" t="s">
        <v>11</v>
      </c>
      <c r="D4992" s="6" t="s">
        <v>41</v>
      </c>
      <c r="E4992" s="6">
        <v>3</v>
      </c>
      <c r="F4992" s="6">
        <v>0</v>
      </c>
      <c r="G4992" s="6" t="s">
        <v>9</v>
      </c>
      <c r="H4992" s="6" t="s">
        <v>18</v>
      </c>
      <c r="I4992" s="6">
        <f>TabJogos[[#This Row],[PontosTime1]]-TabJogos[[#This Row],[PontosTime2]]</f>
        <v>3</v>
      </c>
    </row>
    <row r="4993" spans="1:9" ht="15" customHeight="1" x14ac:dyDescent="0.25">
      <c r="A4993" s="7">
        <v>4954</v>
      </c>
      <c r="B4993" s="1">
        <v>43844</v>
      </c>
      <c r="C4993" s="6" t="s">
        <v>41</v>
      </c>
      <c r="D4993" s="6" t="s">
        <v>9</v>
      </c>
      <c r="E4993" s="6">
        <v>4</v>
      </c>
      <c r="F4993" s="6">
        <v>1</v>
      </c>
      <c r="G4993" s="6" t="s">
        <v>18</v>
      </c>
      <c r="H4993" s="6" t="s">
        <v>11</v>
      </c>
      <c r="I4993" s="6">
        <f>TabJogos[[#This Row],[PontosTime1]]-TabJogos[[#This Row],[PontosTime2]]</f>
        <v>3</v>
      </c>
    </row>
    <row r="4994" spans="1:9" ht="15" customHeight="1" x14ac:dyDescent="0.25">
      <c r="A4994" s="7">
        <v>4955</v>
      </c>
      <c r="B4994" s="1">
        <v>43844</v>
      </c>
      <c r="C4994" s="6" t="s">
        <v>41</v>
      </c>
      <c r="D4994" s="6" t="s">
        <v>18</v>
      </c>
      <c r="E4994" s="6">
        <v>4</v>
      </c>
      <c r="F4994" s="6">
        <v>2</v>
      </c>
      <c r="G4994" s="6" t="s">
        <v>9</v>
      </c>
      <c r="H4994" s="6" t="s">
        <v>11</v>
      </c>
      <c r="I4994" s="6">
        <f>TabJogos[[#This Row],[PontosTime1]]-TabJogos[[#This Row],[PontosTime2]]</f>
        <v>2</v>
      </c>
    </row>
    <row r="4995" spans="1:9" ht="15" customHeight="1" x14ac:dyDescent="0.25">
      <c r="A4995" s="7">
        <v>4956</v>
      </c>
      <c r="B4995" s="1">
        <v>43845</v>
      </c>
      <c r="C4995" s="6" t="s">
        <v>11</v>
      </c>
      <c r="D4995" s="6" t="s">
        <v>9</v>
      </c>
      <c r="E4995" s="6">
        <v>3</v>
      </c>
      <c r="F4995" s="6">
        <v>0</v>
      </c>
      <c r="G4995" s="6" t="s">
        <v>18</v>
      </c>
      <c r="H4995" s="6" t="s">
        <v>12</v>
      </c>
      <c r="I4995" s="6">
        <f>TabJogos[[#This Row],[PontosTime1]]-TabJogos[[#This Row],[PontosTime2]]</f>
        <v>3</v>
      </c>
    </row>
    <row r="4996" spans="1:9" ht="15" customHeight="1" x14ac:dyDescent="0.25">
      <c r="A4996" s="7">
        <v>4957</v>
      </c>
      <c r="B4996" s="1">
        <v>43845</v>
      </c>
      <c r="C4996" s="6" t="s">
        <v>11</v>
      </c>
      <c r="D4996" s="6" t="s">
        <v>12</v>
      </c>
      <c r="E4996" s="6">
        <v>4</v>
      </c>
      <c r="F4996" s="6">
        <v>1</v>
      </c>
      <c r="G4996" s="6" t="s">
        <v>18</v>
      </c>
      <c r="H4996" s="6" t="s">
        <v>9</v>
      </c>
      <c r="I4996" s="6">
        <f>TabJogos[[#This Row],[PontosTime1]]-TabJogos[[#This Row],[PontosTime2]]</f>
        <v>3</v>
      </c>
    </row>
    <row r="4997" spans="1:9" ht="15" customHeight="1" x14ac:dyDescent="0.25">
      <c r="A4997" s="7">
        <v>4958</v>
      </c>
      <c r="B4997" s="1">
        <v>43845</v>
      </c>
      <c r="C4997" s="6" t="s">
        <v>11</v>
      </c>
      <c r="D4997" s="6" t="s">
        <v>18</v>
      </c>
      <c r="E4997" s="6">
        <v>1</v>
      </c>
      <c r="F4997" s="6">
        <v>3</v>
      </c>
      <c r="G4997" s="6" t="s">
        <v>12</v>
      </c>
      <c r="H4997" s="6" t="s">
        <v>9</v>
      </c>
      <c r="I4997" s="6">
        <f>TabJogos[[#This Row],[PontosTime1]]-TabJogos[[#This Row],[PontosTime2]]</f>
        <v>-2</v>
      </c>
    </row>
    <row r="4998" spans="1:9" ht="15" customHeight="1" x14ac:dyDescent="0.25">
      <c r="A4998" s="7">
        <v>4959</v>
      </c>
      <c r="B4998" s="1">
        <v>43845</v>
      </c>
      <c r="C4998" s="6" t="s">
        <v>11</v>
      </c>
      <c r="D4998" s="6" t="s">
        <v>41</v>
      </c>
      <c r="E4998" s="6">
        <v>4</v>
      </c>
      <c r="F4998" s="6">
        <v>1</v>
      </c>
      <c r="G4998" s="6" t="s">
        <v>9</v>
      </c>
      <c r="H4998" s="6" t="s">
        <v>18</v>
      </c>
      <c r="I4998" s="6">
        <f>TabJogos[[#This Row],[PontosTime1]]-TabJogos[[#This Row],[PontosTime2]]</f>
        <v>3</v>
      </c>
    </row>
    <row r="4999" spans="1:9" ht="15" customHeight="1" x14ac:dyDescent="0.25">
      <c r="A4999" s="7">
        <v>4960</v>
      </c>
      <c r="B4999" s="1">
        <v>43845</v>
      </c>
      <c r="C4999" s="6" t="s">
        <v>11</v>
      </c>
      <c r="D4999" s="6" t="s">
        <v>9</v>
      </c>
      <c r="E4999" s="6">
        <v>3</v>
      </c>
      <c r="F4999" s="6">
        <v>2</v>
      </c>
      <c r="G4999" s="6" t="s">
        <v>41</v>
      </c>
      <c r="H4999" s="6" t="s">
        <v>9</v>
      </c>
      <c r="I4999" s="6">
        <f>TabJogos[[#This Row],[PontosTime1]]-TabJogos[[#This Row],[PontosTime2]]</f>
        <v>1</v>
      </c>
    </row>
    <row r="5000" spans="1:9" ht="15" customHeight="1" x14ac:dyDescent="0.25">
      <c r="A5000" s="7">
        <v>4961</v>
      </c>
      <c r="B5000" s="1">
        <v>43845</v>
      </c>
      <c r="C5000" s="6" t="s">
        <v>41</v>
      </c>
      <c r="D5000" s="6" t="s">
        <v>9</v>
      </c>
      <c r="E5000" s="6">
        <v>0</v>
      </c>
      <c r="F5000" s="6">
        <v>4</v>
      </c>
      <c r="G5000" s="6" t="s">
        <v>11</v>
      </c>
      <c r="H5000" s="6" t="s">
        <v>18</v>
      </c>
      <c r="I5000" s="6">
        <f>TabJogos[[#This Row],[PontosTime1]]-TabJogos[[#This Row],[PontosTime2]]</f>
        <v>-4</v>
      </c>
    </row>
    <row r="5001" spans="1:9" ht="15" customHeight="1" x14ac:dyDescent="0.25">
      <c r="A5001" s="7">
        <v>4962</v>
      </c>
      <c r="B5001" s="1">
        <v>43845</v>
      </c>
      <c r="C5001" s="6" t="s">
        <v>11</v>
      </c>
      <c r="D5001" s="6" t="s">
        <v>41</v>
      </c>
      <c r="E5001" s="6">
        <v>0</v>
      </c>
      <c r="F5001" s="6">
        <v>3</v>
      </c>
      <c r="G5001" s="6" t="s">
        <v>9</v>
      </c>
      <c r="H5001" s="6" t="s">
        <v>18</v>
      </c>
      <c r="I5001" s="6">
        <f>TabJogos[[#This Row],[PontosTime1]]-TabJogos[[#This Row],[PontosTime2]]</f>
        <v>-3</v>
      </c>
    </row>
    <row r="5002" spans="1:9" ht="15" customHeight="1" x14ac:dyDescent="0.25">
      <c r="A5002" s="7">
        <v>4963</v>
      </c>
      <c r="B5002" s="1">
        <v>43845</v>
      </c>
      <c r="C5002" s="6" t="s">
        <v>11</v>
      </c>
      <c r="D5002" s="6" t="s">
        <v>9</v>
      </c>
      <c r="E5002" s="6">
        <v>4</v>
      </c>
      <c r="F5002" s="6">
        <v>0</v>
      </c>
      <c r="G5002" s="6" t="s">
        <v>18</v>
      </c>
      <c r="H5002" s="6" t="s">
        <v>41</v>
      </c>
      <c r="I5002" s="6">
        <f>TabJogos[[#This Row],[PontosTime1]]-TabJogos[[#This Row],[PontosTime2]]</f>
        <v>4</v>
      </c>
    </row>
    <row r="5003" spans="1:9" ht="15" customHeight="1" x14ac:dyDescent="0.25">
      <c r="A5003" s="7">
        <v>4964</v>
      </c>
      <c r="B5003" s="1">
        <v>43845</v>
      </c>
      <c r="C5003" s="6" t="s">
        <v>11</v>
      </c>
      <c r="D5003" s="6" t="s">
        <v>18</v>
      </c>
      <c r="E5003" s="6">
        <v>3</v>
      </c>
      <c r="F5003" s="6">
        <v>0</v>
      </c>
      <c r="G5003" s="6" t="s">
        <v>41</v>
      </c>
      <c r="H5003" s="6" t="s">
        <v>9</v>
      </c>
      <c r="I5003" s="6">
        <f>TabJogos[[#This Row],[PontosTime1]]-TabJogos[[#This Row],[PontosTime2]]</f>
        <v>3</v>
      </c>
    </row>
    <row r="5004" spans="1:9" ht="15" customHeight="1" x14ac:dyDescent="0.25">
      <c r="A5004" s="7">
        <v>4965</v>
      </c>
      <c r="B5004" s="1">
        <v>43847</v>
      </c>
      <c r="C5004" s="6" t="s">
        <v>11</v>
      </c>
      <c r="D5004" s="6" t="s">
        <v>18</v>
      </c>
      <c r="E5004" s="6">
        <v>3</v>
      </c>
      <c r="F5004" s="6">
        <v>2</v>
      </c>
      <c r="G5004" s="6" t="s">
        <v>12</v>
      </c>
      <c r="H5004" s="6" t="s">
        <v>17</v>
      </c>
      <c r="I5004" s="6">
        <f>TabJogos[[#This Row],[PontosTime1]]-TabJogos[[#This Row],[PontosTime2]]</f>
        <v>1</v>
      </c>
    </row>
    <row r="5005" spans="1:9" ht="15" customHeight="1" x14ac:dyDescent="0.25">
      <c r="A5005" s="7">
        <v>4966</v>
      </c>
      <c r="B5005" s="1">
        <v>43847</v>
      </c>
      <c r="C5005" s="6" t="s">
        <v>17</v>
      </c>
      <c r="D5005" s="6" t="s">
        <v>18</v>
      </c>
      <c r="E5005" s="6">
        <v>2</v>
      </c>
      <c r="F5005" s="6">
        <v>3</v>
      </c>
      <c r="G5005" s="6" t="s">
        <v>11</v>
      </c>
      <c r="H5005" s="6" t="s">
        <v>12</v>
      </c>
      <c r="I5005" s="6">
        <f>TabJogos[[#This Row],[PontosTime1]]-TabJogos[[#This Row],[PontosTime2]]</f>
        <v>-1</v>
      </c>
    </row>
    <row r="5006" spans="1:9" ht="15" customHeight="1" x14ac:dyDescent="0.25">
      <c r="A5006" s="7">
        <v>4967</v>
      </c>
      <c r="B5006" s="1">
        <v>43847</v>
      </c>
      <c r="C5006" s="6" t="s">
        <v>11</v>
      </c>
      <c r="D5006" s="6" t="s">
        <v>17</v>
      </c>
      <c r="E5006" s="6">
        <v>7</v>
      </c>
      <c r="F5006" s="6">
        <v>2</v>
      </c>
      <c r="G5006" s="6" t="s">
        <v>12</v>
      </c>
      <c r="H5006" s="6" t="s">
        <v>18</v>
      </c>
      <c r="I5006" s="6">
        <f>TabJogos[[#This Row],[PontosTime1]]-TabJogos[[#This Row],[PontosTime2]]</f>
        <v>5</v>
      </c>
    </row>
    <row r="5007" spans="1:9" ht="15" customHeight="1" x14ac:dyDescent="0.25">
      <c r="A5007" s="7">
        <v>4968</v>
      </c>
      <c r="B5007" s="1">
        <v>43850</v>
      </c>
      <c r="C5007" s="6" t="s">
        <v>9</v>
      </c>
      <c r="D5007" s="6" t="s">
        <v>18</v>
      </c>
      <c r="E5007" s="6">
        <v>4</v>
      </c>
      <c r="F5007" s="6">
        <v>2</v>
      </c>
      <c r="G5007" s="6" t="s">
        <v>12</v>
      </c>
      <c r="H5007" s="6" t="s">
        <v>11</v>
      </c>
      <c r="I5007" s="6">
        <f>TabJogos[[#This Row],[PontosTime1]]-TabJogos[[#This Row],[PontosTime2]]</f>
        <v>2</v>
      </c>
    </row>
    <row r="5008" spans="1:9" ht="15" customHeight="1" x14ac:dyDescent="0.25">
      <c r="A5008" s="7">
        <v>4969</v>
      </c>
      <c r="B5008" s="1">
        <v>43850</v>
      </c>
      <c r="C5008" s="6" t="s">
        <v>11</v>
      </c>
      <c r="D5008" s="6" t="s">
        <v>18</v>
      </c>
      <c r="E5008" s="6">
        <v>4</v>
      </c>
      <c r="F5008" s="6">
        <v>1</v>
      </c>
      <c r="G5008" s="6" t="s">
        <v>9</v>
      </c>
      <c r="H5008" s="6" t="s">
        <v>12</v>
      </c>
      <c r="I5008" s="6">
        <f>TabJogos[[#This Row],[PontosTime1]]-TabJogos[[#This Row],[PontosTime2]]</f>
        <v>3</v>
      </c>
    </row>
    <row r="5009" spans="1:9" ht="15" customHeight="1" x14ac:dyDescent="0.25">
      <c r="A5009" s="7">
        <v>4970</v>
      </c>
      <c r="B5009" s="1">
        <v>43850</v>
      </c>
      <c r="C5009" s="6" t="s">
        <v>12</v>
      </c>
      <c r="D5009" s="6" t="s">
        <v>18</v>
      </c>
      <c r="E5009" s="6">
        <v>3</v>
      </c>
      <c r="F5009" s="6">
        <v>0</v>
      </c>
      <c r="G5009" s="6" t="s">
        <v>9</v>
      </c>
      <c r="H5009" s="6" t="s">
        <v>11</v>
      </c>
      <c r="I5009" s="6">
        <f>TabJogos[[#This Row],[PontosTime1]]-TabJogos[[#This Row],[PontosTime2]]</f>
        <v>3</v>
      </c>
    </row>
    <row r="5010" spans="1:9" ht="15" customHeight="1" x14ac:dyDescent="0.25">
      <c r="A5010" s="7">
        <v>4971</v>
      </c>
      <c r="B5010" s="1">
        <v>43850</v>
      </c>
      <c r="C5010" s="6" t="s">
        <v>12</v>
      </c>
      <c r="D5010" s="6" t="s">
        <v>9</v>
      </c>
      <c r="E5010" s="6">
        <v>3</v>
      </c>
      <c r="F5010" s="6">
        <v>0</v>
      </c>
      <c r="G5010" s="6" t="s">
        <v>18</v>
      </c>
      <c r="H5010" s="6" t="s">
        <v>41</v>
      </c>
      <c r="I5010" s="6">
        <f>TabJogos[[#This Row],[PontosTime1]]-TabJogos[[#This Row],[PontosTime2]]</f>
        <v>3</v>
      </c>
    </row>
    <row r="5011" spans="1:9" ht="15" customHeight="1" x14ac:dyDescent="0.25">
      <c r="A5011" s="7">
        <v>4972</v>
      </c>
      <c r="B5011" s="1">
        <v>43850</v>
      </c>
      <c r="C5011" s="6" t="s">
        <v>41</v>
      </c>
      <c r="D5011" s="6" t="s">
        <v>9</v>
      </c>
      <c r="E5011" s="6">
        <v>3</v>
      </c>
      <c r="F5011" s="6">
        <v>1</v>
      </c>
      <c r="G5011" s="6" t="s">
        <v>18</v>
      </c>
      <c r="H5011" s="6" t="s">
        <v>12</v>
      </c>
      <c r="I5011" s="6">
        <f>TabJogos[[#This Row],[PontosTime1]]-TabJogos[[#This Row],[PontosTime2]]</f>
        <v>2</v>
      </c>
    </row>
    <row r="5012" spans="1:9" ht="15" customHeight="1" x14ac:dyDescent="0.25">
      <c r="A5012" s="7">
        <v>4973</v>
      </c>
      <c r="B5012" s="1">
        <v>43850</v>
      </c>
      <c r="C5012" s="6" t="s">
        <v>9</v>
      </c>
      <c r="D5012" s="6" t="s">
        <v>18</v>
      </c>
      <c r="E5012" s="6">
        <v>4</v>
      </c>
      <c r="F5012" s="6">
        <v>1</v>
      </c>
      <c r="G5012" s="6" t="s">
        <v>12</v>
      </c>
      <c r="H5012" s="6" t="s">
        <v>41</v>
      </c>
      <c r="I5012" s="6">
        <f>TabJogos[[#This Row],[PontosTime1]]-TabJogos[[#This Row],[PontosTime2]]</f>
        <v>3</v>
      </c>
    </row>
    <row r="5013" spans="1:9" ht="15" customHeight="1" x14ac:dyDescent="0.25">
      <c r="A5013" s="7">
        <v>4974</v>
      </c>
      <c r="B5013" s="1">
        <v>43852</v>
      </c>
      <c r="C5013" s="6" t="s">
        <v>11</v>
      </c>
      <c r="D5013" s="6" t="s">
        <v>18</v>
      </c>
      <c r="E5013" s="6">
        <v>3</v>
      </c>
      <c r="F5013" s="6">
        <v>2</v>
      </c>
      <c r="G5013" s="6" t="s">
        <v>32</v>
      </c>
      <c r="H5013" s="6" t="s">
        <v>9</v>
      </c>
      <c r="I5013" s="6">
        <f>TabJogos[[#This Row],[PontosTime1]]-TabJogos[[#This Row],[PontosTime2]]</f>
        <v>1</v>
      </c>
    </row>
    <row r="5014" spans="1:9" ht="15" customHeight="1" x14ac:dyDescent="0.25">
      <c r="A5014" s="7">
        <v>4975</v>
      </c>
      <c r="B5014" s="1">
        <v>43852</v>
      </c>
      <c r="C5014" s="6" t="s">
        <v>11</v>
      </c>
      <c r="D5014" s="6" t="s">
        <v>32</v>
      </c>
      <c r="E5014" s="6">
        <v>3</v>
      </c>
      <c r="F5014" s="6">
        <v>1</v>
      </c>
      <c r="G5014" s="6" t="s">
        <v>9</v>
      </c>
      <c r="H5014" s="6" t="s">
        <v>18</v>
      </c>
      <c r="I5014" s="6">
        <f>TabJogos[[#This Row],[PontosTime1]]-TabJogos[[#This Row],[PontosTime2]]</f>
        <v>2</v>
      </c>
    </row>
    <row r="5015" spans="1:9" ht="15" customHeight="1" x14ac:dyDescent="0.25">
      <c r="A5015" s="7">
        <v>4976</v>
      </c>
      <c r="B5015" s="1">
        <v>43852</v>
      </c>
      <c r="C5015" s="6" t="s">
        <v>11</v>
      </c>
      <c r="D5015" s="6" t="s">
        <v>9</v>
      </c>
      <c r="E5015" s="6">
        <v>3</v>
      </c>
      <c r="F5015" s="6">
        <v>2</v>
      </c>
      <c r="G5015" s="6" t="s">
        <v>41</v>
      </c>
      <c r="H5015" s="6" t="s">
        <v>32</v>
      </c>
      <c r="I5015" s="6">
        <f>TabJogos[[#This Row],[PontosTime1]]-TabJogos[[#This Row],[PontosTime2]]</f>
        <v>1</v>
      </c>
    </row>
    <row r="5016" spans="1:9" ht="15" customHeight="1" x14ac:dyDescent="0.25">
      <c r="A5016" s="7">
        <v>4977</v>
      </c>
      <c r="B5016" s="1">
        <v>43852</v>
      </c>
      <c r="C5016" s="6" t="s">
        <v>11</v>
      </c>
      <c r="D5016" s="6" t="s">
        <v>18</v>
      </c>
      <c r="E5016" s="6">
        <v>4</v>
      </c>
      <c r="F5016" s="6">
        <v>1</v>
      </c>
      <c r="G5016" s="6" t="s">
        <v>32</v>
      </c>
      <c r="H5016" s="6" t="s">
        <v>9</v>
      </c>
      <c r="I5016" s="6">
        <f>TabJogos[[#This Row],[PontosTime1]]-TabJogos[[#This Row],[PontosTime2]]</f>
        <v>3</v>
      </c>
    </row>
    <row r="5017" spans="1:9" ht="15" customHeight="1" x14ac:dyDescent="0.25">
      <c r="A5017" s="7">
        <v>4978</v>
      </c>
      <c r="B5017" s="1">
        <v>43852</v>
      </c>
      <c r="C5017" s="6" t="s">
        <v>11</v>
      </c>
      <c r="D5017" s="6" t="s">
        <v>41</v>
      </c>
      <c r="E5017" s="6">
        <v>3</v>
      </c>
      <c r="F5017" s="6">
        <v>1</v>
      </c>
      <c r="G5017" s="6" t="s">
        <v>32</v>
      </c>
      <c r="H5017" s="6" t="s">
        <v>18</v>
      </c>
      <c r="I5017" s="6">
        <f>TabJogos[[#This Row],[PontosTime1]]-TabJogos[[#This Row],[PontosTime2]]</f>
        <v>2</v>
      </c>
    </row>
    <row r="5018" spans="1:9" ht="15" customHeight="1" x14ac:dyDescent="0.25">
      <c r="A5018" s="7">
        <v>4979</v>
      </c>
      <c r="B5018" s="1">
        <v>43852</v>
      </c>
      <c r="C5018" s="6" t="s">
        <v>11</v>
      </c>
      <c r="D5018" s="6" t="s">
        <v>32</v>
      </c>
      <c r="E5018" s="6">
        <v>3</v>
      </c>
      <c r="F5018" s="6">
        <v>2</v>
      </c>
      <c r="G5018" s="6" t="s">
        <v>9</v>
      </c>
      <c r="H5018" s="6" t="s">
        <v>41</v>
      </c>
      <c r="I5018" s="6">
        <f>TabJogos[[#This Row],[PontosTime1]]-TabJogos[[#This Row],[PontosTime2]]</f>
        <v>1</v>
      </c>
    </row>
    <row r="5019" spans="1:9" ht="15" customHeight="1" x14ac:dyDescent="0.25">
      <c r="A5019" s="7">
        <v>4980</v>
      </c>
      <c r="B5019" s="1">
        <v>43852</v>
      </c>
      <c r="C5019" s="6" t="s">
        <v>11</v>
      </c>
      <c r="D5019" s="6" t="s">
        <v>18</v>
      </c>
      <c r="E5019" s="6">
        <v>3</v>
      </c>
      <c r="F5019" s="6">
        <v>0</v>
      </c>
      <c r="G5019" s="6" t="s">
        <v>9</v>
      </c>
      <c r="H5019" s="6" t="s">
        <v>32</v>
      </c>
      <c r="I5019" s="6">
        <f>TabJogos[[#This Row],[PontosTime1]]-TabJogos[[#This Row],[PontosTime2]]</f>
        <v>3</v>
      </c>
    </row>
    <row r="5020" spans="1:9" ht="15" customHeight="1" x14ac:dyDescent="0.25">
      <c r="A5020" s="7">
        <v>4981</v>
      </c>
      <c r="B5020" s="1">
        <v>43852</v>
      </c>
      <c r="C5020" s="6" t="s">
        <v>11</v>
      </c>
      <c r="D5020" s="6" t="s">
        <v>9</v>
      </c>
      <c r="E5020" s="6">
        <v>0</v>
      </c>
      <c r="F5020" s="6">
        <v>3</v>
      </c>
      <c r="G5020" s="6" t="s">
        <v>18</v>
      </c>
      <c r="H5020" s="6" t="s">
        <v>32</v>
      </c>
      <c r="I5020" s="6">
        <f>TabJogos[[#This Row],[PontosTime1]]-TabJogos[[#This Row],[PontosTime2]]</f>
        <v>-3</v>
      </c>
    </row>
    <row r="5021" spans="1:9" ht="15" customHeight="1" x14ac:dyDescent="0.25">
      <c r="A5021" s="7">
        <v>4982</v>
      </c>
      <c r="B5021" s="1">
        <v>43853</v>
      </c>
      <c r="C5021" s="6" t="s">
        <v>9</v>
      </c>
      <c r="D5021" s="6" t="s">
        <v>17</v>
      </c>
      <c r="E5021" s="6">
        <v>1</v>
      </c>
      <c r="F5021" s="6">
        <v>3</v>
      </c>
      <c r="G5021" s="6" t="s">
        <v>11</v>
      </c>
      <c r="H5021" s="6" t="s">
        <v>18</v>
      </c>
      <c r="I5021" s="6">
        <f>TabJogos[[#This Row],[PontosTime1]]-TabJogos[[#This Row],[PontosTime2]]</f>
        <v>-2</v>
      </c>
    </row>
    <row r="5022" spans="1:9" ht="15" customHeight="1" x14ac:dyDescent="0.25">
      <c r="A5022" s="7">
        <v>4983</v>
      </c>
      <c r="B5022" s="1">
        <v>43853</v>
      </c>
      <c r="C5022" s="6" t="s">
        <v>11</v>
      </c>
      <c r="D5022" s="6" t="s">
        <v>41</v>
      </c>
      <c r="E5022" s="6">
        <v>3</v>
      </c>
      <c r="F5022" s="6">
        <v>0</v>
      </c>
      <c r="G5022" s="6" t="s">
        <v>18</v>
      </c>
      <c r="H5022" s="6" t="s">
        <v>17</v>
      </c>
      <c r="I5022" s="6">
        <f>TabJogos[[#This Row],[PontosTime1]]-TabJogos[[#This Row],[PontosTime2]]</f>
        <v>3</v>
      </c>
    </row>
    <row r="5023" spans="1:9" ht="15" customHeight="1" x14ac:dyDescent="0.25">
      <c r="A5023" s="7">
        <v>4984</v>
      </c>
      <c r="B5023" s="1">
        <v>43853</v>
      </c>
      <c r="C5023" s="6" t="s">
        <v>18</v>
      </c>
      <c r="D5023" s="6" t="s">
        <v>41</v>
      </c>
      <c r="E5023" s="6">
        <v>0</v>
      </c>
      <c r="F5023" s="6">
        <v>3</v>
      </c>
      <c r="G5023" s="6" t="s">
        <v>11</v>
      </c>
      <c r="H5023" s="6" t="s">
        <v>9</v>
      </c>
      <c r="I5023" s="6">
        <f>TabJogos[[#This Row],[PontosTime1]]-TabJogos[[#This Row],[PontosTime2]]</f>
        <v>-3</v>
      </c>
    </row>
    <row r="5024" spans="1:9" ht="15" customHeight="1" x14ac:dyDescent="0.25">
      <c r="A5024" s="7">
        <v>4985</v>
      </c>
      <c r="B5024" s="1">
        <v>43853</v>
      </c>
      <c r="C5024" s="6" t="s">
        <v>9</v>
      </c>
      <c r="D5024" s="6" t="s">
        <v>41</v>
      </c>
      <c r="E5024" s="6">
        <v>2</v>
      </c>
      <c r="F5024" s="6">
        <v>3</v>
      </c>
      <c r="G5024" s="6" t="s">
        <v>11</v>
      </c>
      <c r="H5024" s="6" t="s">
        <v>18</v>
      </c>
      <c r="I5024" s="6">
        <f>TabJogos[[#This Row],[PontosTime1]]-TabJogos[[#This Row],[PontosTime2]]</f>
        <v>-1</v>
      </c>
    </row>
    <row r="5025" spans="1:9" ht="15" customHeight="1" x14ac:dyDescent="0.25">
      <c r="A5025" s="7">
        <v>4986</v>
      </c>
      <c r="B5025" s="1">
        <v>43853</v>
      </c>
      <c r="C5025" s="6" t="s">
        <v>11</v>
      </c>
      <c r="D5025" s="6" t="s">
        <v>41</v>
      </c>
      <c r="E5025" s="6">
        <v>0</v>
      </c>
      <c r="F5025" s="6">
        <v>3</v>
      </c>
      <c r="G5025" s="6" t="s">
        <v>18</v>
      </c>
      <c r="H5025" s="6" t="s">
        <v>9</v>
      </c>
      <c r="I5025" s="6">
        <f>TabJogos[[#This Row],[PontosTime1]]-TabJogos[[#This Row],[PontosTime2]]</f>
        <v>-3</v>
      </c>
    </row>
    <row r="5026" spans="1:9" ht="15" customHeight="1" x14ac:dyDescent="0.25">
      <c r="A5026" s="7">
        <v>4987</v>
      </c>
      <c r="B5026" s="1">
        <v>43853</v>
      </c>
      <c r="C5026" s="6" t="s">
        <v>11</v>
      </c>
      <c r="D5026" s="6" t="s">
        <v>9</v>
      </c>
      <c r="E5026" s="6">
        <v>3</v>
      </c>
      <c r="F5026" s="6">
        <v>2</v>
      </c>
      <c r="G5026" s="6" t="s">
        <v>41</v>
      </c>
      <c r="H5026" s="6" t="s">
        <v>18</v>
      </c>
      <c r="I5026" s="6">
        <f>TabJogos[[#This Row],[PontosTime1]]-TabJogos[[#This Row],[PontosTime2]]</f>
        <v>1</v>
      </c>
    </row>
    <row r="5027" spans="1:9" ht="15" customHeight="1" x14ac:dyDescent="0.25">
      <c r="A5027" s="7">
        <v>4988</v>
      </c>
      <c r="B5027" s="1">
        <v>43853</v>
      </c>
      <c r="C5027" s="6" t="s">
        <v>11</v>
      </c>
      <c r="D5027" s="6" t="s">
        <v>18</v>
      </c>
      <c r="E5027" s="6">
        <v>4</v>
      </c>
      <c r="F5027" s="6">
        <v>2</v>
      </c>
      <c r="G5027" s="6" t="s">
        <v>41</v>
      </c>
      <c r="H5027" s="6" t="s">
        <v>9</v>
      </c>
      <c r="I5027" s="6">
        <f>TabJogos[[#This Row],[PontosTime1]]-TabJogos[[#This Row],[PontosTime2]]</f>
        <v>2</v>
      </c>
    </row>
    <row r="5028" spans="1:9" ht="15" customHeight="1" x14ac:dyDescent="0.25">
      <c r="A5028" s="7">
        <v>4989</v>
      </c>
      <c r="B5028" s="1">
        <v>43853</v>
      </c>
      <c r="C5028" s="6" t="s">
        <v>11</v>
      </c>
      <c r="D5028" s="6" t="s">
        <v>41</v>
      </c>
      <c r="E5028" s="6">
        <v>3</v>
      </c>
      <c r="F5028" s="6">
        <v>2</v>
      </c>
      <c r="G5028" s="6" t="s">
        <v>18</v>
      </c>
      <c r="H5028" s="6" t="s">
        <v>9</v>
      </c>
      <c r="I5028" s="6">
        <f>TabJogos[[#This Row],[PontosTime1]]-TabJogos[[#This Row],[PontosTime2]]</f>
        <v>1</v>
      </c>
    </row>
    <row r="5029" spans="1:9" ht="15" customHeight="1" x14ac:dyDescent="0.25">
      <c r="A5029" s="7">
        <v>4990</v>
      </c>
      <c r="B5029" s="1">
        <v>43853</v>
      </c>
      <c r="C5029" s="6" t="s">
        <v>41</v>
      </c>
      <c r="D5029" s="6" t="s">
        <v>18</v>
      </c>
      <c r="E5029" s="6">
        <v>3</v>
      </c>
      <c r="F5029" s="6">
        <v>1</v>
      </c>
      <c r="G5029" s="6" t="s">
        <v>11</v>
      </c>
      <c r="H5029" s="6" t="s">
        <v>9</v>
      </c>
      <c r="I5029" s="6">
        <f>TabJogos[[#This Row],[PontosTime1]]-TabJogos[[#This Row],[PontosTime2]]</f>
        <v>2</v>
      </c>
    </row>
    <row r="5030" spans="1:9" ht="15" customHeight="1" x14ac:dyDescent="0.25">
      <c r="A5030" s="7">
        <v>4991</v>
      </c>
      <c r="B5030" s="1">
        <v>43853</v>
      </c>
      <c r="C5030" s="6" t="s">
        <v>11</v>
      </c>
      <c r="D5030" s="6" t="s">
        <v>18</v>
      </c>
      <c r="E5030" s="6">
        <v>3</v>
      </c>
      <c r="F5030" s="6">
        <v>2</v>
      </c>
      <c r="G5030" s="6" t="s">
        <v>41</v>
      </c>
      <c r="H5030" s="6" t="s">
        <v>9</v>
      </c>
      <c r="I5030" s="6">
        <f>TabJogos[[#This Row],[PontosTime1]]-TabJogos[[#This Row],[PontosTime2]]</f>
        <v>1</v>
      </c>
    </row>
    <row r="5031" spans="1:9" ht="15" customHeight="1" x14ac:dyDescent="0.25">
      <c r="A5031" s="7">
        <v>4992</v>
      </c>
      <c r="B5031" s="1">
        <v>43853</v>
      </c>
      <c r="C5031" s="6" t="s">
        <v>11</v>
      </c>
      <c r="D5031" s="6" t="s">
        <v>41</v>
      </c>
      <c r="E5031" s="6">
        <v>2</v>
      </c>
      <c r="F5031" s="6">
        <v>3</v>
      </c>
      <c r="G5031" s="6" t="s">
        <v>18</v>
      </c>
      <c r="H5031" s="6" t="s">
        <v>9</v>
      </c>
      <c r="I5031" s="6">
        <f>TabJogos[[#This Row],[PontosTime1]]-TabJogos[[#This Row],[PontosTime2]]</f>
        <v>-1</v>
      </c>
    </row>
    <row r="5032" spans="1:9" ht="15" customHeight="1" x14ac:dyDescent="0.25">
      <c r="A5032" s="7">
        <v>4993</v>
      </c>
      <c r="B5032" s="1">
        <v>43854</v>
      </c>
      <c r="C5032" s="6" t="s">
        <v>11</v>
      </c>
      <c r="D5032" s="6" t="s">
        <v>18</v>
      </c>
      <c r="E5032" s="6">
        <v>4</v>
      </c>
      <c r="F5032" s="6">
        <v>0</v>
      </c>
      <c r="G5032" s="6" t="s">
        <v>12</v>
      </c>
      <c r="H5032" s="6" t="s">
        <v>41</v>
      </c>
      <c r="I5032" s="6">
        <f>TabJogos[[#This Row],[PontosTime1]]-TabJogos[[#This Row],[PontosTime2]]</f>
        <v>4</v>
      </c>
    </row>
    <row r="5033" spans="1:9" ht="15" customHeight="1" x14ac:dyDescent="0.25">
      <c r="A5033" s="7">
        <v>4994</v>
      </c>
      <c r="B5033" s="1">
        <v>43854</v>
      </c>
      <c r="C5033" s="6" t="s">
        <v>11</v>
      </c>
      <c r="D5033" s="6" t="s">
        <v>41</v>
      </c>
      <c r="E5033" s="6">
        <v>3</v>
      </c>
      <c r="F5033" s="6">
        <v>0</v>
      </c>
      <c r="G5033" s="6" t="s">
        <v>18</v>
      </c>
      <c r="H5033" s="6" t="s">
        <v>12</v>
      </c>
      <c r="I5033" s="6">
        <f>TabJogos[[#This Row],[PontosTime1]]-TabJogos[[#This Row],[PontosTime2]]</f>
        <v>3</v>
      </c>
    </row>
    <row r="5034" spans="1:9" ht="15" customHeight="1" x14ac:dyDescent="0.25">
      <c r="A5034" s="7">
        <v>4995</v>
      </c>
      <c r="B5034" s="1">
        <v>43854</v>
      </c>
      <c r="C5034" s="6" t="s">
        <v>41</v>
      </c>
      <c r="D5034" s="6" t="s">
        <v>18</v>
      </c>
      <c r="E5034" s="6">
        <v>1</v>
      </c>
      <c r="F5034" s="6">
        <v>4</v>
      </c>
      <c r="G5034" s="6" t="s">
        <v>12</v>
      </c>
      <c r="H5034" s="6" t="s">
        <v>11</v>
      </c>
      <c r="I5034" s="6">
        <f>TabJogos[[#This Row],[PontosTime1]]-TabJogos[[#This Row],[PontosTime2]]</f>
        <v>-3</v>
      </c>
    </row>
    <row r="5035" spans="1:9" ht="15" customHeight="1" x14ac:dyDescent="0.25">
      <c r="A5035" s="7">
        <v>4996</v>
      </c>
      <c r="B5035" s="1">
        <v>43854</v>
      </c>
      <c r="C5035" s="6" t="s">
        <v>12</v>
      </c>
      <c r="D5035" s="6" t="s">
        <v>18</v>
      </c>
      <c r="E5035" s="6">
        <v>7</v>
      </c>
      <c r="F5035" s="6">
        <v>2</v>
      </c>
      <c r="G5035" s="6" t="s">
        <v>41</v>
      </c>
      <c r="H5035" s="6" t="s">
        <v>11</v>
      </c>
      <c r="I5035" s="6">
        <f>TabJogos[[#This Row],[PontosTime1]]-TabJogos[[#This Row],[PontosTime2]]</f>
        <v>5</v>
      </c>
    </row>
    <row r="5036" spans="1:9" ht="15" customHeight="1" x14ac:dyDescent="0.25">
      <c r="A5036" s="7">
        <v>4997</v>
      </c>
      <c r="B5036" s="1">
        <v>43854</v>
      </c>
      <c r="C5036" s="6" t="s">
        <v>11</v>
      </c>
      <c r="D5036" s="6" t="s">
        <v>18</v>
      </c>
      <c r="E5036" s="6">
        <v>3</v>
      </c>
      <c r="F5036" s="6">
        <v>2</v>
      </c>
      <c r="G5036" s="6" t="s">
        <v>12</v>
      </c>
      <c r="H5036" s="6" t="s">
        <v>41</v>
      </c>
      <c r="I5036" s="6">
        <f>TabJogos[[#This Row],[PontosTime1]]-TabJogos[[#This Row],[PontosTime2]]</f>
        <v>1</v>
      </c>
    </row>
    <row r="5037" spans="1:9" ht="15" customHeight="1" x14ac:dyDescent="0.25">
      <c r="A5037" s="7">
        <v>4998</v>
      </c>
      <c r="B5037" s="1">
        <v>43854</v>
      </c>
      <c r="C5037" s="6" t="s">
        <v>11</v>
      </c>
      <c r="D5037" s="6" t="s">
        <v>12</v>
      </c>
      <c r="E5037" s="6">
        <v>6</v>
      </c>
      <c r="F5037" s="6">
        <v>2</v>
      </c>
      <c r="G5037" s="6" t="s">
        <v>18</v>
      </c>
      <c r="H5037" s="6" t="s">
        <v>41</v>
      </c>
      <c r="I5037" s="6">
        <f>TabJogos[[#This Row],[PontosTime1]]-TabJogos[[#This Row],[PontosTime2]]</f>
        <v>4</v>
      </c>
    </row>
    <row r="5038" spans="1:9" ht="15" customHeight="1" x14ac:dyDescent="0.25">
      <c r="A5038" s="7">
        <v>4999</v>
      </c>
      <c r="B5038" s="1">
        <v>43854</v>
      </c>
      <c r="C5038" s="6" t="s">
        <v>11</v>
      </c>
      <c r="D5038" s="6" t="s">
        <v>18</v>
      </c>
      <c r="E5038" s="6">
        <v>2</v>
      </c>
      <c r="F5038" s="6">
        <v>5</v>
      </c>
      <c r="G5038" s="6" t="s">
        <v>27</v>
      </c>
      <c r="H5038" s="6" t="s">
        <v>41</v>
      </c>
      <c r="I5038" s="6">
        <f>TabJogos[[#This Row],[PontosTime1]]-TabJogos[[#This Row],[PontosTime2]]</f>
        <v>-3</v>
      </c>
    </row>
    <row r="5039" spans="1:9" ht="15" customHeight="1" x14ac:dyDescent="0.25">
      <c r="A5039" s="7">
        <v>5000</v>
      </c>
      <c r="B5039" s="1">
        <v>43854</v>
      </c>
      <c r="C5039" s="6" t="s">
        <v>27</v>
      </c>
      <c r="D5039" s="6" t="s">
        <v>18</v>
      </c>
      <c r="E5039" s="6">
        <v>3</v>
      </c>
      <c r="F5039" s="6">
        <v>1</v>
      </c>
      <c r="G5039" s="6" t="s">
        <v>41</v>
      </c>
      <c r="H5039" s="6" t="s">
        <v>11</v>
      </c>
      <c r="I5039" s="6">
        <f>TabJogos[[#This Row],[PontosTime1]]-TabJogos[[#This Row],[PontosTime2]]</f>
        <v>2</v>
      </c>
    </row>
    <row r="5040" spans="1:9" ht="15" customHeight="1" x14ac:dyDescent="0.25">
      <c r="A5040" s="7">
        <v>5001</v>
      </c>
      <c r="B5040" s="1">
        <v>43854</v>
      </c>
      <c r="C5040" s="6" t="s">
        <v>27</v>
      </c>
      <c r="D5040" s="6" t="s">
        <v>17</v>
      </c>
      <c r="E5040" s="6">
        <v>3</v>
      </c>
      <c r="F5040" s="6">
        <v>0</v>
      </c>
      <c r="G5040" s="6" t="s">
        <v>41</v>
      </c>
      <c r="H5040" s="6" t="s">
        <v>18</v>
      </c>
      <c r="I5040" s="6">
        <f>TabJogos[[#This Row],[PontosTime1]]-TabJogos[[#This Row],[PontosTime2]]</f>
        <v>3</v>
      </c>
    </row>
    <row r="5041" spans="1:9" ht="15" customHeight="1" x14ac:dyDescent="0.25">
      <c r="A5041" s="7">
        <v>5002</v>
      </c>
      <c r="B5041" s="1">
        <v>43854</v>
      </c>
      <c r="C5041" s="6" t="s">
        <v>41</v>
      </c>
      <c r="D5041" s="6" t="s">
        <v>27</v>
      </c>
      <c r="E5041" s="6">
        <v>4</v>
      </c>
      <c r="F5041" s="6">
        <v>2</v>
      </c>
      <c r="G5041" s="6" t="s">
        <v>17</v>
      </c>
      <c r="H5041" s="6" t="s">
        <v>18</v>
      </c>
      <c r="I5041" s="6">
        <f>TabJogos[[#This Row],[PontosTime1]]-TabJogos[[#This Row],[PontosTime2]]</f>
        <v>2</v>
      </c>
    </row>
    <row r="5042" spans="1:9" ht="15" customHeight="1" x14ac:dyDescent="0.25">
      <c r="A5042" s="7">
        <v>5003</v>
      </c>
      <c r="B5042" s="1">
        <v>43854</v>
      </c>
      <c r="C5042" s="6" t="s">
        <v>27</v>
      </c>
      <c r="D5042" s="6" t="s">
        <v>18</v>
      </c>
      <c r="E5042" s="6">
        <v>3</v>
      </c>
      <c r="F5042" s="6">
        <v>0</v>
      </c>
      <c r="G5042" s="6" t="s">
        <v>17</v>
      </c>
      <c r="H5042" s="6" t="s">
        <v>41</v>
      </c>
      <c r="I5042" s="6">
        <f>TabJogos[[#This Row],[PontosTime1]]-TabJogos[[#This Row],[PontosTime2]]</f>
        <v>3</v>
      </c>
    </row>
    <row r="5043" spans="1:9" ht="15" customHeight="1" x14ac:dyDescent="0.25">
      <c r="A5043" s="7">
        <v>5004</v>
      </c>
      <c r="B5043" s="1">
        <v>43854</v>
      </c>
      <c r="C5043" s="6" t="s">
        <v>17</v>
      </c>
      <c r="D5043" s="6" t="s">
        <v>27</v>
      </c>
      <c r="E5043" s="6">
        <v>3</v>
      </c>
      <c r="F5043" s="6">
        <v>0</v>
      </c>
      <c r="G5043" s="6" t="s">
        <v>41</v>
      </c>
      <c r="H5043" s="6" t="s">
        <v>18</v>
      </c>
      <c r="I5043" s="6">
        <f>TabJogos[[#This Row],[PontosTime1]]-TabJogos[[#This Row],[PontosTime2]]</f>
        <v>3</v>
      </c>
    </row>
    <row r="5044" spans="1:9" ht="15" customHeight="1" x14ac:dyDescent="0.25">
      <c r="A5044" s="7">
        <v>5005</v>
      </c>
      <c r="B5044" s="1">
        <v>43854</v>
      </c>
      <c r="C5044" s="6" t="s">
        <v>41</v>
      </c>
      <c r="D5044" s="6" t="s">
        <v>27</v>
      </c>
      <c r="E5044" s="6">
        <v>0</v>
      </c>
      <c r="F5044" s="6">
        <v>3</v>
      </c>
      <c r="G5044" s="6" t="s">
        <v>17</v>
      </c>
      <c r="H5044" s="6" t="s">
        <v>18</v>
      </c>
      <c r="I5044" s="6">
        <f>TabJogos[[#This Row],[PontosTime1]]-TabJogos[[#This Row],[PontosTime2]]</f>
        <v>-3</v>
      </c>
    </row>
    <row r="5045" spans="1:9" ht="15" customHeight="1" x14ac:dyDescent="0.25">
      <c r="A5045" s="7">
        <v>5006</v>
      </c>
      <c r="B5045" s="1">
        <v>43857</v>
      </c>
      <c r="C5045" s="6" t="s">
        <v>10</v>
      </c>
      <c r="D5045" s="6" t="s">
        <v>11</v>
      </c>
      <c r="E5045" s="6">
        <v>3</v>
      </c>
      <c r="F5045" s="6">
        <v>2</v>
      </c>
      <c r="G5045" s="6" t="s">
        <v>12</v>
      </c>
      <c r="H5045" s="6" t="s">
        <v>13</v>
      </c>
      <c r="I5045" s="6">
        <f>TabJogos[[#This Row],[PontosTime1]]-TabJogos[[#This Row],[PontosTime2]]</f>
        <v>1</v>
      </c>
    </row>
    <row r="5046" spans="1:9" ht="15" customHeight="1" x14ac:dyDescent="0.25">
      <c r="A5046" s="7">
        <v>5007</v>
      </c>
      <c r="B5046" s="1">
        <v>43857</v>
      </c>
      <c r="C5046" s="6" t="s">
        <v>27</v>
      </c>
      <c r="D5046" s="6" t="s">
        <v>10</v>
      </c>
      <c r="E5046" s="6">
        <v>3</v>
      </c>
      <c r="F5046" s="6">
        <v>2</v>
      </c>
      <c r="G5046" s="6" t="s">
        <v>11</v>
      </c>
      <c r="H5046" s="6" t="s">
        <v>41</v>
      </c>
      <c r="I5046" s="6">
        <f>TabJogos[[#This Row],[PontosTime1]]-TabJogos[[#This Row],[PontosTime2]]</f>
        <v>1</v>
      </c>
    </row>
    <row r="5047" spans="1:9" ht="15" customHeight="1" x14ac:dyDescent="0.25">
      <c r="A5047" s="7">
        <v>5008</v>
      </c>
      <c r="B5047" s="1">
        <v>43857</v>
      </c>
      <c r="C5047" s="6" t="s">
        <v>27</v>
      </c>
      <c r="D5047" s="6" t="s">
        <v>13</v>
      </c>
      <c r="E5047" s="6">
        <v>3</v>
      </c>
      <c r="F5047" s="6">
        <v>1</v>
      </c>
      <c r="G5047" s="6" t="s">
        <v>41</v>
      </c>
      <c r="H5047" s="6" t="s">
        <v>10</v>
      </c>
      <c r="I5047" s="6">
        <f>TabJogos[[#This Row],[PontosTime1]]-TabJogos[[#This Row],[PontosTime2]]</f>
        <v>2</v>
      </c>
    </row>
    <row r="5048" spans="1:9" ht="15" customHeight="1" x14ac:dyDescent="0.25">
      <c r="A5048" s="7">
        <v>5009</v>
      </c>
      <c r="B5048" s="1">
        <v>43857</v>
      </c>
      <c r="C5048" s="6" t="s">
        <v>13</v>
      </c>
      <c r="D5048" s="6" t="s">
        <v>10</v>
      </c>
      <c r="E5048" s="6">
        <v>1</v>
      </c>
      <c r="F5048" s="6">
        <v>3</v>
      </c>
      <c r="G5048" s="6" t="s">
        <v>27</v>
      </c>
      <c r="H5048" s="6" t="s">
        <v>11</v>
      </c>
      <c r="I5048" s="6">
        <f>TabJogos[[#This Row],[PontosTime1]]-TabJogos[[#This Row],[PontosTime2]]</f>
        <v>-2</v>
      </c>
    </row>
    <row r="5049" spans="1:9" ht="15" customHeight="1" x14ac:dyDescent="0.25">
      <c r="A5049" s="7">
        <v>5010</v>
      </c>
      <c r="B5049" s="1">
        <v>43857</v>
      </c>
      <c r="C5049" s="6" t="s">
        <v>11</v>
      </c>
      <c r="D5049" s="6" t="s">
        <v>10</v>
      </c>
      <c r="E5049" s="6">
        <v>1</v>
      </c>
      <c r="F5049" s="6">
        <v>3</v>
      </c>
      <c r="G5049" s="6" t="s">
        <v>27</v>
      </c>
      <c r="H5049" s="6" t="s">
        <v>41</v>
      </c>
      <c r="I5049" s="6">
        <f>TabJogos[[#This Row],[PontosTime1]]-TabJogos[[#This Row],[PontosTime2]]</f>
        <v>-2</v>
      </c>
    </row>
    <row r="5050" spans="1:9" ht="15" customHeight="1" x14ac:dyDescent="0.25">
      <c r="A5050" s="7">
        <v>5011</v>
      </c>
      <c r="B5050" s="1">
        <v>43857</v>
      </c>
      <c r="C5050" s="6" t="s">
        <v>27</v>
      </c>
      <c r="D5050" s="6" t="s">
        <v>10</v>
      </c>
      <c r="E5050" s="6">
        <v>3</v>
      </c>
      <c r="F5050" s="6">
        <v>1</v>
      </c>
      <c r="G5050" s="6" t="s">
        <v>13</v>
      </c>
      <c r="H5050" s="6" t="s">
        <v>41</v>
      </c>
      <c r="I5050" s="6">
        <f>TabJogos[[#This Row],[PontosTime1]]-TabJogos[[#This Row],[PontosTime2]]</f>
        <v>2</v>
      </c>
    </row>
    <row r="5051" spans="1:9" ht="15" customHeight="1" x14ac:dyDescent="0.25">
      <c r="A5051" s="7">
        <v>5012</v>
      </c>
      <c r="B5051" s="1">
        <v>43857</v>
      </c>
      <c r="C5051" s="6" t="s">
        <v>18</v>
      </c>
      <c r="D5051" s="6" t="s">
        <v>10</v>
      </c>
      <c r="E5051" s="6">
        <v>3</v>
      </c>
      <c r="F5051" s="6">
        <v>2</v>
      </c>
      <c r="G5051" s="6" t="s">
        <v>27</v>
      </c>
      <c r="H5051" s="6" t="s">
        <v>41</v>
      </c>
      <c r="I5051" s="6">
        <f>TabJogos[[#This Row],[PontosTime1]]-TabJogos[[#This Row],[PontosTime2]]</f>
        <v>1</v>
      </c>
    </row>
    <row r="5052" spans="1:9" ht="15" customHeight="1" x14ac:dyDescent="0.25">
      <c r="A5052" s="7">
        <v>5013</v>
      </c>
      <c r="B5052" s="1">
        <v>43857</v>
      </c>
      <c r="C5052" s="6" t="s">
        <v>11</v>
      </c>
      <c r="D5052" s="6" t="s">
        <v>18</v>
      </c>
      <c r="E5052" s="6">
        <v>2</v>
      </c>
      <c r="F5052" s="6">
        <v>3</v>
      </c>
      <c r="G5052" s="6" t="s">
        <v>10</v>
      </c>
      <c r="H5052" s="6" t="s">
        <v>13</v>
      </c>
      <c r="I5052" s="6">
        <f>TabJogos[[#This Row],[PontosTime1]]-TabJogos[[#This Row],[PontosTime2]]</f>
        <v>-1</v>
      </c>
    </row>
    <row r="5053" spans="1:9" ht="15" customHeight="1" x14ac:dyDescent="0.25">
      <c r="A5053" s="7">
        <v>5014</v>
      </c>
      <c r="B5053" s="1">
        <v>43858</v>
      </c>
      <c r="C5053" s="6" t="s">
        <v>10</v>
      </c>
      <c r="D5053" s="6" t="s">
        <v>32</v>
      </c>
      <c r="E5053" s="6">
        <v>0</v>
      </c>
      <c r="F5053" s="6">
        <v>3</v>
      </c>
      <c r="G5053" s="6" t="s">
        <v>11</v>
      </c>
      <c r="H5053" s="6" t="s">
        <v>18</v>
      </c>
      <c r="I5053" s="6">
        <f>TabJogos[[#This Row],[PontosTime1]]-TabJogos[[#This Row],[PontosTime2]]</f>
        <v>-3</v>
      </c>
    </row>
    <row r="5054" spans="1:9" ht="15" customHeight="1" x14ac:dyDescent="0.25">
      <c r="A5054" s="7">
        <v>5015</v>
      </c>
      <c r="B5054" s="1">
        <v>43858</v>
      </c>
      <c r="C5054" s="6" t="s">
        <v>10</v>
      </c>
      <c r="D5054" s="6" t="s">
        <v>18</v>
      </c>
      <c r="E5054" s="6">
        <v>3</v>
      </c>
      <c r="F5054" s="6">
        <v>1</v>
      </c>
      <c r="G5054" s="6" t="s">
        <v>11</v>
      </c>
      <c r="H5054" s="6" t="s">
        <v>32</v>
      </c>
      <c r="I5054" s="6">
        <f>TabJogos[[#This Row],[PontosTime1]]-TabJogos[[#This Row],[PontosTime2]]</f>
        <v>2</v>
      </c>
    </row>
    <row r="5055" spans="1:9" ht="15" customHeight="1" x14ac:dyDescent="0.25">
      <c r="A5055" s="7">
        <v>5016</v>
      </c>
      <c r="B5055" s="1">
        <v>43858</v>
      </c>
      <c r="C5055" s="6" t="s">
        <v>10</v>
      </c>
      <c r="D5055" s="6" t="s">
        <v>11</v>
      </c>
      <c r="E5055" s="6">
        <v>0</v>
      </c>
      <c r="F5055" s="6">
        <v>6</v>
      </c>
      <c r="G5055" s="6" t="s">
        <v>17</v>
      </c>
      <c r="H5055" s="6" t="s">
        <v>18</v>
      </c>
      <c r="I5055" s="6">
        <f>TabJogos[[#This Row],[PontosTime1]]-TabJogos[[#This Row],[PontosTime2]]</f>
        <v>-6</v>
      </c>
    </row>
    <row r="5056" spans="1:9" ht="15" customHeight="1" x14ac:dyDescent="0.25">
      <c r="A5056" s="7">
        <v>5017</v>
      </c>
      <c r="B5056" s="1">
        <v>43858</v>
      </c>
      <c r="C5056" s="6" t="s">
        <v>11</v>
      </c>
      <c r="D5056" s="6" t="s">
        <v>18</v>
      </c>
      <c r="E5056" s="6">
        <v>3</v>
      </c>
      <c r="F5056" s="6">
        <v>2</v>
      </c>
      <c r="G5056" s="6" t="s">
        <v>17</v>
      </c>
      <c r="H5056" s="6" t="s">
        <v>10</v>
      </c>
      <c r="I5056" s="6">
        <f>TabJogos[[#This Row],[PontosTime1]]-TabJogos[[#This Row],[PontosTime2]]</f>
        <v>1</v>
      </c>
    </row>
    <row r="5057" spans="1:9" ht="15" customHeight="1" x14ac:dyDescent="0.25">
      <c r="A5057" s="7">
        <v>5018</v>
      </c>
      <c r="B5057" s="1">
        <v>43858</v>
      </c>
      <c r="C5057" s="6" t="s">
        <v>18</v>
      </c>
      <c r="D5057" s="6" t="s">
        <v>10</v>
      </c>
      <c r="E5057" s="6">
        <v>4</v>
      </c>
      <c r="F5057" s="6">
        <v>2</v>
      </c>
      <c r="G5057" s="6" t="s">
        <v>17</v>
      </c>
      <c r="H5057" s="6" t="s">
        <v>11</v>
      </c>
      <c r="I5057" s="6">
        <f>TabJogos[[#This Row],[PontosTime1]]-TabJogos[[#This Row],[PontosTime2]]</f>
        <v>2</v>
      </c>
    </row>
    <row r="5058" spans="1:9" ht="15" customHeight="1" x14ac:dyDescent="0.25">
      <c r="A5058" s="7">
        <v>5019</v>
      </c>
      <c r="B5058" s="1">
        <v>43858</v>
      </c>
      <c r="C5058" s="6" t="s">
        <v>11</v>
      </c>
      <c r="D5058" s="6" t="s">
        <v>10</v>
      </c>
      <c r="E5058" s="6">
        <v>0</v>
      </c>
      <c r="F5058" s="6">
        <v>3</v>
      </c>
      <c r="G5058" s="6" t="s">
        <v>17</v>
      </c>
      <c r="H5058" s="6" t="s">
        <v>18</v>
      </c>
      <c r="I5058" s="6">
        <f>TabJogos[[#This Row],[PontosTime1]]-TabJogos[[#This Row],[PontosTime2]]</f>
        <v>-3</v>
      </c>
    </row>
    <row r="5059" spans="1:9" ht="15" customHeight="1" x14ac:dyDescent="0.25">
      <c r="A5059" s="7">
        <v>5020</v>
      </c>
      <c r="B5059" s="1">
        <v>43858</v>
      </c>
      <c r="C5059" s="6" t="s">
        <v>11</v>
      </c>
      <c r="D5059" s="6" t="s">
        <v>18</v>
      </c>
      <c r="E5059" s="6">
        <v>3</v>
      </c>
      <c r="F5059" s="6">
        <v>0</v>
      </c>
      <c r="G5059" s="6" t="s">
        <v>17</v>
      </c>
      <c r="H5059" s="6" t="s">
        <v>10</v>
      </c>
      <c r="I5059" s="6">
        <f>TabJogos[[#This Row],[PontosTime1]]-TabJogos[[#This Row],[PontosTime2]]</f>
        <v>3</v>
      </c>
    </row>
    <row r="5060" spans="1:9" ht="15" customHeight="1" x14ac:dyDescent="0.25">
      <c r="A5060" s="7">
        <v>5021</v>
      </c>
      <c r="B5060" s="1">
        <v>43858</v>
      </c>
      <c r="C5060" s="6" t="s">
        <v>11</v>
      </c>
      <c r="D5060" s="6" t="s">
        <v>17</v>
      </c>
      <c r="E5060" s="6">
        <v>1</v>
      </c>
      <c r="F5060" s="6">
        <v>3</v>
      </c>
      <c r="G5060" s="6" t="s">
        <v>10</v>
      </c>
      <c r="H5060" s="6" t="s">
        <v>18</v>
      </c>
      <c r="I5060" s="6">
        <f>TabJogos[[#This Row],[PontosTime1]]-TabJogos[[#This Row],[PontosTime2]]</f>
        <v>-2</v>
      </c>
    </row>
    <row r="5061" spans="1:9" ht="15" customHeight="1" x14ac:dyDescent="0.25">
      <c r="A5061" s="7">
        <v>5022</v>
      </c>
      <c r="B5061" s="1">
        <v>43858</v>
      </c>
      <c r="C5061" s="6" t="s">
        <v>11</v>
      </c>
      <c r="D5061" s="6" t="s">
        <v>10</v>
      </c>
      <c r="E5061" s="6">
        <v>1</v>
      </c>
      <c r="F5061" s="6">
        <v>3</v>
      </c>
      <c r="G5061" s="6" t="s">
        <v>17</v>
      </c>
      <c r="H5061" s="6" t="s">
        <v>18</v>
      </c>
      <c r="I5061" s="6">
        <f>TabJogos[[#This Row],[PontosTime1]]-TabJogos[[#This Row],[PontosTime2]]</f>
        <v>-2</v>
      </c>
    </row>
    <row r="5062" spans="1:9" ht="15" customHeight="1" x14ac:dyDescent="0.25">
      <c r="A5062" s="7">
        <v>5023</v>
      </c>
      <c r="B5062" s="1">
        <v>43859</v>
      </c>
      <c r="C5062" s="6" t="s">
        <v>11</v>
      </c>
      <c r="D5062" s="6" t="s">
        <v>18</v>
      </c>
      <c r="E5062" s="6">
        <v>3</v>
      </c>
      <c r="F5062" s="6">
        <v>2</v>
      </c>
      <c r="G5062" s="6" t="s">
        <v>10</v>
      </c>
      <c r="H5062" s="6" t="s">
        <v>13</v>
      </c>
      <c r="I5062" s="6">
        <f>TabJogos[[#This Row],[PontosTime1]]-TabJogos[[#This Row],[PontosTime2]]</f>
        <v>1</v>
      </c>
    </row>
    <row r="5063" spans="1:9" ht="15" customHeight="1" x14ac:dyDescent="0.25">
      <c r="A5063" s="7">
        <v>5024</v>
      </c>
      <c r="B5063" s="1">
        <v>43859</v>
      </c>
      <c r="C5063" s="6" t="s">
        <v>11</v>
      </c>
      <c r="D5063" s="6" t="s">
        <v>13</v>
      </c>
      <c r="E5063" s="6">
        <v>3</v>
      </c>
      <c r="F5063" s="6">
        <v>0</v>
      </c>
      <c r="G5063" s="6" t="s">
        <v>18</v>
      </c>
      <c r="H5063" s="6" t="s">
        <v>10</v>
      </c>
      <c r="I5063" s="6">
        <f>TabJogos[[#This Row],[PontosTime1]]-TabJogos[[#This Row],[PontosTime2]]</f>
        <v>3</v>
      </c>
    </row>
    <row r="5064" spans="1:9" ht="15" customHeight="1" x14ac:dyDescent="0.25">
      <c r="A5064" s="7">
        <v>5025</v>
      </c>
      <c r="B5064" s="1">
        <v>43859</v>
      </c>
      <c r="C5064" s="6" t="s">
        <v>13</v>
      </c>
      <c r="D5064" s="6" t="s">
        <v>18</v>
      </c>
      <c r="E5064" s="6">
        <v>3</v>
      </c>
      <c r="F5064" s="6">
        <v>0</v>
      </c>
      <c r="G5064" s="6" t="s">
        <v>11</v>
      </c>
      <c r="H5064" s="6" t="s">
        <v>10</v>
      </c>
      <c r="I5064" s="6">
        <f>TabJogos[[#This Row],[PontosTime1]]-TabJogos[[#This Row],[PontosTime2]]</f>
        <v>3</v>
      </c>
    </row>
    <row r="5065" spans="1:9" ht="15" customHeight="1" x14ac:dyDescent="0.25">
      <c r="A5065" s="7">
        <v>5026</v>
      </c>
      <c r="B5065" s="1">
        <v>43859</v>
      </c>
      <c r="C5065" s="6" t="s">
        <v>10</v>
      </c>
      <c r="D5065" s="6" t="s">
        <v>13</v>
      </c>
      <c r="E5065" s="6">
        <v>3</v>
      </c>
      <c r="F5065" s="6">
        <v>1</v>
      </c>
      <c r="G5065" s="6" t="s">
        <v>11</v>
      </c>
      <c r="H5065" s="6" t="s">
        <v>18</v>
      </c>
      <c r="I5065" s="6">
        <f>TabJogos[[#This Row],[PontosTime1]]-TabJogos[[#This Row],[PontosTime2]]</f>
        <v>2</v>
      </c>
    </row>
    <row r="5066" spans="1:9" ht="15" customHeight="1" x14ac:dyDescent="0.25">
      <c r="A5066" s="7">
        <v>5027</v>
      </c>
      <c r="B5066" s="1">
        <v>43859</v>
      </c>
      <c r="C5066" s="6" t="s">
        <v>11</v>
      </c>
      <c r="D5066" s="6" t="s">
        <v>13</v>
      </c>
      <c r="E5066" s="6">
        <v>3</v>
      </c>
      <c r="F5066" s="6">
        <v>2</v>
      </c>
      <c r="G5066" s="6" t="s">
        <v>10</v>
      </c>
      <c r="H5066" s="6" t="s">
        <v>18</v>
      </c>
      <c r="I5066" s="6">
        <f>TabJogos[[#This Row],[PontosTime1]]-TabJogos[[#This Row],[PontosTime2]]</f>
        <v>1</v>
      </c>
    </row>
    <row r="5067" spans="1:9" ht="15" customHeight="1" x14ac:dyDescent="0.25">
      <c r="A5067" s="7">
        <v>5028</v>
      </c>
      <c r="B5067" s="1">
        <v>43859</v>
      </c>
      <c r="C5067" s="6" t="s">
        <v>13</v>
      </c>
      <c r="D5067" s="6" t="s">
        <v>18</v>
      </c>
      <c r="E5067" s="6">
        <v>3</v>
      </c>
      <c r="F5067" s="6">
        <v>2</v>
      </c>
      <c r="G5067" s="6" t="s">
        <v>10</v>
      </c>
      <c r="H5067" s="6" t="s">
        <v>11</v>
      </c>
      <c r="I5067" s="6">
        <f>TabJogos[[#This Row],[PontosTime1]]-TabJogos[[#This Row],[PontosTime2]]</f>
        <v>1</v>
      </c>
    </row>
    <row r="5068" spans="1:9" ht="15" customHeight="1" x14ac:dyDescent="0.25">
      <c r="A5068" s="7">
        <v>5029</v>
      </c>
      <c r="B5068" s="1">
        <v>43859</v>
      </c>
      <c r="C5068" s="6" t="s">
        <v>13</v>
      </c>
      <c r="D5068" s="6" t="s">
        <v>10</v>
      </c>
      <c r="E5068" s="6">
        <v>1</v>
      </c>
      <c r="F5068" s="6">
        <v>5</v>
      </c>
      <c r="G5068" s="6" t="s">
        <v>18</v>
      </c>
      <c r="H5068" s="6" t="s">
        <v>11</v>
      </c>
      <c r="I5068" s="6">
        <f>TabJogos[[#This Row],[PontosTime1]]-TabJogos[[#This Row],[PontosTime2]]</f>
        <v>-4</v>
      </c>
    </row>
    <row r="5069" spans="1:9" ht="15" customHeight="1" x14ac:dyDescent="0.25">
      <c r="A5069" s="7">
        <v>5030</v>
      </c>
      <c r="B5069" s="1">
        <v>43859</v>
      </c>
      <c r="C5069" s="6" t="s">
        <v>13</v>
      </c>
      <c r="D5069" s="6" t="s">
        <v>11</v>
      </c>
      <c r="E5069" s="6">
        <v>3</v>
      </c>
      <c r="F5069" s="6">
        <v>1</v>
      </c>
      <c r="G5069" s="6" t="s">
        <v>10</v>
      </c>
      <c r="H5069" s="6" t="s">
        <v>18</v>
      </c>
      <c r="I5069" s="6">
        <f>TabJogos[[#This Row],[PontosTime1]]-TabJogos[[#This Row],[PontosTime2]]</f>
        <v>2</v>
      </c>
    </row>
    <row r="5070" spans="1:9" ht="15" customHeight="1" x14ac:dyDescent="0.25">
      <c r="A5070" s="7">
        <v>5031</v>
      </c>
      <c r="B5070" s="1">
        <v>43859</v>
      </c>
      <c r="C5070" s="6" t="s">
        <v>11</v>
      </c>
      <c r="D5070" s="6" t="s">
        <v>10</v>
      </c>
      <c r="E5070" s="6">
        <v>1</v>
      </c>
      <c r="F5070" s="6">
        <v>3</v>
      </c>
      <c r="G5070" s="6" t="s">
        <v>13</v>
      </c>
      <c r="H5070" s="6" t="s">
        <v>18</v>
      </c>
      <c r="I5070" s="6">
        <f>TabJogos[[#This Row],[PontosTime1]]-TabJogos[[#This Row],[PontosTime2]]</f>
        <v>-2</v>
      </c>
    </row>
    <row r="5071" spans="1:9" ht="15" customHeight="1" x14ac:dyDescent="0.25">
      <c r="A5071" s="7">
        <v>5032</v>
      </c>
      <c r="B5071" s="1">
        <v>43859</v>
      </c>
      <c r="C5071" s="6" t="s">
        <v>11</v>
      </c>
      <c r="D5071" s="6" t="s">
        <v>18</v>
      </c>
      <c r="E5071" s="6">
        <v>3</v>
      </c>
      <c r="F5071" s="6">
        <v>0</v>
      </c>
      <c r="G5071" s="6" t="s">
        <v>10</v>
      </c>
      <c r="H5071" s="6" t="s">
        <v>13</v>
      </c>
      <c r="I5071" s="6">
        <f>TabJogos[[#This Row],[PontosTime1]]-TabJogos[[#This Row],[PontosTime2]]</f>
        <v>3</v>
      </c>
    </row>
    <row r="5072" spans="1:9" ht="15" customHeight="1" x14ac:dyDescent="0.25">
      <c r="A5072" s="7">
        <v>5033</v>
      </c>
      <c r="B5072" s="1">
        <v>43859</v>
      </c>
      <c r="C5072" s="6" t="s">
        <v>11</v>
      </c>
      <c r="D5072" s="6" t="s">
        <v>13</v>
      </c>
      <c r="E5072" s="6">
        <v>3</v>
      </c>
      <c r="F5072" s="6">
        <v>2</v>
      </c>
      <c r="G5072" s="6" t="s">
        <v>10</v>
      </c>
      <c r="H5072" s="6" t="s">
        <v>18</v>
      </c>
      <c r="I5072" s="6">
        <f>TabJogos[[#This Row],[PontosTime1]]-TabJogos[[#This Row],[PontosTime2]]</f>
        <v>1</v>
      </c>
    </row>
    <row r="5073" spans="1:9" ht="15" customHeight="1" x14ac:dyDescent="0.25">
      <c r="A5073" s="7">
        <v>5034</v>
      </c>
      <c r="B5073" s="1">
        <v>43859</v>
      </c>
      <c r="C5073" s="6" t="s">
        <v>10</v>
      </c>
      <c r="D5073" s="6" t="s">
        <v>11</v>
      </c>
      <c r="E5073" s="6">
        <v>5</v>
      </c>
      <c r="F5073" s="6">
        <v>1</v>
      </c>
      <c r="G5073" s="6" t="s">
        <v>18</v>
      </c>
      <c r="H5073" s="6" t="s">
        <v>13</v>
      </c>
      <c r="I5073" s="6">
        <f>TabJogos[[#This Row],[PontosTime1]]-TabJogos[[#This Row],[PontosTime2]]</f>
        <v>4</v>
      </c>
    </row>
    <row r="5074" spans="1:9" ht="15" customHeight="1" x14ac:dyDescent="0.25">
      <c r="A5074" s="7">
        <v>5035</v>
      </c>
      <c r="B5074" s="1">
        <v>43859</v>
      </c>
      <c r="C5074" s="6" t="s">
        <v>11</v>
      </c>
      <c r="D5074" s="6" t="s">
        <v>18</v>
      </c>
      <c r="E5074" s="6">
        <v>0</v>
      </c>
      <c r="F5074" s="6">
        <v>3</v>
      </c>
      <c r="G5074" s="6" t="s">
        <v>10</v>
      </c>
      <c r="H5074" s="6" t="s">
        <v>13</v>
      </c>
      <c r="I5074" s="6">
        <f>TabJogos[[#This Row],[PontosTime1]]-TabJogos[[#This Row],[PontosTime2]]</f>
        <v>-3</v>
      </c>
    </row>
    <row r="5075" spans="1:9" ht="15" customHeight="1" x14ac:dyDescent="0.25">
      <c r="A5075" s="7">
        <v>5036</v>
      </c>
      <c r="B5075" s="1">
        <v>43859</v>
      </c>
      <c r="C5075" s="6" t="s">
        <v>11</v>
      </c>
      <c r="D5075" s="6" t="s">
        <v>13</v>
      </c>
      <c r="E5075" s="6">
        <v>3</v>
      </c>
      <c r="F5075" s="6">
        <v>1</v>
      </c>
      <c r="G5075" s="6" t="s">
        <v>18</v>
      </c>
      <c r="H5075" s="6" t="s">
        <v>10</v>
      </c>
      <c r="I5075" s="6">
        <f>TabJogos[[#This Row],[PontosTime1]]-TabJogos[[#This Row],[PontosTime2]]</f>
        <v>2</v>
      </c>
    </row>
    <row r="5076" spans="1:9" ht="15" customHeight="1" x14ac:dyDescent="0.25">
      <c r="A5076" s="7">
        <v>5037</v>
      </c>
      <c r="B5076" s="1">
        <v>43860</v>
      </c>
      <c r="C5076" s="6" t="s">
        <v>13</v>
      </c>
      <c r="D5076" s="6" t="s">
        <v>10</v>
      </c>
      <c r="E5076" s="6">
        <v>1</v>
      </c>
      <c r="F5076" s="6">
        <v>3</v>
      </c>
      <c r="G5076" s="6" t="s">
        <v>18</v>
      </c>
      <c r="H5076" s="6" t="s">
        <v>27</v>
      </c>
      <c r="I5076" s="6">
        <f>TabJogos[[#This Row],[PontosTime1]]-TabJogos[[#This Row],[PontosTime2]]</f>
        <v>-2</v>
      </c>
    </row>
    <row r="5077" spans="1:9" ht="15" customHeight="1" x14ac:dyDescent="0.25">
      <c r="A5077" s="7">
        <v>5038</v>
      </c>
      <c r="B5077" s="1">
        <v>43860</v>
      </c>
      <c r="C5077" s="6" t="s">
        <v>11</v>
      </c>
      <c r="D5077" s="6" t="s">
        <v>18</v>
      </c>
      <c r="E5077" s="6">
        <v>3</v>
      </c>
      <c r="F5077" s="6">
        <v>2</v>
      </c>
      <c r="G5077" s="6" t="s">
        <v>27</v>
      </c>
      <c r="H5077" s="6" t="s">
        <v>13</v>
      </c>
      <c r="I5077" s="6">
        <f>TabJogos[[#This Row],[PontosTime1]]-TabJogos[[#This Row],[PontosTime2]]</f>
        <v>1</v>
      </c>
    </row>
    <row r="5078" spans="1:9" ht="15" customHeight="1" x14ac:dyDescent="0.25">
      <c r="A5078" s="7">
        <v>5039</v>
      </c>
      <c r="B5078" s="1">
        <v>43860</v>
      </c>
      <c r="C5078" s="6" t="s">
        <v>10</v>
      </c>
      <c r="D5078" s="6" t="s">
        <v>18</v>
      </c>
      <c r="E5078" s="6">
        <v>1</v>
      </c>
      <c r="F5078" s="6">
        <v>3</v>
      </c>
      <c r="G5078" s="6" t="s">
        <v>27</v>
      </c>
      <c r="H5078" s="6" t="s">
        <v>11</v>
      </c>
      <c r="I5078" s="6">
        <f>TabJogos[[#This Row],[PontosTime1]]-TabJogos[[#This Row],[PontosTime2]]</f>
        <v>-2</v>
      </c>
    </row>
    <row r="5079" spans="1:9" ht="15" customHeight="1" x14ac:dyDescent="0.25">
      <c r="A5079" s="7">
        <v>5040</v>
      </c>
      <c r="B5079" s="1">
        <v>43860</v>
      </c>
      <c r="C5079" s="6" t="s">
        <v>11</v>
      </c>
      <c r="D5079" s="6" t="s">
        <v>13</v>
      </c>
      <c r="E5079" s="6">
        <v>3</v>
      </c>
      <c r="F5079" s="6">
        <v>1</v>
      </c>
      <c r="G5079" s="6" t="s">
        <v>41</v>
      </c>
      <c r="H5079" s="6" t="s">
        <v>27</v>
      </c>
      <c r="I5079" s="6">
        <f>TabJogos[[#This Row],[PontosTime1]]-TabJogos[[#This Row],[PontosTime2]]</f>
        <v>2</v>
      </c>
    </row>
    <row r="5080" spans="1:9" ht="15" customHeight="1" x14ac:dyDescent="0.25">
      <c r="A5080" s="7">
        <v>5041</v>
      </c>
      <c r="B5080" s="1">
        <v>43860</v>
      </c>
      <c r="C5080" s="6" t="s">
        <v>11</v>
      </c>
      <c r="D5080" s="6" t="s">
        <v>10</v>
      </c>
      <c r="E5080" s="6">
        <v>3</v>
      </c>
      <c r="F5080" s="6">
        <v>1</v>
      </c>
      <c r="G5080" s="6" t="s">
        <v>18</v>
      </c>
      <c r="H5080" s="6" t="s">
        <v>13</v>
      </c>
      <c r="I5080" s="6">
        <f>TabJogos[[#This Row],[PontosTime1]]-TabJogos[[#This Row],[PontosTime2]]</f>
        <v>2</v>
      </c>
    </row>
    <row r="5081" spans="1:9" ht="15" customHeight="1" x14ac:dyDescent="0.25">
      <c r="A5081" s="7">
        <v>5042</v>
      </c>
      <c r="B5081" s="1">
        <v>43860</v>
      </c>
      <c r="C5081" s="6" t="s">
        <v>11</v>
      </c>
      <c r="D5081" s="6" t="s">
        <v>41</v>
      </c>
      <c r="E5081" s="6">
        <v>2</v>
      </c>
      <c r="F5081" s="6">
        <v>4</v>
      </c>
      <c r="G5081" s="6" t="s">
        <v>10</v>
      </c>
      <c r="H5081" s="6" t="s">
        <v>27</v>
      </c>
      <c r="I5081" s="6">
        <f>TabJogos[[#This Row],[PontosTime1]]-TabJogos[[#This Row],[PontosTime2]]</f>
        <v>-2</v>
      </c>
    </row>
    <row r="5082" spans="1:9" ht="15" customHeight="1" x14ac:dyDescent="0.25">
      <c r="A5082" s="7">
        <v>5043</v>
      </c>
      <c r="B5082" s="1">
        <v>43860</v>
      </c>
      <c r="C5082" s="6" t="s">
        <v>27</v>
      </c>
      <c r="D5082" s="6" t="s">
        <v>18</v>
      </c>
      <c r="E5082" s="6">
        <v>3</v>
      </c>
      <c r="F5082" s="6">
        <v>0</v>
      </c>
      <c r="G5082" s="6" t="s">
        <v>13</v>
      </c>
      <c r="H5082" s="6" t="s">
        <v>10</v>
      </c>
      <c r="I5082" s="6">
        <f>TabJogos[[#This Row],[PontosTime1]]-TabJogos[[#This Row],[PontosTime2]]</f>
        <v>3</v>
      </c>
    </row>
    <row r="5083" spans="1:9" ht="15" customHeight="1" x14ac:dyDescent="0.25">
      <c r="A5083" s="7">
        <v>5044</v>
      </c>
      <c r="B5083" s="1">
        <v>43860</v>
      </c>
      <c r="C5083" s="6" t="s">
        <v>11</v>
      </c>
      <c r="D5083" s="6" t="s">
        <v>27</v>
      </c>
      <c r="E5083" s="6">
        <v>3</v>
      </c>
      <c r="F5083" s="6">
        <v>1</v>
      </c>
      <c r="G5083" s="6" t="s">
        <v>18</v>
      </c>
      <c r="H5083" s="6" t="s">
        <v>41</v>
      </c>
      <c r="I5083" s="6">
        <f>TabJogos[[#This Row],[PontosTime1]]-TabJogos[[#This Row],[PontosTime2]]</f>
        <v>2</v>
      </c>
    </row>
    <row r="5084" spans="1:9" ht="15" customHeight="1" x14ac:dyDescent="0.25">
      <c r="A5084" s="7">
        <v>5045</v>
      </c>
      <c r="B5084" s="1">
        <v>43860</v>
      </c>
      <c r="C5084" s="6" t="s">
        <v>11</v>
      </c>
      <c r="D5084" s="6" t="s">
        <v>41</v>
      </c>
      <c r="E5084" s="6">
        <v>3</v>
      </c>
      <c r="F5084" s="6">
        <v>1</v>
      </c>
      <c r="G5084" s="6" t="s">
        <v>13</v>
      </c>
      <c r="H5084" s="6" t="s">
        <v>27</v>
      </c>
      <c r="I5084" s="6">
        <f>TabJogos[[#This Row],[PontosTime1]]-TabJogos[[#This Row],[PontosTime2]]</f>
        <v>2</v>
      </c>
    </row>
    <row r="5085" spans="1:9" ht="15" customHeight="1" x14ac:dyDescent="0.25">
      <c r="A5085" s="7">
        <v>5046</v>
      </c>
      <c r="B5085" s="1">
        <v>43860</v>
      </c>
      <c r="C5085" s="6" t="s">
        <v>11</v>
      </c>
      <c r="D5085" s="6" t="s">
        <v>18</v>
      </c>
      <c r="E5085" s="6">
        <v>5</v>
      </c>
      <c r="F5085" s="6">
        <v>2</v>
      </c>
      <c r="G5085" s="6" t="s">
        <v>13</v>
      </c>
      <c r="H5085" s="6" t="s">
        <v>41</v>
      </c>
      <c r="I5085" s="6">
        <f>TabJogos[[#This Row],[PontosTime1]]-TabJogos[[#This Row],[PontosTime2]]</f>
        <v>3</v>
      </c>
    </row>
    <row r="5086" spans="1:9" ht="15" customHeight="1" x14ac:dyDescent="0.25">
      <c r="A5086" s="7">
        <v>5047</v>
      </c>
      <c r="B5086" s="1">
        <v>43860</v>
      </c>
      <c r="C5086" s="6" t="s">
        <v>11</v>
      </c>
      <c r="D5086" s="6" t="s">
        <v>27</v>
      </c>
      <c r="E5086" s="6">
        <v>3</v>
      </c>
      <c r="F5086" s="6">
        <v>2</v>
      </c>
      <c r="G5086" s="6" t="s">
        <v>18</v>
      </c>
      <c r="H5086" s="6" t="s">
        <v>41</v>
      </c>
      <c r="I5086" s="6">
        <f>TabJogos[[#This Row],[PontosTime1]]-TabJogos[[#This Row],[PontosTime2]]</f>
        <v>1</v>
      </c>
    </row>
    <row r="5087" spans="1:9" ht="15" customHeight="1" x14ac:dyDescent="0.25">
      <c r="A5087" s="7">
        <v>5048</v>
      </c>
      <c r="B5087" s="1">
        <v>43861</v>
      </c>
      <c r="C5087" s="6" t="s">
        <v>18</v>
      </c>
      <c r="D5087" s="6" t="s">
        <v>9</v>
      </c>
      <c r="E5087" s="6">
        <v>3</v>
      </c>
      <c r="F5087" s="6">
        <v>1</v>
      </c>
      <c r="G5087" s="6" t="s">
        <v>10</v>
      </c>
      <c r="H5087" s="6" t="s">
        <v>11</v>
      </c>
      <c r="I5087" s="6">
        <f>TabJogos[[#This Row],[PontosTime1]]-TabJogos[[#This Row],[PontosTime2]]</f>
        <v>2</v>
      </c>
    </row>
    <row r="5088" spans="1:9" ht="15" customHeight="1" x14ac:dyDescent="0.25">
      <c r="A5088" s="7">
        <v>5049</v>
      </c>
      <c r="B5088" s="1">
        <v>43861</v>
      </c>
      <c r="C5088" s="6" t="s">
        <v>27</v>
      </c>
      <c r="D5088" s="6" t="s">
        <v>9</v>
      </c>
      <c r="E5088" s="6">
        <v>3</v>
      </c>
      <c r="F5088" s="6">
        <v>0</v>
      </c>
      <c r="G5088" s="6" t="s">
        <v>13</v>
      </c>
      <c r="H5088" s="6" t="s">
        <v>18</v>
      </c>
      <c r="I5088" s="6">
        <f>TabJogos[[#This Row],[PontosTime1]]-TabJogos[[#This Row],[PontosTime2]]</f>
        <v>3</v>
      </c>
    </row>
    <row r="5089" spans="1:9" ht="15" customHeight="1" x14ac:dyDescent="0.25">
      <c r="A5089" s="7">
        <v>5050</v>
      </c>
      <c r="B5089" s="1">
        <v>43861</v>
      </c>
      <c r="C5089" s="6" t="s">
        <v>11</v>
      </c>
      <c r="D5089" s="6" t="s">
        <v>9</v>
      </c>
      <c r="E5089" s="6">
        <v>3</v>
      </c>
      <c r="F5089" s="6">
        <v>1</v>
      </c>
      <c r="G5089" s="6" t="s">
        <v>27</v>
      </c>
      <c r="H5089" s="6" t="s">
        <v>10</v>
      </c>
      <c r="I5089" s="6">
        <f>TabJogos[[#This Row],[PontosTime1]]-TabJogos[[#This Row],[PontosTime2]]</f>
        <v>2</v>
      </c>
    </row>
    <row r="5090" spans="1:9" ht="15" customHeight="1" x14ac:dyDescent="0.25">
      <c r="A5090" s="7">
        <v>5051</v>
      </c>
      <c r="B5090" s="1">
        <v>43861</v>
      </c>
      <c r="C5090" s="6" t="s">
        <v>11</v>
      </c>
      <c r="D5090" s="6" t="s">
        <v>18</v>
      </c>
      <c r="E5090" s="6">
        <v>0</v>
      </c>
      <c r="F5090" s="6">
        <v>3</v>
      </c>
      <c r="G5090" s="6" t="s">
        <v>9</v>
      </c>
      <c r="H5090" s="6" t="s">
        <v>13</v>
      </c>
      <c r="I5090" s="6">
        <f>TabJogos[[#This Row],[PontosTime1]]-TabJogos[[#This Row],[PontosTime2]]</f>
        <v>-3</v>
      </c>
    </row>
    <row r="5091" spans="1:9" ht="15" customHeight="1" x14ac:dyDescent="0.25">
      <c r="A5091" s="7">
        <v>5052</v>
      </c>
      <c r="B5091" s="1">
        <v>43861</v>
      </c>
      <c r="C5091" s="6" t="s">
        <v>27</v>
      </c>
      <c r="D5091" s="6" t="s">
        <v>13</v>
      </c>
      <c r="E5091" s="6">
        <v>0</v>
      </c>
      <c r="F5091" s="6">
        <v>4</v>
      </c>
      <c r="G5091" s="6" t="s">
        <v>9</v>
      </c>
      <c r="H5091" s="6" t="s">
        <v>10</v>
      </c>
      <c r="I5091" s="6">
        <f>TabJogos[[#This Row],[PontosTime1]]-TabJogos[[#This Row],[PontosTime2]]</f>
        <v>-4</v>
      </c>
    </row>
    <row r="5092" spans="1:9" ht="15" customHeight="1" x14ac:dyDescent="0.25">
      <c r="A5092" s="7">
        <v>5053</v>
      </c>
      <c r="B5092" s="1">
        <v>43861</v>
      </c>
      <c r="C5092" s="6" t="s">
        <v>18</v>
      </c>
      <c r="D5092" s="6" t="s">
        <v>10</v>
      </c>
      <c r="E5092" s="6">
        <v>3</v>
      </c>
      <c r="F5092" s="6">
        <v>2</v>
      </c>
      <c r="G5092" s="6" t="s">
        <v>11</v>
      </c>
      <c r="H5092" s="6" t="s">
        <v>9</v>
      </c>
      <c r="I5092" s="6">
        <f>TabJogos[[#This Row],[PontosTime1]]-TabJogos[[#This Row],[PontosTime2]]</f>
        <v>1</v>
      </c>
    </row>
    <row r="5093" spans="1:9" ht="15" customHeight="1" x14ac:dyDescent="0.25">
      <c r="A5093" s="7">
        <v>5054</v>
      </c>
      <c r="B5093" s="1">
        <v>43861</v>
      </c>
      <c r="C5093" s="6" t="s">
        <v>18</v>
      </c>
      <c r="D5093" s="6" t="s">
        <v>27</v>
      </c>
      <c r="E5093" s="6">
        <v>3</v>
      </c>
      <c r="F5093" s="6">
        <v>0</v>
      </c>
      <c r="G5093" s="6" t="s">
        <v>13</v>
      </c>
      <c r="H5093" s="6" t="s">
        <v>10</v>
      </c>
      <c r="I5093" s="6">
        <f>TabJogos[[#This Row],[PontosTime1]]-TabJogos[[#This Row],[PontosTime2]]</f>
        <v>3</v>
      </c>
    </row>
    <row r="5094" spans="1:9" ht="15" customHeight="1" x14ac:dyDescent="0.25">
      <c r="A5094" s="7">
        <v>5055</v>
      </c>
      <c r="B5094" s="1">
        <v>43861</v>
      </c>
      <c r="C5094" s="6" t="s">
        <v>18</v>
      </c>
      <c r="D5094" s="6" t="s">
        <v>9</v>
      </c>
      <c r="E5094" s="6">
        <v>1</v>
      </c>
      <c r="F5094" s="6">
        <v>3</v>
      </c>
      <c r="G5094" s="6" t="s">
        <v>11</v>
      </c>
      <c r="H5094" s="6" t="s">
        <v>27</v>
      </c>
      <c r="I5094" s="6">
        <f>TabJogos[[#This Row],[PontosTime1]]-TabJogos[[#This Row],[PontosTime2]]</f>
        <v>-2</v>
      </c>
    </row>
    <row r="5095" spans="1:9" ht="15" customHeight="1" x14ac:dyDescent="0.25">
      <c r="A5095" s="7">
        <v>5056</v>
      </c>
      <c r="B5095" s="1">
        <v>43861</v>
      </c>
      <c r="C5095" s="6" t="s">
        <v>11</v>
      </c>
      <c r="D5095" s="6" t="s">
        <v>13</v>
      </c>
      <c r="E5095" s="6">
        <v>4</v>
      </c>
      <c r="F5095" s="6">
        <v>1</v>
      </c>
      <c r="G5095" s="6" t="s">
        <v>10</v>
      </c>
      <c r="H5095" s="6" t="s">
        <v>27</v>
      </c>
      <c r="I5095" s="6">
        <f>TabJogos[[#This Row],[PontosTime1]]-TabJogos[[#This Row],[PontosTime2]]</f>
        <v>3</v>
      </c>
    </row>
    <row r="5096" spans="1:9" ht="15" customHeight="1" x14ac:dyDescent="0.25">
      <c r="A5096" s="7">
        <v>5057</v>
      </c>
      <c r="B5096" s="1">
        <v>43861</v>
      </c>
      <c r="C5096" s="6" t="s">
        <v>11</v>
      </c>
      <c r="D5096" s="6" t="s">
        <v>18</v>
      </c>
      <c r="E5096" s="6">
        <v>3</v>
      </c>
      <c r="F5096" s="6">
        <v>2</v>
      </c>
      <c r="G5096" s="6" t="s">
        <v>13</v>
      </c>
      <c r="H5096" s="6" t="s">
        <v>27</v>
      </c>
      <c r="I5096" s="6">
        <f>TabJogos[[#This Row],[PontosTime1]]-TabJogos[[#This Row],[PontosTime2]]</f>
        <v>1</v>
      </c>
    </row>
    <row r="5097" spans="1:9" ht="15" customHeight="1" x14ac:dyDescent="0.25">
      <c r="A5097" s="7">
        <v>5058</v>
      </c>
      <c r="B5097" s="1">
        <v>43861</v>
      </c>
      <c r="C5097" s="6" t="s">
        <v>11</v>
      </c>
      <c r="D5097" s="6" t="s">
        <v>27</v>
      </c>
      <c r="E5097" s="6">
        <v>3</v>
      </c>
      <c r="F5097" s="6">
        <v>2</v>
      </c>
      <c r="G5097" s="6" t="s">
        <v>13</v>
      </c>
      <c r="H5097" s="6" t="s">
        <v>18</v>
      </c>
      <c r="I5097" s="6">
        <f>TabJogos[[#This Row],[PontosTime1]]-TabJogos[[#This Row],[PontosTime2]]</f>
        <v>1</v>
      </c>
    </row>
    <row r="5098" spans="1:9" ht="15" customHeight="1" x14ac:dyDescent="0.25">
      <c r="A5098" s="7">
        <v>5059</v>
      </c>
      <c r="B5098" s="1">
        <v>43861</v>
      </c>
      <c r="C5098" s="6" t="s">
        <v>11</v>
      </c>
      <c r="D5098" s="6" t="s">
        <v>13</v>
      </c>
      <c r="E5098" s="6">
        <v>2</v>
      </c>
      <c r="F5098" s="6">
        <v>3</v>
      </c>
      <c r="G5098" s="6" t="s">
        <v>18</v>
      </c>
      <c r="H5098" s="6" t="s">
        <v>27</v>
      </c>
      <c r="I5098" s="6">
        <f>TabJogos[[#This Row],[PontosTime1]]-TabJogos[[#This Row],[PontosTime2]]</f>
        <v>-1</v>
      </c>
    </row>
    <row r="5099" spans="1:9" ht="15" customHeight="1" x14ac:dyDescent="0.25">
      <c r="A5099" s="7">
        <v>5060</v>
      </c>
      <c r="I5099" s="6"/>
    </row>
    <row r="5100" spans="1:9" ht="15" customHeight="1" x14ac:dyDescent="0.25">
      <c r="A5100" s="7">
        <v>5061</v>
      </c>
      <c r="I5100" s="6">
        <f>TabJogos[[#This Row],[PontosTime1]]-TabJogos[[#This Row],[PontosTime2]]</f>
        <v>0</v>
      </c>
    </row>
    <row r="5101" spans="1:9" ht="15" customHeight="1" x14ac:dyDescent="0.25">
      <c r="A5101" s="7">
        <v>5062</v>
      </c>
      <c r="I5101" s="6">
        <f>TabJogos[[#This Row],[PontosTime1]]-TabJogos[[#This Row],[PontosTime2]]</f>
        <v>0</v>
      </c>
    </row>
    <row r="5102" spans="1:9" ht="15" customHeight="1" x14ac:dyDescent="0.25">
      <c r="A5102" s="7">
        <v>5063</v>
      </c>
      <c r="I5102" s="6">
        <f>TabJogos[[#This Row],[PontosTime1]]-TabJogos[[#This Row],[PontosTime2]]</f>
        <v>0</v>
      </c>
    </row>
    <row r="5103" spans="1:9" ht="15" customHeight="1" x14ac:dyDescent="0.25">
      <c r="A5103" s="7">
        <v>5064</v>
      </c>
      <c r="I5103" s="6">
        <f>TabJogos[[#This Row],[PontosTime1]]-TabJogos[[#This Row],[PontosTime2]]</f>
        <v>0</v>
      </c>
    </row>
    <row r="5104" spans="1:9" ht="15" customHeight="1" x14ac:dyDescent="0.25">
      <c r="A5104" s="7">
        <v>5065</v>
      </c>
      <c r="I5104" s="6">
        <f>TabJogos[[#This Row],[PontosTime1]]-TabJogos[[#This Row],[PontosTime2]]</f>
        <v>0</v>
      </c>
    </row>
    <row r="5105" spans="1:9" ht="15" customHeight="1" x14ac:dyDescent="0.25">
      <c r="A5105" s="7">
        <v>5066</v>
      </c>
      <c r="I5105" s="6">
        <f>TabJogos[[#This Row],[PontosTime1]]-TabJogos[[#This Row],[PontosTime2]]</f>
        <v>0</v>
      </c>
    </row>
    <row r="5106" spans="1:9" ht="15" customHeight="1" x14ac:dyDescent="0.25">
      <c r="A5106" s="7">
        <v>5067</v>
      </c>
      <c r="I5106" s="6">
        <f>TabJogos[[#This Row],[PontosTime1]]-TabJogos[[#This Row],[PontosTime2]]</f>
        <v>0</v>
      </c>
    </row>
    <row r="5107" spans="1:9" ht="15" customHeight="1" x14ac:dyDescent="0.25">
      <c r="A5107" s="7">
        <v>5068</v>
      </c>
      <c r="I5107" s="6">
        <f>TabJogos[[#This Row],[PontosTime1]]-TabJogos[[#This Row],[PontosTime2]]</f>
        <v>0</v>
      </c>
    </row>
    <row r="5108" spans="1:9" ht="15" customHeight="1" x14ac:dyDescent="0.25">
      <c r="A5108" s="7">
        <v>5069</v>
      </c>
      <c r="I5108" s="6">
        <f>TabJogos[[#This Row],[PontosTime1]]-TabJogos[[#This Row],[PontosTime2]]</f>
        <v>0</v>
      </c>
    </row>
    <row r="5109" spans="1:9" ht="15" customHeight="1" x14ac:dyDescent="0.25">
      <c r="A5109" s="7">
        <v>5070</v>
      </c>
      <c r="I5109" s="6">
        <f>TabJogos[[#This Row],[PontosTime1]]-TabJogos[[#This Row],[PontosTime2]]</f>
        <v>0</v>
      </c>
    </row>
    <row r="5110" spans="1:9" ht="15" customHeight="1" x14ac:dyDescent="0.25">
      <c r="A5110" s="7">
        <v>5071</v>
      </c>
      <c r="I5110" s="6">
        <f>TabJogos[[#This Row],[PontosTime1]]-TabJogos[[#This Row],[PontosTime2]]</f>
        <v>0</v>
      </c>
    </row>
    <row r="5111" spans="1:9" ht="15" customHeight="1" x14ac:dyDescent="0.25">
      <c r="A5111" s="7">
        <v>5072</v>
      </c>
      <c r="I5111" s="6">
        <f>TabJogos[[#This Row],[PontosTime1]]-TabJogos[[#This Row],[PontosTime2]]</f>
        <v>0</v>
      </c>
    </row>
    <row r="5112" spans="1:9" ht="15" customHeight="1" x14ac:dyDescent="0.25">
      <c r="A5112" s="7">
        <v>5073</v>
      </c>
      <c r="I5112" s="6">
        <f>TabJogos[[#This Row],[PontosTime1]]-TabJogos[[#This Row],[PontosTime2]]</f>
        <v>0</v>
      </c>
    </row>
    <row r="5113" spans="1:9" ht="15" customHeight="1" x14ac:dyDescent="0.25">
      <c r="A5113" s="7">
        <v>5074</v>
      </c>
      <c r="I5113" s="6">
        <f>TabJogos[[#This Row],[PontosTime1]]-TabJogos[[#This Row],[PontosTime2]]</f>
        <v>0</v>
      </c>
    </row>
    <row r="5114" spans="1:9" ht="15" customHeight="1" x14ac:dyDescent="0.25">
      <c r="A5114" s="7">
        <v>5075</v>
      </c>
      <c r="I5114" s="6">
        <f>TabJogos[[#This Row],[PontosTime1]]-TabJogos[[#This Row],[PontosTime2]]</f>
        <v>0</v>
      </c>
    </row>
    <row r="5115" spans="1:9" ht="15" customHeight="1" x14ac:dyDescent="0.25">
      <c r="A5115" s="7">
        <v>5076</v>
      </c>
      <c r="I5115" s="6">
        <f>TabJogos[[#This Row],[PontosTime1]]-TabJogos[[#This Row],[PontosTime2]]</f>
        <v>0</v>
      </c>
    </row>
    <row r="5116" spans="1:9" ht="15" customHeight="1" x14ac:dyDescent="0.25">
      <c r="A5116" s="7">
        <v>5077</v>
      </c>
      <c r="I5116" s="6">
        <f>TabJogos[[#This Row],[PontosTime1]]-TabJogos[[#This Row],[PontosTime2]]</f>
        <v>0</v>
      </c>
    </row>
    <row r="5117" spans="1:9" ht="15" customHeight="1" x14ac:dyDescent="0.25">
      <c r="A5117" s="7">
        <v>5078</v>
      </c>
      <c r="I5117" s="6">
        <f>TabJogos[[#This Row],[PontosTime1]]-TabJogos[[#This Row],[PontosTime2]]</f>
        <v>0</v>
      </c>
    </row>
    <row r="5118" spans="1:9" ht="15" customHeight="1" x14ac:dyDescent="0.25">
      <c r="A5118" s="7">
        <v>5079</v>
      </c>
      <c r="I5118" s="6">
        <f>TabJogos[[#This Row],[PontosTime1]]-TabJogos[[#This Row],[PontosTime2]]</f>
        <v>0</v>
      </c>
    </row>
    <row r="5119" spans="1:9" ht="15" customHeight="1" x14ac:dyDescent="0.25">
      <c r="A5119" s="7">
        <v>5080</v>
      </c>
      <c r="I5119" s="6">
        <f>TabJogos[[#This Row],[PontosTime1]]-TabJogos[[#This Row],[PontosTime2]]</f>
        <v>0</v>
      </c>
    </row>
    <row r="5120" spans="1:9" ht="15" customHeight="1" x14ac:dyDescent="0.25">
      <c r="A5120" s="7">
        <v>5081</v>
      </c>
      <c r="I5120" s="6">
        <f>TabJogos[[#This Row],[PontosTime1]]-TabJogos[[#This Row],[PontosTime2]]</f>
        <v>0</v>
      </c>
    </row>
    <row r="5121" spans="1:9" ht="15" customHeight="1" x14ac:dyDescent="0.25">
      <c r="A5121" s="7">
        <v>5082</v>
      </c>
      <c r="I5121" s="6"/>
    </row>
    <row r="5122" spans="1:9" ht="15" customHeight="1" x14ac:dyDescent="0.25">
      <c r="A5122" s="7">
        <v>5083</v>
      </c>
      <c r="I5122" s="6"/>
    </row>
    <row r="5123" spans="1:9" ht="15" customHeight="1" x14ac:dyDescent="0.25">
      <c r="A5123" s="7">
        <v>5084</v>
      </c>
      <c r="I5123" s="6"/>
    </row>
    <row r="5124" spans="1:9" ht="15" customHeight="1" x14ac:dyDescent="0.25">
      <c r="A5124" s="7">
        <v>5085</v>
      </c>
      <c r="I5124" s="6"/>
    </row>
    <row r="5125" spans="1:9" ht="15" customHeight="1" x14ac:dyDescent="0.25">
      <c r="A5125" s="7">
        <v>5086</v>
      </c>
      <c r="I5125" s="6"/>
    </row>
    <row r="5126" spans="1:9" ht="15" customHeight="1" x14ac:dyDescent="0.25">
      <c r="A5126" s="7">
        <v>5087</v>
      </c>
      <c r="I5126" s="6"/>
    </row>
    <row r="5127" spans="1:9" ht="15" customHeight="1" x14ac:dyDescent="0.25">
      <c r="A5127" s="7">
        <v>5088</v>
      </c>
      <c r="I5127" s="6"/>
    </row>
    <row r="5128" spans="1:9" ht="15" customHeight="1" x14ac:dyDescent="0.25">
      <c r="A5128" s="7">
        <v>5089</v>
      </c>
      <c r="I5128" s="6"/>
    </row>
    <row r="5129" spans="1:9" ht="15" customHeight="1" x14ac:dyDescent="0.25">
      <c r="A5129" s="7">
        <v>5090</v>
      </c>
      <c r="I5129" s="6"/>
    </row>
    <row r="5130" spans="1:9" ht="15" customHeight="1" x14ac:dyDescent="0.25">
      <c r="A5130" s="7">
        <v>5091</v>
      </c>
      <c r="I5130" s="6"/>
    </row>
    <row r="5131" spans="1:9" ht="15" customHeight="1" x14ac:dyDescent="0.25">
      <c r="A5131" s="7">
        <v>5092</v>
      </c>
      <c r="I5131" s="6"/>
    </row>
    <row r="5132" spans="1:9" ht="15" customHeight="1" x14ac:dyDescent="0.25">
      <c r="A5132" s="7">
        <v>5093</v>
      </c>
      <c r="I5132" s="6"/>
    </row>
    <row r="5133" spans="1:9" ht="15" customHeight="1" x14ac:dyDescent="0.25">
      <c r="A5133" s="7">
        <v>5094</v>
      </c>
      <c r="I5133" s="6"/>
    </row>
    <row r="5134" spans="1:9" ht="15" customHeight="1" x14ac:dyDescent="0.25">
      <c r="I5134" s="6"/>
    </row>
    <row r="5135" spans="1:9" ht="15" customHeight="1" x14ac:dyDescent="0.25">
      <c r="I5135" s="6"/>
    </row>
    <row r="5136" spans="1:9" ht="15" customHeight="1" x14ac:dyDescent="0.25">
      <c r="I5136" s="6"/>
    </row>
    <row r="5137" spans="9:9" ht="15" customHeight="1" x14ac:dyDescent="0.25">
      <c r="I5137" s="6"/>
    </row>
    <row r="5138" spans="9:9" ht="15" customHeight="1" x14ac:dyDescent="0.25">
      <c r="I5138" s="6"/>
    </row>
    <row r="5139" spans="9:9" ht="15" customHeight="1" x14ac:dyDescent="0.25">
      <c r="I5139" s="6"/>
    </row>
    <row r="5140" spans="9:9" ht="15" customHeight="1" x14ac:dyDescent="0.25">
      <c r="I5140" s="6"/>
    </row>
    <row r="5141" spans="9:9" ht="15" customHeight="1" x14ac:dyDescent="0.25">
      <c r="I5141" s="6"/>
    </row>
    <row r="5142" spans="9:9" ht="15" customHeight="1" x14ac:dyDescent="0.25">
      <c r="I5142" s="6"/>
    </row>
    <row r="5143" spans="9:9" ht="15" customHeight="1" x14ac:dyDescent="0.25">
      <c r="I5143" s="6"/>
    </row>
    <row r="5144" spans="9:9" ht="15" customHeight="1" x14ac:dyDescent="0.25">
      <c r="I5144" s="6"/>
    </row>
    <row r="5145" spans="9:9" ht="15" customHeight="1" x14ac:dyDescent="0.25">
      <c r="I5145" s="6"/>
    </row>
    <row r="5146" spans="9:9" ht="15" customHeight="1" x14ac:dyDescent="0.25">
      <c r="I5146" s="6"/>
    </row>
    <row r="5147" spans="9:9" ht="15" customHeight="1" x14ac:dyDescent="0.25">
      <c r="I5147" s="6"/>
    </row>
    <row r="5148" spans="9:9" ht="15" customHeight="1" x14ac:dyDescent="0.25">
      <c r="I5148" s="6"/>
    </row>
    <row r="5149" spans="9:9" ht="15" customHeight="1" x14ac:dyDescent="0.25">
      <c r="I5149" s="6"/>
    </row>
    <row r="5150" spans="9:9" ht="15" customHeight="1" x14ac:dyDescent="0.25">
      <c r="I5150" s="6"/>
    </row>
    <row r="5151" spans="9:9" ht="15" customHeight="1" x14ac:dyDescent="0.25">
      <c r="I5151" s="6"/>
    </row>
    <row r="5152" spans="9:9" ht="15" customHeight="1" x14ac:dyDescent="0.25">
      <c r="I5152" s="6"/>
    </row>
    <row r="5153" spans="9:9" ht="15" customHeight="1" x14ac:dyDescent="0.25">
      <c r="I5153" s="6"/>
    </row>
    <row r="5154" spans="9:9" ht="15" customHeight="1" x14ac:dyDescent="0.25">
      <c r="I5154" s="6"/>
    </row>
    <row r="5155" spans="9:9" ht="15" customHeight="1" x14ac:dyDescent="0.25">
      <c r="I5155" s="6"/>
    </row>
    <row r="5156" spans="9:9" ht="15" customHeight="1" x14ac:dyDescent="0.25">
      <c r="I5156" s="6"/>
    </row>
    <row r="5157" spans="9:9" ht="15" customHeight="1" x14ac:dyDescent="0.25">
      <c r="I5157" s="6"/>
    </row>
    <row r="5158" spans="9:9" ht="15" customHeight="1" x14ac:dyDescent="0.25">
      <c r="I5158" s="6"/>
    </row>
    <row r="5159" spans="9:9" ht="15" customHeight="1" x14ac:dyDescent="0.25">
      <c r="I5159" s="6"/>
    </row>
    <row r="5160" spans="9:9" ht="15" customHeight="1" x14ac:dyDescent="0.25">
      <c r="I5160" s="6"/>
    </row>
    <row r="5161" spans="9:9" ht="15" customHeight="1" x14ac:dyDescent="0.25">
      <c r="I5161" s="6"/>
    </row>
    <row r="5162" spans="9:9" ht="15" customHeight="1" x14ac:dyDescent="0.25">
      <c r="I5162" s="6"/>
    </row>
    <row r="5163" spans="9:9" ht="15" customHeight="1" x14ac:dyDescent="0.25">
      <c r="I5163" s="6"/>
    </row>
    <row r="5164" spans="9:9" ht="15" customHeight="1" x14ac:dyDescent="0.25">
      <c r="I5164" s="6"/>
    </row>
    <row r="5165" spans="9:9" ht="15" customHeight="1" x14ac:dyDescent="0.25">
      <c r="I5165" s="6"/>
    </row>
    <row r="5166" spans="9:9" ht="15" customHeight="1" x14ac:dyDescent="0.25">
      <c r="I5166" s="6"/>
    </row>
    <row r="5167" spans="9:9" ht="15" customHeight="1" x14ac:dyDescent="0.25">
      <c r="I5167" s="6"/>
    </row>
    <row r="5168" spans="9:9" ht="15" customHeight="1" x14ac:dyDescent="0.25">
      <c r="I5168" s="6"/>
    </row>
    <row r="5169" spans="9:9" ht="15" customHeight="1" x14ac:dyDescent="0.25">
      <c r="I5169" s="6"/>
    </row>
    <row r="5170" spans="9:9" ht="15" customHeight="1" x14ac:dyDescent="0.25">
      <c r="I5170" s="6"/>
    </row>
    <row r="5171" spans="9:9" ht="15" customHeight="1" x14ac:dyDescent="0.25">
      <c r="I5171" s="6"/>
    </row>
    <row r="5172" spans="9:9" ht="15" customHeight="1" x14ac:dyDescent="0.25">
      <c r="I5172" s="6"/>
    </row>
    <row r="5173" spans="9:9" ht="15" customHeight="1" x14ac:dyDescent="0.25">
      <c r="I5173" s="6"/>
    </row>
    <row r="5174" spans="9:9" ht="15" customHeight="1" x14ac:dyDescent="0.25">
      <c r="I5174" s="6"/>
    </row>
    <row r="5175" spans="9:9" ht="15" customHeight="1" x14ac:dyDescent="0.25">
      <c r="I5175" s="6"/>
    </row>
    <row r="5176" spans="9:9" ht="15" customHeight="1" x14ac:dyDescent="0.25">
      <c r="I5176" s="6"/>
    </row>
    <row r="5177" spans="9:9" ht="15" customHeight="1" x14ac:dyDescent="0.25">
      <c r="I5177" s="6"/>
    </row>
    <row r="5178" spans="9:9" ht="15" customHeight="1" x14ac:dyDescent="0.25">
      <c r="I5178" s="6"/>
    </row>
    <row r="5179" spans="9:9" ht="15" customHeight="1" x14ac:dyDescent="0.25">
      <c r="I5179" s="6"/>
    </row>
    <row r="5180" spans="9:9" ht="15" customHeight="1" x14ac:dyDescent="0.25">
      <c r="I5180" s="6"/>
    </row>
    <row r="5181" spans="9:9" ht="15" customHeight="1" x14ac:dyDescent="0.25">
      <c r="I5181" s="6"/>
    </row>
    <row r="5182" spans="9:9" ht="15" customHeight="1" x14ac:dyDescent="0.25">
      <c r="I5182" s="6"/>
    </row>
    <row r="5183" spans="9:9" ht="15" customHeight="1" x14ac:dyDescent="0.25">
      <c r="I5183" s="6"/>
    </row>
    <row r="5184" spans="9:9" ht="15" customHeight="1" x14ac:dyDescent="0.25">
      <c r="I5184" s="6"/>
    </row>
    <row r="5185" spans="9:9" ht="15" customHeight="1" x14ac:dyDescent="0.25">
      <c r="I5185" s="6"/>
    </row>
    <row r="5186" spans="9:9" ht="15" customHeight="1" x14ac:dyDescent="0.25">
      <c r="I5186" s="6"/>
    </row>
    <row r="5187" spans="9:9" ht="15" customHeight="1" x14ac:dyDescent="0.25">
      <c r="I5187" s="6"/>
    </row>
    <row r="5188" spans="9:9" ht="15" customHeight="1" x14ac:dyDescent="0.25">
      <c r="I5188" s="6"/>
    </row>
    <row r="5189" spans="9:9" ht="15" customHeight="1" x14ac:dyDescent="0.25">
      <c r="I5189" s="6"/>
    </row>
    <row r="5190" spans="9:9" ht="15" customHeight="1" x14ac:dyDescent="0.25">
      <c r="I5190" s="6"/>
    </row>
    <row r="5191" spans="9:9" ht="15" customHeight="1" x14ac:dyDescent="0.25">
      <c r="I5191" s="6"/>
    </row>
    <row r="5192" spans="9:9" ht="15" customHeight="1" x14ac:dyDescent="0.25">
      <c r="I5192" s="6"/>
    </row>
    <row r="5193" spans="9:9" ht="15" customHeight="1" x14ac:dyDescent="0.25">
      <c r="I5193" s="6"/>
    </row>
    <row r="5194" spans="9:9" ht="15" customHeight="1" x14ac:dyDescent="0.25">
      <c r="I5194" s="6"/>
    </row>
    <row r="5195" spans="9:9" ht="15" customHeight="1" x14ac:dyDescent="0.25">
      <c r="I5195" s="6"/>
    </row>
    <row r="5196" spans="9:9" ht="15" customHeight="1" x14ac:dyDescent="0.25">
      <c r="I5196" s="6"/>
    </row>
    <row r="5197" spans="9:9" ht="15" customHeight="1" x14ac:dyDescent="0.25">
      <c r="I5197" s="6"/>
    </row>
    <row r="5198" spans="9:9" ht="15" customHeight="1" x14ac:dyDescent="0.25">
      <c r="I5198" s="6"/>
    </row>
    <row r="5199" spans="9:9" ht="15" customHeight="1" x14ac:dyDescent="0.25">
      <c r="I5199" s="6"/>
    </row>
    <row r="5200" spans="9:9" ht="15" customHeight="1" x14ac:dyDescent="0.25">
      <c r="I5200" s="6"/>
    </row>
    <row r="5201" spans="9:9" ht="15" customHeight="1" x14ac:dyDescent="0.25">
      <c r="I5201" s="6"/>
    </row>
    <row r="5202" spans="9:9" ht="15" customHeight="1" x14ac:dyDescent="0.25">
      <c r="I5202" s="6"/>
    </row>
    <row r="5203" spans="9:9" ht="15" customHeight="1" x14ac:dyDescent="0.25">
      <c r="I5203" s="6"/>
    </row>
    <row r="5204" spans="9:9" ht="15" customHeight="1" x14ac:dyDescent="0.25">
      <c r="I5204" s="6"/>
    </row>
    <row r="5205" spans="9:9" ht="15" customHeight="1" x14ac:dyDescent="0.25">
      <c r="I5205" s="6"/>
    </row>
    <row r="5206" spans="9:9" ht="15" customHeight="1" x14ac:dyDescent="0.25">
      <c r="I5206" s="6"/>
    </row>
    <row r="5207" spans="9:9" ht="15" customHeight="1" x14ac:dyDescent="0.25">
      <c r="I5207" s="6"/>
    </row>
    <row r="5208" spans="9:9" ht="15" customHeight="1" x14ac:dyDescent="0.25">
      <c r="I5208" s="6"/>
    </row>
    <row r="5209" spans="9:9" ht="15" customHeight="1" x14ac:dyDescent="0.25">
      <c r="I5209" s="6"/>
    </row>
    <row r="5210" spans="9:9" ht="15" customHeight="1" x14ac:dyDescent="0.25">
      <c r="I5210" s="6"/>
    </row>
    <row r="5211" spans="9:9" ht="15" customHeight="1" x14ac:dyDescent="0.25">
      <c r="I5211" s="6"/>
    </row>
    <row r="5212" spans="9:9" ht="15" customHeight="1" x14ac:dyDescent="0.25">
      <c r="I5212" s="6"/>
    </row>
    <row r="5213" spans="9:9" ht="15" customHeight="1" x14ac:dyDescent="0.25">
      <c r="I5213" s="6"/>
    </row>
    <row r="5214" spans="9:9" ht="15" customHeight="1" x14ac:dyDescent="0.25">
      <c r="I5214" s="6"/>
    </row>
    <row r="5215" spans="9:9" ht="15" customHeight="1" x14ac:dyDescent="0.25">
      <c r="I5215" s="6"/>
    </row>
    <row r="5216" spans="9:9" ht="15" customHeight="1" x14ac:dyDescent="0.25">
      <c r="I5216" s="6"/>
    </row>
    <row r="5217" spans="9:9" ht="15" customHeight="1" x14ac:dyDescent="0.25">
      <c r="I5217" s="6"/>
    </row>
    <row r="5218" spans="9:9" ht="15" customHeight="1" x14ac:dyDescent="0.25">
      <c r="I5218" s="6"/>
    </row>
    <row r="5219" spans="9:9" ht="15" customHeight="1" x14ac:dyDescent="0.25">
      <c r="I5219" s="6"/>
    </row>
    <row r="5220" spans="9:9" ht="15" customHeight="1" x14ac:dyDescent="0.25">
      <c r="I5220" s="6"/>
    </row>
    <row r="5221" spans="9:9" ht="15" customHeight="1" x14ac:dyDescent="0.25">
      <c r="I5221" s="6"/>
    </row>
    <row r="5222" spans="9:9" ht="15" customHeight="1" x14ac:dyDescent="0.25">
      <c r="I5222" s="6"/>
    </row>
    <row r="5223" spans="9:9" ht="15" customHeight="1" x14ac:dyDescent="0.25">
      <c r="I5223" s="6"/>
    </row>
    <row r="5224" spans="9:9" ht="15" customHeight="1" x14ac:dyDescent="0.25">
      <c r="I5224" s="6"/>
    </row>
    <row r="5225" spans="9:9" ht="15" customHeight="1" x14ac:dyDescent="0.25">
      <c r="I5225" s="6"/>
    </row>
    <row r="5226" spans="9:9" ht="15" customHeight="1" x14ac:dyDescent="0.25">
      <c r="I5226" s="6"/>
    </row>
    <row r="5227" spans="9:9" ht="15" customHeight="1" x14ac:dyDescent="0.25">
      <c r="I5227" s="6"/>
    </row>
    <row r="5228" spans="9:9" ht="15" customHeight="1" x14ac:dyDescent="0.25">
      <c r="I5228" s="6"/>
    </row>
    <row r="5229" spans="9:9" ht="15" customHeight="1" x14ac:dyDescent="0.25">
      <c r="I5229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cols>
    <col min="1" max="1" width="10.140625" bestFit="1" customWidth="1"/>
  </cols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 activeCell="B3" sqref="B3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9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9" s="5" customFormat="1" ht="12.75" customHeight="1" x14ac:dyDescent="0.25">
      <c r="A2" s="3" t="s">
        <v>29</v>
      </c>
      <c r="B2" s="3">
        <v>0</v>
      </c>
      <c r="C2" s="3">
        <v>0</v>
      </c>
      <c r="D2" s="3">
        <f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0</v>
      </c>
      <c r="E2" s="3">
        <f t="shared" ref="E2:E30" si="0">C2-D2</f>
        <v>0</v>
      </c>
      <c r="F2" s="17">
        <f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0</v>
      </c>
      <c r="G2" s="3">
        <f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0</v>
      </c>
      <c r="H2" s="4">
        <f t="shared" ref="H2:H30" si="1">IFERROR(C2/B2,-0.000001)</f>
        <v>-9.9999999999999995E-7</v>
      </c>
      <c r="I2" s="27">
        <f>IF(TabResultados3[[#This Row],[Jogos]]&lt;limite1,0,IF(TabResultados3[[#This Row],[Jogos]]&lt;=limite2,0.9+0.1*(TabResultados3[[#This Row],[Jogos]]-limite1)/limite1,1))</f>
        <v>0</v>
      </c>
      <c r="J2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M2" s="15"/>
      <c r="N2" s="15"/>
      <c r="P2" s="5" t="s">
        <v>66</v>
      </c>
      <c r="R2" s="5" t="s">
        <v>67</v>
      </c>
      <c r="S2" s="5">
        <v>20</v>
      </c>
    </row>
    <row r="3" spans="1:19" s="5" customFormat="1" ht="12.75" customHeight="1" x14ac:dyDescent="0.25">
      <c r="A3" s="3" t="s">
        <v>23</v>
      </c>
      <c r="B3" s="3">
        <f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0</v>
      </c>
      <c r="C3" s="3">
        <f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0</v>
      </c>
      <c r="D3" s="3">
        <f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0</v>
      </c>
      <c r="E3" s="3">
        <f t="shared" si="0"/>
        <v>0</v>
      </c>
      <c r="F3" s="17">
        <f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0</v>
      </c>
      <c r="G3" s="3">
        <f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0</v>
      </c>
      <c r="H3" s="4">
        <f t="shared" si="1"/>
        <v>-9.9999999999999995E-7</v>
      </c>
      <c r="I3" s="27">
        <f>IF(TabResultados3[[#This Row],[Jogos]]&lt;limite1,0,IF(TabResultados3[[#This Row],[Jogos]]&lt;=limite2,0.9+0.1*(TabResultados3[[#This Row],[Jogos]]-limite1)/limite1,1))</f>
        <v>0</v>
      </c>
      <c r="J3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L3" s="12" t="s">
        <v>53</v>
      </c>
      <c r="M3" s="14">
        <v>43831</v>
      </c>
      <c r="P3" s="5">
        <v>60</v>
      </c>
      <c r="R3" s="5" t="s">
        <v>68</v>
      </c>
      <c r="S3" s="5">
        <f>limite1+20</f>
        <v>40</v>
      </c>
    </row>
    <row r="4" spans="1:19" s="5" customFormat="1" ht="12.75" customHeight="1" x14ac:dyDescent="0.25">
      <c r="A4" s="3" t="s">
        <v>15</v>
      </c>
      <c r="B4" s="3">
        <f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si="0"/>
        <v>0</v>
      </c>
      <c r="F4" s="17">
        <f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si="1"/>
        <v>-9.9999999999999995E-7</v>
      </c>
      <c r="I4" s="27">
        <f>IF(TabResultados3[[#This Row],[Jogos]]&lt;limite1,0,IF(TabResultados3[[#This Row],[Jogos]]&lt;=limite2,0.9+0.1*(TabResultados3[[#This Row],[Jogos]]-limite1)/limite1,1))</f>
        <v>0</v>
      </c>
      <c r="J4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L4" s="12" t="s">
        <v>54</v>
      </c>
      <c r="M4" s="14">
        <v>43861</v>
      </c>
    </row>
    <row r="5" spans="1:19" s="5" customFormat="1" ht="12.75" customHeight="1" x14ac:dyDescent="0.25">
      <c r="A5" s="3" t="s">
        <v>32</v>
      </c>
      <c r="B5" s="3">
        <f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10</v>
      </c>
      <c r="C5" s="3">
        <f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3</v>
      </c>
      <c r="D5" s="3">
        <f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7</v>
      </c>
      <c r="E5" s="3">
        <f t="shared" si="0"/>
        <v>-4</v>
      </c>
      <c r="F5" s="17">
        <f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</v>
      </c>
      <c r="G5" s="3">
        <f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-9</v>
      </c>
      <c r="H5" s="4">
        <f t="shared" si="1"/>
        <v>0.3</v>
      </c>
      <c r="I5" s="27">
        <f>IF(TabResultados3[[#This Row],[Jogos]]&lt;limite1,0,IF(TabResultados3[[#This Row],[Jogos]]&lt;=limite2,0.9+0.1*(TabResultados3[[#This Row],[Jogos]]-limite1)/limite1,1))</f>
        <v>0</v>
      </c>
      <c r="J5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5" s="28"/>
      <c r="M5" s="29"/>
      <c r="N5" s="29"/>
    </row>
    <row r="6" spans="1:19" s="5" customFormat="1" ht="12.75" customHeight="1" x14ac:dyDescent="0.25">
      <c r="A6" s="3" t="s">
        <v>27</v>
      </c>
      <c r="B6" s="3">
        <f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31</v>
      </c>
      <c r="C6" s="3">
        <f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22</v>
      </c>
      <c r="D6" s="3">
        <f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9</v>
      </c>
      <c r="E6" s="3">
        <f t="shared" si="0"/>
        <v>13</v>
      </c>
      <c r="F6" s="17">
        <f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6</v>
      </c>
      <c r="G6" s="3">
        <f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28</v>
      </c>
      <c r="H6" s="4">
        <f t="shared" si="1"/>
        <v>0.70967741935483875</v>
      </c>
      <c r="I6" s="27">
        <f>IF(TabResultados3[[#This Row],[Jogos]]&lt;limite1,0,IF(TabResultados3[[#This Row],[Jogos]]&lt;=limite2,0.9+0.1*(TabResultados3[[#This Row],[Jogos]]-limite1)/limite1,1))</f>
        <v>0.95500000000000007</v>
      </c>
      <c r="J6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59.183333333333344</v>
      </c>
    </row>
    <row r="7" spans="1:19" s="5" customFormat="1" ht="12.75" customHeight="1" x14ac:dyDescent="0.25">
      <c r="A7" s="3" t="s">
        <v>11</v>
      </c>
      <c r="B7" s="3">
        <f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103</v>
      </c>
      <c r="C7" s="3">
        <f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64</v>
      </c>
      <c r="D7" s="3">
        <f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39</v>
      </c>
      <c r="E7" s="3">
        <f t="shared" si="0"/>
        <v>25</v>
      </c>
      <c r="F7" s="17">
        <f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17</v>
      </c>
      <c r="G7" s="3">
        <f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55</v>
      </c>
      <c r="H7" s="4">
        <f t="shared" si="1"/>
        <v>0.62135922330097082</v>
      </c>
      <c r="I7" s="27">
        <f>IF(TabResultados3[[#This Row],[Jogos]]&lt;limite1,0,IF(TabResultados3[[#This Row],[Jogos]]&lt;=limite2,0.9+0.1*(TabResultados3[[#This Row],[Jogos]]-limite1)/limite1,1))</f>
        <v>1</v>
      </c>
      <c r="J7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62.135922330097081</v>
      </c>
    </row>
    <row r="8" spans="1:19" s="5" customFormat="1" ht="12.75" customHeight="1" x14ac:dyDescent="0.25">
      <c r="A8" s="3" t="s">
        <v>17</v>
      </c>
      <c r="B8" s="3">
        <f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17</v>
      </c>
      <c r="C8" s="3">
        <f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</v>
      </c>
      <c r="D8" s="3">
        <f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</v>
      </c>
      <c r="E8" s="3">
        <f t="shared" si="0"/>
        <v>-3</v>
      </c>
      <c r="F8" s="17">
        <f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5</v>
      </c>
      <c r="G8" s="3">
        <f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</v>
      </c>
      <c r="H8" s="4">
        <f t="shared" si="1"/>
        <v>0.41176470588235292</v>
      </c>
      <c r="I8" s="27">
        <f>IF(TabResultados3[[#This Row],[Jogos]]&lt;limite1,0,IF(TabResultados3[[#This Row],[Jogos]]&lt;=limite2,0.9+0.1*(TabResultados3[[#This Row],[Jogos]]-limite1)/limite1,1))</f>
        <v>0</v>
      </c>
      <c r="J8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9" spans="1:19" s="5" customFormat="1" ht="12.75" customHeight="1" x14ac:dyDescent="0.25">
      <c r="A9" s="3" t="s">
        <v>18</v>
      </c>
      <c r="B9" s="3">
        <f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104</v>
      </c>
      <c r="C9" s="3">
        <f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58</v>
      </c>
      <c r="D9" s="3">
        <f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46</v>
      </c>
      <c r="E9" s="3">
        <f t="shared" si="0"/>
        <v>12</v>
      </c>
      <c r="F9" s="17">
        <f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</v>
      </c>
      <c r="G9" s="3">
        <f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25</v>
      </c>
      <c r="H9" s="4">
        <f t="shared" si="1"/>
        <v>0.55769230769230771</v>
      </c>
      <c r="I9" s="27">
        <f>IF(TabResultados3[[#This Row],[Jogos]]&lt;limite1,0,IF(TabResultados3[[#This Row],[Jogos]]&lt;=limite2,0.9+0.1*(TabResultados3[[#This Row],[Jogos]]-limite1)/limite1,1))</f>
        <v>1</v>
      </c>
      <c r="J9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55.769230769230774</v>
      </c>
      <c r="K9" s="28"/>
      <c r="M9" s="29"/>
    </row>
    <row r="10" spans="1:19" s="5" customFormat="1" ht="12.75" customHeight="1" x14ac:dyDescent="0.25">
      <c r="A10" s="3" t="s">
        <v>16</v>
      </c>
      <c r="B10" s="3">
        <f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si="0"/>
        <v>0</v>
      </c>
      <c r="F10" s="17">
        <f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si="1"/>
        <v>-9.9999999999999995E-7</v>
      </c>
      <c r="I10" s="27">
        <f>IF(TabResultados3[[#This Row],[Jogos]]&lt;limite1,0,IF(TabResultados3[[#This Row],[Jogos]]&lt;=limite2,0.9+0.1*(TabResultados3[[#This Row],[Jogos]]-limite1)/limite1,1))</f>
        <v>0</v>
      </c>
      <c r="J10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10" s="28"/>
      <c r="M10" s="29"/>
    </row>
    <row r="11" spans="1:19" s="5" customFormat="1" ht="12.75" customHeight="1" x14ac:dyDescent="0.25">
      <c r="A11" s="3" t="s">
        <v>9</v>
      </c>
      <c r="B11" s="3">
        <f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55</v>
      </c>
      <c r="C11" s="3">
        <f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27</v>
      </c>
      <c r="D11" s="3">
        <f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28</v>
      </c>
      <c r="E11" s="3">
        <f t="shared" si="0"/>
        <v>-1</v>
      </c>
      <c r="F11" s="17">
        <f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13</v>
      </c>
      <c r="G11" s="3">
        <f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4</v>
      </c>
      <c r="H11" s="4">
        <f t="shared" si="1"/>
        <v>0.49090909090909091</v>
      </c>
      <c r="I11" s="27">
        <f>IF(TabResultados3[[#This Row],[Jogos]]&lt;limite1,0,IF(TabResultados3[[#This Row],[Jogos]]&lt;=limite2,0.9+0.1*(TabResultados3[[#This Row],[Jogos]]-limite1)/limite1,1))</f>
        <v>1</v>
      </c>
      <c r="J11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49.166666666666671</v>
      </c>
    </row>
    <row r="12" spans="1:19" s="5" customFormat="1" ht="12.75" customHeight="1" x14ac:dyDescent="0.25">
      <c r="A12" s="3" t="s">
        <v>41</v>
      </c>
      <c r="B12" s="3">
        <f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61</v>
      </c>
      <c r="C12" s="3">
        <f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19</v>
      </c>
      <c r="D12" s="3">
        <f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42</v>
      </c>
      <c r="E12" s="3">
        <f t="shared" si="0"/>
        <v>-23</v>
      </c>
      <c r="F12" s="17">
        <f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</v>
      </c>
      <c r="G12" s="3">
        <f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-58</v>
      </c>
      <c r="H12" s="4">
        <f t="shared" si="1"/>
        <v>0.31147540983606559</v>
      </c>
      <c r="I12" s="27">
        <f>IF(TabResultados3[[#This Row],[Jogos]]&lt;limite1,0,IF(TabResultados3[[#This Row],[Jogos]]&lt;=limite2,0.9+0.1*(TabResultados3[[#This Row],[Jogos]]-limite1)/limite1,1))</f>
        <v>1</v>
      </c>
      <c r="J12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31.147540983606557</v>
      </c>
      <c r="K12" s="28"/>
      <c r="M12" s="29"/>
    </row>
    <row r="13" spans="1:19" s="5" customFormat="1" ht="12.75" customHeight="1" x14ac:dyDescent="0.25">
      <c r="A13" s="3" t="s">
        <v>26</v>
      </c>
      <c r="B13" s="3">
        <f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0</v>
      </c>
      <c r="C13" s="3">
        <f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0</v>
      </c>
      <c r="D13" s="3">
        <f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0</v>
      </c>
      <c r="E13" s="3">
        <f t="shared" si="0"/>
        <v>0</v>
      </c>
      <c r="F13" s="17">
        <f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0</v>
      </c>
      <c r="H13" s="4">
        <f t="shared" si="1"/>
        <v>-9.9999999999999995E-7</v>
      </c>
      <c r="I13" s="27">
        <f>IF(TabResultados3[[#This Row],[Jogos]]&lt;limite1,0,IF(TabResultados3[[#This Row],[Jogos]]&lt;=limite2,0.9+0.1*(TabResultados3[[#This Row],[Jogos]]-limite1)/limite1,1))</f>
        <v>0</v>
      </c>
      <c r="J13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14" spans="1:19" s="5" customFormat="1" ht="12.75" customHeight="1" x14ac:dyDescent="0.25">
      <c r="A14" s="3" t="s">
        <v>10</v>
      </c>
      <c r="B14" s="3">
        <f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42</v>
      </c>
      <c r="C14" s="3">
        <f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15</v>
      </c>
      <c r="D14" s="3">
        <f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27</v>
      </c>
      <c r="E14" s="3">
        <f t="shared" si="0"/>
        <v>-12</v>
      </c>
      <c r="F14" s="17">
        <f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2</v>
      </c>
      <c r="G14" s="3">
        <f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-34</v>
      </c>
      <c r="H14" s="4">
        <f t="shared" si="1"/>
        <v>0.35714285714285715</v>
      </c>
      <c r="I14" s="27">
        <f>IF(TabResultados3[[#This Row],[Jogos]]&lt;limite1,0,IF(TabResultados3[[#This Row],[Jogos]]&lt;=limite2,0.9+0.1*(TabResultados3[[#This Row],[Jogos]]-limite1)/limite1,1))</f>
        <v>1</v>
      </c>
      <c r="J14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40</v>
      </c>
    </row>
    <row r="15" spans="1:19" s="5" customFormat="1" ht="12.75" customHeight="1" x14ac:dyDescent="0.25">
      <c r="A15" s="3" t="s">
        <v>14</v>
      </c>
      <c r="B15" s="3">
        <f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si="0"/>
        <v>0</v>
      </c>
      <c r="F15" s="17">
        <f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si="1"/>
        <v>-9.9999999999999995E-7</v>
      </c>
      <c r="I15" s="27">
        <f>IF(TabResultados3[[#This Row],[Jogos]]&lt;limite1,0,IF(TabResultados3[[#This Row],[Jogos]]&lt;=limite2,0.9+0.1*(TabResultados3[[#This Row],[Jogos]]-limite1)/limite1,1))</f>
        <v>0</v>
      </c>
      <c r="J15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16" spans="1:19" s="5" customFormat="1" ht="12.75" customHeight="1" x14ac:dyDescent="0.25">
      <c r="A16" s="3" t="s">
        <v>28</v>
      </c>
      <c r="B16" s="3">
        <f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si="0"/>
        <v>0</v>
      </c>
      <c r="F16" s="17">
        <f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si="1"/>
        <v>-9.9999999999999995E-7</v>
      </c>
      <c r="I16" s="27">
        <f>IF(TabResultados3[[#This Row],[Jogos]]&lt;limite1,0,IF(TabResultados3[[#This Row],[Jogos]]&lt;=limite2,0.9+0.1*(TabResultados3[[#This Row],[Jogos]]-limite1)/limite1,1))</f>
        <v>0</v>
      </c>
      <c r="J16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17" spans="1:15" s="5" customFormat="1" ht="12.75" customHeight="1" x14ac:dyDescent="0.25">
      <c r="A17" s="3" t="s">
        <v>12</v>
      </c>
      <c r="B17" s="3">
        <f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19</v>
      </c>
      <c r="C17" s="3">
        <f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</v>
      </c>
      <c r="D17" s="3">
        <f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</v>
      </c>
      <c r="E17" s="3">
        <f t="shared" si="0"/>
        <v>-3</v>
      </c>
      <c r="F17" s="17">
        <f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</v>
      </c>
      <c r="G17" s="3">
        <f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-4</v>
      </c>
      <c r="H17" s="4">
        <f t="shared" si="1"/>
        <v>0.42105263157894735</v>
      </c>
      <c r="I17" s="27">
        <f>IF(TabResultados3[[#This Row],[Jogos]]&lt;limite1,0,IF(TabResultados3[[#This Row],[Jogos]]&lt;=limite2,0.9+0.1*(TabResultados3[[#This Row],[Jogos]]-limite1)/limite1,1))</f>
        <v>0</v>
      </c>
      <c r="J17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18" spans="1:15" s="5" customFormat="1" ht="12.75" customHeight="1" x14ac:dyDescent="0.25">
      <c r="A18" s="3" t="s">
        <v>13</v>
      </c>
      <c r="B18" s="3">
        <f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34</v>
      </c>
      <c r="C18" s="3">
        <f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15</v>
      </c>
      <c r="D18" s="3">
        <f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19</v>
      </c>
      <c r="E18" s="3">
        <f t="shared" si="0"/>
        <v>-4</v>
      </c>
      <c r="F18" s="17">
        <f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4</v>
      </c>
      <c r="G18" s="3">
        <f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-12</v>
      </c>
      <c r="H18" s="4">
        <f t="shared" si="1"/>
        <v>0.44117647058823528</v>
      </c>
      <c r="I18" s="27">
        <f>IF(TabResultados3[[#This Row],[Jogos]]&lt;limite1,0,IF(TabResultados3[[#This Row],[Jogos]]&lt;=limite2,0.9+0.1*(TabResultados3[[#This Row],[Jogos]]-limite1)/limite1,1))</f>
        <v>0.97</v>
      </c>
      <c r="J18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45.916666666666664</v>
      </c>
    </row>
    <row r="19" spans="1:15" s="5" customFormat="1" ht="12.75" customHeight="1" x14ac:dyDescent="0.25">
      <c r="A19" s="3" t="s">
        <v>38</v>
      </c>
      <c r="B19" s="3">
        <f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0</v>
      </c>
      <c r="C19" s="3">
        <f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0</v>
      </c>
      <c r="E19" s="3">
        <f t="shared" si="0"/>
        <v>0</v>
      </c>
      <c r="F19" s="17">
        <f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0</v>
      </c>
      <c r="H19" s="4">
        <f t="shared" si="1"/>
        <v>-9.9999999999999995E-7</v>
      </c>
      <c r="I19" s="27">
        <f>IF(TabResultados3[[#This Row],[Jogos]]&lt;limite1,0,IF(TabResultados3[[#This Row],[Jogos]]&lt;=limite2,0.9+0.1*(TabResultados3[[#This Row],[Jogos]]-limite1)/limite1,1))</f>
        <v>0</v>
      </c>
      <c r="J19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20" spans="1:15" s="5" customFormat="1" ht="12.75" customHeight="1" x14ac:dyDescent="0.25">
      <c r="A20" s="3" t="s">
        <v>24</v>
      </c>
      <c r="B20" s="3">
        <f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si="0"/>
        <v>0</v>
      </c>
      <c r="F20" s="17">
        <f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si="1"/>
        <v>-9.9999999999999995E-7</v>
      </c>
      <c r="I20" s="27">
        <f>IF(TabResultados3[[#This Row],[Jogos]]&lt;limite1,0,IF(TabResultados3[[#This Row],[Jogos]]&lt;=limite2,0.9+0.1*(TabResultados3[[#This Row],[Jogos]]-limite1)/limite1,1))</f>
        <v>0</v>
      </c>
      <c r="J20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21" spans="1:15" s="8" customFormat="1" ht="12.75" customHeight="1" x14ac:dyDescent="0.25">
      <c r="A21" s="3" t="s">
        <v>25</v>
      </c>
      <c r="B21" s="3">
        <f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si="0"/>
        <v>0</v>
      </c>
      <c r="F21" s="17">
        <f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si="1"/>
        <v>-9.9999999999999995E-7</v>
      </c>
      <c r="I21" s="27">
        <f>IF(TabResultados3[[#This Row],[Jogos]]&lt;limite1,0,IF(TabResultados3[[#This Row],[Jogos]]&lt;=limite2,0.9+0.1*(TabResultados3[[#This Row],[Jogos]]-limite1)/limite1,1))</f>
        <v>0</v>
      </c>
      <c r="J21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37</v>
      </c>
      <c r="B22" s="3">
        <f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si="0"/>
        <v>0</v>
      </c>
      <c r="F22" s="17">
        <f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si="1"/>
        <v>-9.9999999999999995E-7</v>
      </c>
      <c r="I22" s="27">
        <f>IF(TabResultados3[[#This Row],[Jogos]]&lt;limite1,0,IF(TabResultados3[[#This Row],[Jogos]]&lt;=limite2,0.9+0.1*(TabResultados3[[#This Row],[Jogos]]-limite1)/limite1,1))</f>
        <v>0</v>
      </c>
      <c r="J22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si="0"/>
        <v>0</v>
      </c>
      <c r="F23" s="17">
        <f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si="1"/>
        <v>-9.9999999999999995E-7</v>
      </c>
      <c r="I23" s="27">
        <f>IF(TabResultados3[[#This Row],[Jogos]]&lt;limite1,0,IF(TabResultados3[[#This Row],[Jogos]]&lt;=limite2,0.9+0.1*(TabResultados3[[#This Row],[Jogos]]-limite1)/limite1,1))</f>
        <v>0</v>
      </c>
      <c r="J23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21</v>
      </c>
      <c r="B24" s="3">
        <f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si="0"/>
        <v>0</v>
      </c>
      <c r="F24" s="17">
        <f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si="1"/>
        <v>-9.9999999999999995E-7</v>
      </c>
      <c r="I24" s="27">
        <f>IF(TabResultados3[[#This Row],[Jogos]]&lt;limite1,0,IF(TabResultados3[[#This Row],[Jogos]]&lt;=limite2,0.9+0.1*(TabResultados3[[#This Row],[Jogos]]-limite1)/limite1,1))</f>
        <v>0</v>
      </c>
      <c r="J24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33</v>
      </c>
      <c r="B25" s="3">
        <f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si="0"/>
        <v>0</v>
      </c>
      <c r="F25" s="17">
        <f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si="1"/>
        <v>-9.9999999999999995E-7</v>
      </c>
      <c r="I25" s="27">
        <f>IF(TabResultados3[[#This Row],[Jogos]]&lt;limite1,0,IF(TabResultados3[[#This Row],[Jogos]]&lt;=limite2,0.9+0.1*(TabResultados3[[#This Row],[Jogos]]-limite1)/limite1,1))</f>
        <v>0</v>
      </c>
      <c r="J25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30</v>
      </c>
      <c r="B26" s="3">
        <f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si="0"/>
        <v>0</v>
      </c>
      <c r="F26" s="17">
        <f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si="1"/>
        <v>-9.9999999999999995E-7</v>
      </c>
      <c r="I26" s="27">
        <f>IF(TabResultados3[[#This Row],[Jogos]]&lt;limite1,0,IF(TabResultados3[[#This Row],[Jogos]]&lt;=limite2,0.9+0.1*(TabResultados3[[#This Row],[Jogos]]-limite1)/limite1,1))</f>
        <v>0</v>
      </c>
      <c r="J26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22</v>
      </c>
      <c r="B27" s="3">
        <f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si="0"/>
        <v>0</v>
      </c>
      <c r="F27" s="17">
        <f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si="1"/>
        <v>-9.9999999999999995E-7</v>
      </c>
      <c r="I27" s="27">
        <f>IF(TabResultados3[[#This Row],[Jogos]]&lt;limite1,0,IF(TabResultados3[[#This Row],[Jogos]]&lt;=limite2,0.9+0.1*(TabResultados3[[#This Row],[Jogos]]-limite1)/limite1,1))</f>
        <v>0</v>
      </c>
      <c r="J27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31</v>
      </c>
      <c r="B28" s="3">
        <f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si="0"/>
        <v>0</v>
      </c>
      <c r="F28" s="17">
        <f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si="1"/>
        <v>-9.9999999999999995E-7</v>
      </c>
      <c r="I28" s="27">
        <f>IF(TabResultados3[[#This Row],[Jogos]]&lt;limite1,0,IF(TabResultados3[[#This Row],[Jogos]]&lt;=limite2,0.9+0.1*(TabResultados3[[#This Row],[Jogos]]-limite1)/limite1,1))</f>
        <v>0</v>
      </c>
      <c r="J28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19</v>
      </c>
      <c r="B29" s="3">
        <f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0</v>
      </c>
      <c r="C29" s="3">
        <f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0</v>
      </c>
      <c r="E29" s="3">
        <f t="shared" si="0"/>
        <v>0</v>
      </c>
      <c r="F29" s="17">
        <f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0</v>
      </c>
      <c r="H29" s="4">
        <f t="shared" si="1"/>
        <v>-9.9999999999999995E-7</v>
      </c>
      <c r="I29" s="27">
        <f>IF(TabResultados3[[#This Row],[Jogos]]&lt;limite1,0,IF(TabResultados3[[#This Row],[Jogos]]&lt;=limite2,0.9+0.1*(TabResultados3[[#This Row],[Jogos]]-limite1)/limite1,1))</f>
        <v>0</v>
      </c>
      <c r="J29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36</v>
      </c>
      <c r="B30" s="3">
        <f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0</v>
      </c>
      <c r="C30" s="3">
        <f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0</v>
      </c>
      <c r="E30" s="3">
        <f t="shared" si="0"/>
        <v>0</v>
      </c>
      <c r="F30" s="17">
        <f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0</v>
      </c>
      <c r="H30" s="4">
        <f t="shared" si="1"/>
        <v>-9.9999999999999995E-7</v>
      </c>
      <c r="I30" s="27">
        <f>IF(TabResultados3[[#This Row],[Jogos]]&lt;limite1,0,IF(TabResultados3[[#This Row],[Jogos]]&lt;=limite2,0.9+0.1*(TabResultados3[[#This Row],[Jogos]]-limite1)/limite1,1))</f>
        <v>0</v>
      </c>
      <c r="J30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Historico</vt:lpstr>
      <vt:lpstr>Planilha2</vt:lpstr>
      <vt:lpstr>Desempenho</vt:lpstr>
      <vt:lpstr>limite</vt:lpstr>
      <vt:lpstr>limite1</vt:lpstr>
      <vt:lpstr>limite2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2020-01-31T18:02:31Z</dcterms:modified>
  <cp:category/>
  <cp:contentStatus/>
</cp:coreProperties>
</file>
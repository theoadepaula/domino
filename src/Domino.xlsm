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5024A892-C67B-44B4-B5C6-6A2D01CB5322}" xr6:coauthVersionLast="43" xr6:coauthVersionMax="43" xr10:uidLastSave="{00000000-0000-0000-0000-000000000000}"/>
  <bookViews>
    <workbookView xWindow="1080" yWindow="1080" windowWidth="21600" windowHeight="11385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237" i="3" l="1"/>
  <c r="I4238" i="3"/>
  <c r="I4239" i="3"/>
  <c r="I4240" i="3"/>
  <c r="I4241" i="3"/>
  <c r="I4242" i="3"/>
  <c r="I4243" i="3"/>
  <c r="I4244" i="3"/>
  <c r="I4245" i="3"/>
  <c r="I4246" i="3"/>
  <c r="I4247" i="3"/>
  <c r="I4248" i="3"/>
  <c r="I4249" i="3"/>
  <c r="I4250" i="3"/>
  <c r="I4251" i="3"/>
  <c r="I4225" i="3" l="1"/>
  <c r="I4226" i="3"/>
  <c r="I4227" i="3"/>
  <c r="I4228" i="3"/>
  <c r="I4229" i="3"/>
  <c r="I4230" i="3"/>
  <c r="I4231" i="3"/>
  <c r="I4232" i="3"/>
  <c r="I4233" i="3"/>
  <c r="I4234" i="3"/>
  <c r="I4235" i="3"/>
  <c r="I4236" i="3"/>
  <c r="I4215" i="3" l="1"/>
  <c r="I4216" i="3"/>
  <c r="I4217" i="3"/>
  <c r="I4218" i="3"/>
  <c r="I4219" i="3"/>
  <c r="I4220" i="3"/>
  <c r="I4221" i="3"/>
  <c r="I4222" i="3"/>
  <c r="I4223" i="3"/>
  <c r="I4224" i="3"/>
  <c r="I4204" i="3" l="1"/>
  <c r="I4205" i="3"/>
  <c r="I4206" i="3"/>
  <c r="I4207" i="3"/>
  <c r="I4208" i="3"/>
  <c r="I4209" i="3"/>
  <c r="I4210" i="3"/>
  <c r="I4211" i="3"/>
  <c r="I4212" i="3"/>
  <c r="I4213" i="3"/>
  <c r="I4214" i="3"/>
  <c r="I4192" i="3" l="1"/>
  <c r="I4193" i="3"/>
  <c r="I4194" i="3"/>
  <c r="I4195" i="3"/>
  <c r="I4196" i="3"/>
  <c r="I4197" i="3"/>
  <c r="I4198" i="3"/>
  <c r="I4199" i="3"/>
  <c r="I4200" i="3"/>
  <c r="I4201" i="3"/>
  <c r="I4202" i="3"/>
  <c r="I4203" i="3"/>
  <c r="I4180" i="3" l="1"/>
  <c r="I4181" i="3"/>
  <c r="I4182" i="3"/>
  <c r="I4183" i="3"/>
  <c r="I4184" i="3"/>
  <c r="I4185" i="3"/>
  <c r="I4186" i="3"/>
  <c r="I4187" i="3"/>
  <c r="I4188" i="3"/>
  <c r="I4189" i="3"/>
  <c r="I4190" i="3"/>
  <c r="I4191" i="3"/>
  <c r="I4170" i="3" l="1"/>
  <c r="I4171" i="3"/>
  <c r="I4172" i="3"/>
  <c r="I4173" i="3"/>
  <c r="I4174" i="3"/>
  <c r="I4175" i="3"/>
  <c r="I4176" i="3"/>
  <c r="I4177" i="3"/>
  <c r="I4178" i="3"/>
  <c r="I4179" i="3"/>
  <c r="I4165" i="3" l="1"/>
  <c r="I4166" i="3"/>
  <c r="I4167" i="3"/>
  <c r="I4168" i="3"/>
  <c r="I4169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32" i="3" l="1"/>
  <c r="I4133" i="3"/>
  <c r="I4134" i="3"/>
  <c r="I4135" i="3"/>
  <c r="I4136" i="3"/>
  <c r="I4137" i="3"/>
  <c r="I4138" i="3"/>
  <c r="I4139" i="3"/>
  <c r="I4140" i="3"/>
  <c r="I4141" i="3"/>
  <c r="I4142" i="3"/>
  <c r="I4121" i="3" l="1"/>
  <c r="I4122" i="3"/>
  <c r="I4123" i="3"/>
  <c r="I4124" i="3"/>
  <c r="I4125" i="3"/>
  <c r="I4126" i="3"/>
  <c r="I4127" i="3"/>
  <c r="I4128" i="3"/>
  <c r="I4129" i="3"/>
  <c r="I4130" i="3"/>
  <c r="I4131" i="3"/>
  <c r="I4114" i="3" l="1"/>
  <c r="I4115" i="3"/>
  <c r="I4116" i="3"/>
  <c r="I4117" i="3"/>
  <c r="I4118" i="3"/>
  <c r="I4119" i="3"/>
  <c r="I4120" i="3"/>
  <c r="I4105" i="3" l="1"/>
  <c r="I4106" i="3"/>
  <c r="I4107" i="3"/>
  <c r="I4108" i="3"/>
  <c r="I4109" i="3"/>
  <c r="I4110" i="3"/>
  <c r="I4111" i="3"/>
  <c r="I4112" i="3"/>
  <c r="I4113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073" i="3" l="1"/>
  <c r="I4074" i="3"/>
  <c r="I4075" i="3"/>
  <c r="I4076" i="3"/>
  <c r="I4077" i="3"/>
  <c r="I4078" i="3"/>
  <c r="I4079" i="3"/>
  <c r="I4080" i="3"/>
  <c r="I4081" i="3"/>
  <c r="I4082" i="3"/>
  <c r="I4057" i="3" l="1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40" i="3" l="1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31" i="3" l="1"/>
  <c r="I4032" i="3"/>
  <c r="I4033" i="3"/>
  <c r="I4034" i="3"/>
  <c r="I4035" i="3"/>
  <c r="I4036" i="3"/>
  <c r="I4037" i="3"/>
  <c r="I4038" i="3"/>
  <c r="I4039" i="3"/>
  <c r="I4003" i="3" l="1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3991" i="3" l="1"/>
  <c r="I3992" i="3"/>
  <c r="I3993" i="3"/>
  <c r="I3994" i="3"/>
  <c r="I3995" i="3"/>
  <c r="I3996" i="3"/>
  <c r="I3997" i="3"/>
  <c r="I3998" i="3"/>
  <c r="I3999" i="3"/>
  <c r="I4000" i="3"/>
  <c r="I4001" i="3"/>
  <c r="I4002" i="3"/>
  <c r="I3973" i="3" l="1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69" i="3" l="1"/>
  <c r="I3970" i="3"/>
  <c r="I3971" i="3"/>
  <c r="I3972" i="3"/>
  <c r="I3958" i="3"/>
  <c r="I3959" i="3"/>
  <c r="I3960" i="3"/>
  <c r="I3961" i="3"/>
  <c r="I3962" i="3"/>
  <c r="I3963" i="3"/>
  <c r="I3964" i="3"/>
  <c r="I3965" i="3"/>
  <c r="I3966" i="3"/>
  <c r="I3967" i="3"/>
  <c r="I3968" i="3"/>
  <c r="I3947" i="3" l="1"/>
  <c r="I3948" i="3"/>
  <c r="I3949" i="3"/>
  <c r="I3950" i="3"/>
  <c r="I3951" i="3"/>
  <c r="I3952" i="3"/>
  <c r="I3953" i="3"/>
  <c r="I3954" i="3"/>
  <c r="I3955" i="3"/>
  <c r="I3956" i="3"/>
  <c r="I3957" i="3"/>
  <c r="I3932" i="3" l="1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29" i="3" l="1"/>
  <c r="I3930" i="3"/>
  <c r="I3931" i="3"/>
  <c r="I3918" i="3" l="1"/>
  <c r="I3919" i="3"/>
  <c r="I3920" i="3"/>
  <c r="I3921" i="3"/>
  <c r="I3922" i="3"/>
  <c r="I3923" i="3"/>
  <c r="I3924" i="3"/>
  <c r="I3925" i="3"/>
  <c r="I3926" i="3"/>
  <c r="I3927" i="3"/>
  <c r="I3928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<sst xmlns="http://schemas.openxmlformats.org/spreadsheetml/2006/main" count="17050" uniqueCount="63">
  <si>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</si>
  <si>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</si>
  <si>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</si>
  <si>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</si>
  <si>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</si>
  <si>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</si>
  <si>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</si>
  <si>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</si>
  <si>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</si>
  <si>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</si>
  <si>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</si>
  <si>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</si>
  <si>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</si>
  <si>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</si>
  <si>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</si>
  <si>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</si>
  <si>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</si>
  <si>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</si>
  <si>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</si>
  <si>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</si>
  <si>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</si>
  <si>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</si>
  <si>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</si>
  <si>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</si>
  <si>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</si>
  <si>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</si>
  <si>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</si>
  <si>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</si>
  <si>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</si>
  <si>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</si>
  <si>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</si>
  <si>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</si>
  <si>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</si>
  <si>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</si>
  <si>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</si>
  <si>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</si>
  <si>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</si>
  <si>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</si>
  <si>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</si>
  <si>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</si>
  <si>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</si>
  <si>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</si>
  <si>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</si>
  <si>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</si>
  <si>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</si>
  <si>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</si>
  <si>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</si>
  <si>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</si>
  <si>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</si>
  <si>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</si>
  <si>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</si>
  <si>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</si>
  <si>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</si>
  <si>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</si>
  <si>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</si>
  <si>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</si>
  <si>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</si>
  <si>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</si>
  <si>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</si>
  <si>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</si>
  <si>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</si>
  <si>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</si>
  <si>
    <t>Carlos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</si>
</sst>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425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4251"/>
  <sheetViews>
    <sheetView tabSelected="1" zoomScaleNormal="100" workbookViewId="0">
      <pane ySplit="1" topLeftCell="A4224" activePane="bottomLeft" state="frozenSplit"/>
      <selection activeCell="D1" sqref="D1 D1"/>
      <selection pane="bottomLeft" activeCell="A4251" sqref="A425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A3894" s="7">
        <v>3893</v>
      </c>
      <c r="B3894" s="1">
        <v>43655</v>
      </c>
      <c r="C3894" s="6" t="s">
        <v>12</v>
      </c>
      <c r="D3894" s="6" t="s">
        <v>18</v>
      </c>
      <c r="E3894" s="6">
        <v>4</v>
      </c>
      <c r="F3894" s="6">
        <v>2</v>
      </c>
      <c r="G3894" s="6" t="s">
        <v>11</v>
      </c>
      <c r="H3894" s="6" t="s">
        <v>17</v>
      </c>
      <c r="I3894" s="6">
        <f>TabJogos[[#This Row],[PontosTime1]]-TabJogos[[#This Row],[PontosTime2]]</f>
        <v>2</v>
      </c>
    </row>
    <row r="3895" spans="1:9" ht="15" customHeight="1" x14ac:dyDescent="0.25">
      <c r="A3895" s="7">
        <v>3894</v>
      </c>
      <c r="B3895" s="1">
        <v>43655</v>
      </c>
      <c r="C3895" s="6" t="s">
        <v>17</v>
      </c>
      <c r="D3895" s="6" t="s">
        <v>18</v>
      </c>
      <c r="E3895" s="6">
        <v>3</v>
      </c>
      <c r="F3895" s="6">
        <v>1</v>
      </c>
      <c r="G3895" s="6" t="s">
        <v>12</v>
      </c>
      <c r="H3895" s="6" t="s">
        <v>11</v>
      </c>
      <c r="I3895" s="6">
        <f>TabJogos[[#This Row],[PontosTime1]]-TabJogos[[#This Row],[PontosTime2]]</f>
        <v>2</v>
      </c>
    </row>
    <row r="3896" spans="1:9" ht="15" customHeight="1" x14ac:dyDescent="0.25">
      <c r="A3896" s="7">
        <v>3895</v>
      </c>
      <c r="B3896" s="1">
        <v>43655</v>
      </c>
      <c r="C3896" s="6" t="s">
        <v>11</v>
      </c>
      <c r="D3896" s="6" t="s">
        <v>18</v>
      </c>
      <c r="E3896" s="6">
        <v>1</v>
      </c>
      <c r="F3896" s="6">
        <v>3</v>
      </c>
      <c r="G3896" s="6" t="s">
        <v>12</v>
      </c>
      <c r="H3896" s="6" t="s">
        <v>17</v>
      </c>
      <c r="I3896" s="6">
        <f>TabJogos[[#This Row],[PontosTime1]]-TabJogos[[#This Row],[PontosTime2]]</f>
        <v>-2</v>
      </c>
    </row>
    <row r="3897" spans="1:9" ht="15" customHeight="1" x14ac:dyDescent="0.25">
      <c r="A3897" s="7">
        <v>3896</v>
      </c>
      <c r="B3897" s="1">
        <v>43655</v>
      </c>
      <c r="C3897" s="6" t="s">
        <v>17</v>
      </c>
      <c r="D3897" s="6" t="s">
        <v>18</v>
      </c>
      <c r="E3897" s="6">
        <v>3</v>
      </c>
      <c r="F3897" s="6">
        <v>0</v>
      </c>
      <c r="G3897" s="6" t="s">
        <v>11</v>
      </c>
      <c r="H3897" s="6" t="s">
        <v>12</v>
      </c>
      <c r="I3897" s="6">
        <f>TabJogos[[#This Row],[PontosTime1]]-TabJogos[[#This Row],[PontosTime2]]</f>
        <v>3</v>
      </c>
    </row>
    <row r="3898" spans="1:9" ht="15" customHeight="1" x14ac:dyDescent="0.25">
      <c r="A3898" s="7">
        <v>3897</v>
      </c>
      <c r="B3898" s="1">
        <v>43655</v>
      </c>
      <c r="C3898" s="6" t="s">
        <v>17</v>
      </c>
      <c r="D3898" s="6" t="s">
        <v>11</v>
      </c>
      <c r="E3898" s="6">
        <v>3</v>
      </c>
      <c r="F3898" s="6">
        <v>0</v>
      </c>
      <c r="G3898" s="6" t="s">
        <v>12</v>
      </c>
      <c r="H3898" s="6" t="s">
        <v>18</v>
      </c>
      <c r="I3898" s="6">
        <f>TabJogos[[#This Row],[PontosTime1]]-TabJogos[[#This Row],[PontosTime2]]</f>
        <v>3</v>
      </c>
    </row>
    <row r="3899" spans="1:9" ht="15" customHeight="1" x14ac:dyDescent="0.25">
      <c r="A3899" s="7">
        <v>3898</v>
      </c>
      <c r="B3899" s="1">
        <v>43655</v>
      </c>
      <c r="C3899" s="6" t="s">
        <v>12</v>
      </c>
      <c r="D3899" s="6" t="s">
        <v>17</v>
      </c>
      <c r="E3899" s="6">
        <v>3</v>
      </c>
      <c r="F3899" s="6">
        <v>1</v>
      </c>
      <c r="G3899" s="6" t="s">
        <v>11</v>
      </c>
      <c r="H3899" s="6" t="s">
        <v>18</v>
      </c>
      <c r="I3899" s="6">
        <f>TabJogos[[#This Row],[PontosTime1]]-TabJogos[[#This Row],[PontosTime2]]</f>
        <v>2</v>
      </c>
    </row>
    <row r="3900" spans="1:9" ht="15" customHeight="1" x14ac:dyDescent="0.25">
      <c r="A3900" s="7">
        <v>3899</v>
      </c>
      <c r="B3900" s="1">
        <v>43657</v>
      </c>
      <c r="C3900" s="6" t="s">
        <v>11</v>
      </c>
      <c r="D3900" s="6" t="s">
        <v>17</v>
      </c>
      <c r="E3900" s="6">
        <v>3</v>
      </c>
      <c r="F3900" s="6">
        <v>0</v>
      </c>
      <c r="G3900" s="6" t="s">
        <v>12</v>
      </c>
      <c r="H3900" s="6" t="s">
        <v>18</v>
      </c>
      <c r="I3900" s="6">
        <f>TabJogos[[#This Row],[PontosTime1]]-TabJogos[[#This Row],[PontosTime2]]</f>
        <v>3</v>
      </c>
    </row>
    <row r="3901" spans="1:9" ht="15" customHeight="1" x14ac:dyDescent="0.25">
      <c r="A3901" s="7">
        <v>3900</v>
      </c>
      <c r="B3901" s="1">
        <v>43657</v>
      </c>
      <c r="C3901" s="6" t="s">
        <v>11</v>
      </c>
      <c r="D3901" s="6" t="s">
        <v>18</v>
      </c>
      <c r="E3901" s="6">
        <v>3</v>
      </c>
      <c r="F3901" s="6">
        <v>1</v>
      </c>
      <c r="G3901" s="6" t="s">
        <v>12</v>
      </c>
      <c r="H3901" s="6" t="s">
        <v>17</v>
      </c>
      <c r="I3901" s="6">
        <f>TabJogos[[#This Row],[PontosTime1]]-TabJogos[[#This Row],[PontosTime2]]</f>
        <v>2</v>
      </c>
    </row>
    <row r="3902" spans="1:9" ht="15" customHeight="1" x14ac:dyDescent="0.25">
      <c r="A3902" s="7">
        <v>3901</v>
      </c>
      <c r="B3902" s="1">
        <v>43657</v>
      </c>
      <c r="C3902" s="6" t="s">
        <v>12</v>
      </c>
      <c r="D3902" s="6" t="s">
        <v>11</v>
      </c>
      <c r="E3902" s="6">
        <v>1</v>
      </c>
      <c r="F3902" s="6">
        <v>4</v>
      </c>
      <c r="G3902" s="6" t="s">
        <v>17</v>
      </c>
      <c r="H3902" s="6" t="s">
        <v>18</v>
      </c>
      <c r="I3902" s="6">
        <f>TabJogos[[#This Row],[PontosTime1]]-TabJogos[[#This Row],[PontosTime2]]</f>
        <v>-3</v>
      </c>
    </row>
    <row r="3903" spans="1:9" ht="15" customHeight="1" x14ac:dyDescent="0.25">
      <c r="A3903" s="7">
        <v>3902</v>
      </c>
      <c r="B3903" s="1">
        <v>43657</v>
      </c>
      <c r="C3903" s="6" t="s">
        <v>17</v>
      </c>
      <c r="D3903" s="6" t="s">
        <v>11</v>
      </c>
      <c r="E3903" s="6">
        <v>3</v>
      </c>
      <c r="F3903" s="6">
        <v>2</v>
      </c>
      <c r="G3903" s="6" t="s">
        <v>18</v>
      </c>
      <c r="H3903" s="6" t="s">
        <v>62</v>
      </c>
      <c r="I3903" s="6">
        <f>TabJogos[[#This Row],[PontosTime1]]-TabJogos[[#This Row],[PontosTime2]]</f>
        <v>1</v>
      </c>
    </row>
    <row r="3904" spans="1:9" ht="15" customHeight="1" x14ac:dyDescent="0.25">
      <c r="A3904" s="7">
        <v>3903</v>
      </c>
      <c r="B3904" s="1">
        <v>43657</v>
      </c>
      <c r="C3904" s="6" t="s">
        <v>17</v>
      </c>
      <c r="D3904" s="6" t="s">
        <v>62</v>
      </c>
      <c r="E3904" s="6">
        <v>3</v>
      </c>
      <c r="F3904" s="6">
        <v>2</v>
      </c>
      <c r="G3904" s="6" t="s">
        <v>11</v>
      </c>
      <c r="H3904" s="6" t="s">
        <v>18</v>
      </c>
      <c r="I3904" s="6">
        <f>TabJogos[[#This Row],[PontosTime1]]-TabJogos[[#This Row],[PontosTime2]]</f>
        <v>1</v>
      </c>
    </row>
    <row r="3905" spans="1:9" ht="15" customHeight="1" x14ac:dyDescent="0.25">
      <c r="A3905" s="7">
        <v>3904</v>
      </c>
      <c r="B3905" s="1">
        <v>43657</v>
      </c>
      <c r="C3905" s="6" t="s">
        <v>17</v>
      </c>
      <c r="D3905" s="6" t="s">
        <v>18</v>
      </c>
      <c r="E3905" s="6">
        <v>0</v>
      </c>
      <c r="F3905" s="6">
        <v>3</v>
      </c>
      <c r="G3905" s="6" t="s">
        <v>11</v>
      </c>
      <c r="H3905" s="6" t="s">
        <v>62</v>
      </c>
      <c r="I3905" s="6">
        <f>TabJogos[[#This Row],[PontosTime1]]-TabJogos[[#This Row],[PontosTime2]]</f>
        <v>-3</v>
      </c>
    </row>
    <row r="3906" spans="1:9" ht="15" customHeight="1" x14ac:dyDescent="0.25">
      <c r="A3906" s="7">
        <v>3905</v>
      </c>
      <c r="B3906" s="1">
        <v>43657</v>
      </c>
      <c r="C3906" s="6" t="s">
        <v>18</v>
      </c>
      <c r="D3906" s="6" t="s">
        <v>62</v>
      </c>
      <c r="E3906" s="6">
        <v>3</v>
      </c>
      <c r="F3906" s="6">
        <v>0</v>
      </c>
      <c r="G3906" s="6" t="s">
        <v>17</v>
      </c>
      <c r="H3906" s="6" t="s">
        <v>11</v>
      </c>
      <c r="I3906" s="6">
        <f>TabJogos[[#This Row],[PontosTime1]]-TabJogos[[#This Row],[PontosTime2]]</f>
        <v>3</v>
      </c>
    </row>
    <row r="3907" spans="1:9" ht="15" customHeight="1" x14ac:dyDescent="0.25">
      <c r="A3907" s="7">
        <v>3906</v>
      </c>
      <c r="B3907" s="1">
        <v>43657</v>
      </c>
      <c r="C3907" s="6" t="s">
        <v>17</v>
      </c>
      <c r="D3907" s="6" t="s">
        <v>62</v>
      </c>
      <c r="E3907" s="6">
        <v>4</v>
      </c>
      <c r="F3907" s="6">
        <v>2</v>
      </c>
      <c r="G3907" s="6" t="s">
        <v>11</v>
      </c>
      <c r="H3907" s="6" t="s">
        <v>18</v>
      </c>
      <c r="I3907" s="6">
        <f>TabJogos[[#This Row],[PontosTime1]]-TabJogos[[#This Row],[PontosTime2]]</f>
        <v>2</v>
      </c>
    </row>
    <row r="3908" spans="1:9" ht="15" customHeight="1" x14ac:dyDescent="0.25">
      <c r="A3908" s="7">
        <v>3907</v>
      </c>
      <c r="B3908" s="1">
        <v>43657</v>
      </c>
      <c r="C3908" s="6" t="s">
        <v>11</v>
      </c>
      <c r="D3908" s="6" t="s">
        <v>62</v>
      </c>
      <c r="E3908" s="6">
        <v>3</v>
      </c>
      <c r="F3908" s="6">
        <v>2</v>
      </c>
      <c r="G3908" s="6" t="s">
        <v>17</v>
      </c>
      <c r="H3908" s="6" t="s">
        <v>18</v>
      </c>
      <c r="I3908" s="6">
        <f>TabJogos[[#This Row],[PontosTime1]]-TabJogos[[#This Row],[PontosTime2]]</f>
        <v>1</v>
      </c>
    </row>
    <row r="3909" spans="1:9" ht="15" customHeight="1" x14ac:dyDescent="0.25">
      <c r="A3909" s="7">
        <v>3908</v>
      </c>
      <c r="B3909" s="1">
        <v>43657</v>
      </c>
      <c r="C3909" s="6" t="s">
        <v>11</v>
      </c>
      <c r="D3909" s="6" t="s">
        <v>17</v>
      </c>
      <c r="E3909" s="6">
        <v>3</v>
      </c>
      <c r="F3909" s="6">
        <v>0</v>
      </c>
      <c r="G3909" s="6" t="s">
        <v>18</v>
      </c>
      <c r="H3909" s="6" t="s">
        <v>62</v>
      </c>
      <c r="I3909" s="6">
        <f>TabJogos[[#This Row],[PontosTime1]]-TabJogos[[#This Row],[PontosTime2]]</f>
        <v>3</v>
      </c>
    </row>
    <row r="3910" spans="1:9" ht="15" customHeight="1" x14ac:dyDescent="0.25">
      <c r="A3910" s="7">
        <v>3909</v>
      </c>
      <c r="B3910" s="1">
        <v>43657</v>
      </c>
      <c r="C3910" s="6" t="s">
        <v>11</v>
      </c>
      <c r="D3910" s="6" t="s">
        <v>18</v>
      </c>
      <c r="E3910" s="6">
        <v>3</v>
      </c>
      <c r="F3910" s="6">
        <v>2</v>
      </c>
      <c r="G3910" s="6" t="s">
        <v>17</v>
      </c>
      <c r="H3910" s="6" t="s">
        <v>62</v>
      </c>
      <c r="I3910" s="6">
        <f>TabJogos[[#This Row],[PontosTime1]]-TabJogos[[#This Row],[PontosTime2]]</f>
        <v>1</v>
      </c>
    </row>
    <row r="3911" spans="1:9" ht="15" customHeight="1" x14ac:dyDescent="0.25">
      <c r="A3911" s="7">
        <v>3910</v>
      </c>
      <c r="B3911" s="1">
        <v>43657</v>
      </c>
      <c r="C3911" s="6" t="s">
        <v>11</v>
      </c>
      <c r="D3911" s="6" t="s">
        <v>62</v>
      </c>
      <c r="E3911" s="6">
        <v>3</v>
      </c>
      <c r="F3911" s="6">
        <v>0</v>
      </c>
      <c r="G3911" s="6" t="s">
        <v>17</v>
      </c>
      <c r="H3911" s="6" t="s">
        <v>18</v>
      </c>
      <c r="I3911" s="6">
        <f>TabJogos[[#This Row],[PontosTime1]]-TabJogos[[#This Row],[PontosTime2]]</f>
        <v>3</v>
      </c>
    </row>
    <row r="3912" spans="1:9" ht="15" customHeight="1" x14ac:dyDescent="0.25">
      <c r="A3912" s="7">
        <v>3911</v>
      </c>
      <c r="B3912" s="1">
        <v>43658</v>
      </c>
      <c r="C3912" s="6" t="s">
        <v>11</v>
      </c>
      <c r="D3912" s="6" t="s">
        <v>9</v>
      </c>
      <c r="E3912" s="6">
        <v>3</v>
      </c>
      <c r="F3912" s="6">
        <v>2</v>
      </c>
      <c r="G3912" s="6" t="s">
        <v>17</v>
      </c>
      <c r="H3912" s="6" t="s">
        <v>18</v>
      </c>
      <c r="I3912" s="6">
        <f>TabJogos[[#This Row],[PontosTime1]]-TabJogos[[#This Row],[PontosTime2]]</f>
        <v>1</v>
      </c>
    </row>
    <row r="3913" spans="1:9" ht="15" customHeight="1" x14ac:dyDescent="0.25">
      <c r="A3913" s="7">
        <v>3912</v>
      </c>
      <c r="B3913" s="1">
        <v>43658</v>
      </c>
      <c r="C3913" s="6" t="s">
        <v>11</v>
      </c>
      <c r="D3913" s="6" t="s">
        <v>17</v>
      </c>
      <c r="E3913" s="6">
        <v>3</v>
      </c>
      <c r="F3913" s="6">
        <v>1</v>
      </c>
      <c r="G3913" s="6" t="s">
        <v>12</v>
      </c>
      <c r="H3913" s="6" t="s">
        <v>9</v>
      </c>
      <c r="I3913" s="6">
        <f>TabJogos[[#This Row],[PontosTime1]]-TabJogos[[#This Row],[PontosTime2]]</f>
        <v>2</v>
      </c>
    </row>
    <row r="3914" spans="1:9" ht="15" customHeight="1" x14ac:dyDescent="0.25">
      <c r="A3914" s="7">
        <v>3913</v>
      </c>
      <c r="B3914" s="1">
        <v>43658</v>
      </c>
      <c r="C3914" s="6" t="s">
        <v>11</v>
      </c>
      <c r="D3914" s="6" t="s">
        <v>18</v>
      </c>
      <c r="E3914" s="6">
        <v>3</v>
      </c>
      <c r="F3914" s="6">
        <v>0</v>
      </c>
      <c r="G3914" s="6" t="s">
        <v>17</v>
      </c>
      <c r="H3914" s="6" t="s">
        <v>9</v>
      </c>
      <c r="I3914" s="6">
        <f>TabJogos[[#This Row],[PontosTime1]]-TabJogos[[#This Row],[PontosTime2]]</f>
        <v>3</v>
      </c>
    </row>
    <row r="3915" spans="1:9" ht="15" customHeight="1" x14ac:dyDescent="0.25">
      <c r="A3915" s="7">
        <v>3914</v>
      </c>
      <c r="B3915" s="1">
        <v>43658</v>
      </c>
      <c r="C3915" s="6" t="s">
        <v>11</v>
      </c>
      <c r="D3915" s="6" t="s">
        <v>17</v>
      </c>
      <c r="E3915" s="6">
        <v>0</v>
      </c>
      <c r="F3915" s="6">
        <v>3</v>
      </c>
      <c r="G3915" s="6" t="s">
        <v>9</v>
      </c>
      <c r="H3915" s="6" t="s">
        <v>18</v>
      </c>
      <c r="I3915" s="6">
        <f>TabJogos[[#This Row],[PontosTime1]]-TabJogos[[#This Row],[PontosTime2]]</f>
        <v>-3</v>
      </c>
    </row>
    <row r="3916" spans="1:9" ht="15" customHeight="1" x14ac:dyDescent="0.25">
      <c r="A3916" s="7">
        <v>3915</v>
      </c>
      <c r="B3916" s="1">
        <v>43658</v>
      </c>
      <c r="C3916" s="6" t="s">
        <v>17</v>
      </c>
      <c r="D3916" s="6" t="s">
        <v>18</v>
      </c>
      <c r="E3916" s="6">
        <v>2</v>
      </c>
      <c r="F3916" s="6">
        <v>3</v>
      </c>
      <c r="G3916" s="6" t="s">
        <v>11</v>
      </c>
      <c r="H3916" s="6" t="s">
        <v>9</v>
      </c>
      <c r="I3916" s="6">
        <f>TabJogos[[#This Row],[PontosTime1]]-TabJogos[[#This Row],[PontosTime2]]</f>
        <v>-1</v>
      </c>
    </row>
    <row r="3917" spans="1:9" ht="15" customHeight="1" x14ac:dyDescent="0.25">
      <c r="A3917" s="7">
        <v>3916</v>
      </c>
      <c r="B3917" s="1">
        <v>43658</v>
      </c>
      <c r="C3917" s="6" t="s">
        <v>11</v>
      </c>
      <c r="D3917" s="6" t="s">
        <v>18</v>
      </c>
      <c r="E3917" s="6">
        <v>0</v>
      </c>
      <c r="F3917" s="6">
        <v>4</v>
      </c>
      <c r="G3917" s="6" t="s">
        <v>17</v>
      </c>
      <c r="H3917" s="6" t="s">
        <v>9</v>
      </c>
      <c r="I3917" s="6">
        <f>TabJogos[[#This Row],[PontosTime1]]-TabJogos[[#This Row],[PontosTime2]]</f>
        <v>-4</v>
      </c>
    </row>
    <row r="3918" spans="1:9" ht="15" customHeight="1" x14ac:dyDescent="0.25">
      <c r="A3918" s="7">
        <v>3917</v>
      </c>
      <c r="B3918" s="1">
        <v>43658</v>
      </c>
      <c r="C3918" s="6" t="s">
        <v>18</v>
      </c>
      <c r="D3918" s="6" t="s">
        <v>9</v>
      </c>
      <c r="E3918" s="6">
        <v>1</v>
      </c>
      <c r="F3918" s="6">
        <v>3</v>
      </c>
      <c r="G3918" s="6" t="s">
        <v>11</v>
      </c>
      <c r="H3918" s="6" t="s">
        <v>17</v>
      </c>
      <c r="I3918" s="6">
        <f>TabJogos[[#This Row],[PontosTime1]]-TabJogos[[#This Row],[PontosTime2]]</f>
        <v>-2</v>
      </c>
    </row>
    <row r="3919" spans="1:9" ht="15" customHeight="1" x14ac:dyDescent="0.25">
      <c r="A3919" s="7">
        <v>3918</v>
      </c>
      <c r="B3919" s="1">
        <v>43658</v>
      </c>
      <c r="C3919" s="6" t="s">
        <v>17</v>
      </c>
      <c r="D3919" s="6" t="s">
        <v>18</v>
      </c>
      <c r="E3919" s="6">
        <v>4</v>
      </c>
      <c r="F3919" s="6">
        <v>1</v>
      </c>
      <c r="G3919" s="6" t="s">
        <v>11</v>
      </c>
      <c r="H3919" s="6" t="s">
        <v>9</v>
      </c>
      <c r="I3919" s="6">
        <f>TabJogos[[#This Row],[PontosTime1]]-TabJogos[[#This Row],[PontosTime2]]</f>
        <v>3</v>
      </c>
    </row>
    <row r="3920" spans="1:9" ht="15" customHeight="1" x14ac:dyDescent="0.25">
      <c r="A3920" s="7">
        <v>3919</v>
      </c>
      <c r="B3920" s="1">
        <v>43658</v>
      </c>
      <c r="C3920" s="6" t="s">
        <v>11</v>
      </c>
      <c r="D3920" s="6" t="s">
        <v>18</v>
      </c>
      <c r="E3920" s="6">
        <v>3</v>
      </c>
      <c r="F3920" s="6">
        <v>1</v>
      </c>
      <c r="G3920" s="6" t="s">
        <v>17</v>
      </c>
      <c r="H3920" s="6" t="s">
        <v>9</v>
      </c>
      <c r="I3920" s="6">
        <f>TabJogos[[#This Row],[PontosTime1]]-TabJogos[[#This Row],[PontosTime2]]</f>
        <v>2</v>
      </c>
    </row>
    <row r="3921" spans="1:9" ht="15" customHeight="1" x14ac:dyDescent="0.25">
      <c r="A3921" s="7">
        <v>3920</v>
      </c>
      <c r="B3921" s="1">
        <v>43658</v>
      </c>
      <c r="C3921" s="6" t="s">
        <v>11</v>
      </c>
      <c r="D3921" s="6" t="s">
        <v>17</v>
      </c>
      <c r="E3921" s="6">
        <v>3</v>
      </c>
      <c r="F3921" s="6">
        <v>0</v>
      </c>
      <c r="G3921" s="6" t="s">
        <v>18</v>
      </c>
      <c r="H3921" s="6" t="s">
        <v>9</v>
      </c>
      <c r="I3921" s="6">
        <f>TabJogos[[#This Row],[PontosTime1]]-TabJogos[[#This Row],[PontosTime2]]</f>
        <v>3</v>
      </c>
    </row>
    <row r="3922" spans="1:9" ht="15" customHeight="1" x14ac:dyDescent="0.25">
      <c r="A3922" s="7">
        <v>3921</v>
      </c>
      <c r="B3922" s="1">
        <v>43658</v>
      </c>
      <c r="C3922" s="6" t="s">
        <v>11</v>
      </c>
      <c r="D3922" s="6" t="s">
        <v>9</v>
      </c>
      <c r="E3922" s="6">
        <v>3</v>
      </c>
      <c r="F3922" s="6">
        <v>1</v>
      </c>
      <c r="G3922" s="6" t="s">
        <v>17</v>
      </c>
      <c r="H3922" s="6" t="s">
        <v>18</v>
      </c>
      <c r="I3922" s="6">
        <f>TabJogos[[#This Row],[PontosTime1]]-TabJogos[[#This Row],[PontosTime2]]</f>
        <v>2</v>
      </c>
    </row>
    <row r="3923" spans="1:9" ht="15" customHeight="1" x14ac:dyDescent="0.25">
      <c r="A3923" s="7">
        <v>3922</v>
      </c>
      <c r="B3923" s="1">
        <v>43658</v>
      </c>
      <c r="C3923" s="6" t="s">
        <v>9</v>
      </c>
      <c r="D3923" s="6" t="s">
        <v>17</v>
      </c>
      <c r="E3923" s="6">
        <v>3</v>
      </c>
      <c r="F3923" s="6">
        <v>0</v>
      </c>
      <c r="G3923" s="6" t="s">
        <v>11</v>
      </c>
      <c r="H3923" s="6" t="s">
        <v>18</v>
      </c>
      <c r="I3923" s="6">
        <f>TabJogos[[#This Row],[PontosTime1]]-TabJogos[[#This Row],[PontosTime2]]</f>
        <v>3</v>
      </c>
    </row>
    <row r="3924" spans="1:9" ht="15" customHeight="1" x14ac:dyDescent="0.25">
      <c r="A3924" s="7">
        <v>3923</v>
      </c>
      <c r="B3924" s="1">
        <v>43658</v>
      </c>
      <c r="C3924" s="6" t="s">
        <v>11</v>
      </c>
      <c r="D3924" s="6" t="s">
        <v>17</v>
      </c>
      <c r="E3924" s="6">
        <v>4</v>
      </c>
      <c r="F3924" s="6">
        <v>1</v>
      </c>
      <c r="G3924" s="6" t="s">
        <v>9</v>
      </c>
      <c r="H3924" s="6" t="s">
        <v>18</v>
      </c>
      <c r="I3924" s="6">
        <f>TabJogos[[#This Row],[PontosTime1]]-TabJogos[[#This Row],[PontosTime2]]</f>
        <v>3</v>
      </c>
    </row>
    <row r="3925" spans="1:9" ht="15" customHeight="1" x14ac:dyDescent="0.25">
      <c r="A3925" s="7">
        <v>3924</v>
      </c>
      <c r="B3925" s="1">
        <v>43658</v>
      </c>
      <c r="C3925" s="6" t="s">
        <v>11</v>
      </c>
      <c r="D3925" s="6" t="s">
        <v>9</v>
      </c>
      <c r="E3925" s="6">
        <v>2</v>
      </c>
      <c r="F3925" s="6">
        <v>3</v>
      </c>
      <c r="G3925" s="6" t="s">
        <v>17</v>
      </c>
      <c r="H3925" s="6" t="s">
        <v>18</v>
      </c>
      <c r="I3925" s="6">
        <f>TabJogos[[#This Row],[PontosTime1]]-TabJogos[[#This Row],[PontosTime2]]</f>
        <v>-1</v>
      </c>
    </row>
    <row r="3926" spans="1:9" ht="15" customHeight="1" x14ac:dyDescent="0.25">
      <c r="A3926" s="7">
        <v>3925</v>
      </c>
      <c r="B3926" s="1">
        <v>43658</v>
      </c>
      <c r="C3926" s="6" t="s">
        <v>11</v>
      </c>
      <c r="D3926" s="6" t="s">
        <v>18</v>
      </c>
      <c r="E3926" s="6">
        <v>0</v>
      </c>
      <c r="F3926" s="6">
        <v>3</v>
      </c>
      <c r="G3926" s="6" t="s">
        <v>17</v>
      </c>
      <c r="H3926" s="6" t="s">
        <v>9</v>
      </c>
      <c r="I3926" s="6">
        <f>TabJogos[[#This Row],[PontosTime1]]-TabJogos[[#This Row],[PontosTime2]]</f>
        <v>-3</v>
      </c>
    </row>
    <row r="3927" spans="1:9" ht="15" customHeight="1" x14ac:dyDescent="0.25">
      <c r="A3927" s="7">
        <v>3926</v>
      </c>
      <c r="B3927" s="1">
        <v>43658</v>
      </c>
      <c r="C3927" s="6" t="s">
        <v>9</v>
      </c>
      <c r="D3927" s="6" t="s">
        <v>18</v>
      </c>
      <c r="E3927" s="6">
        <v>3</v>
      </c>
      <c r="F3927" s="6">
        <v>2</v>
      </c>
      <c r="G3927" s="6" t="s">
        <v>17</v>
      </c>
      <c r="H3927" s="6" t="s">
        <v>11</v>
      </c>
      <c r="I3927" s="6">
        <f>TabJogos[[#This Row],[PontosTime1]]-TabJogos[[#This Row],[PontosTime2]]</f>
        <v>1</v>
      </c>
    </row>
    <row r="3928" spans="1:9" ht="15" customHeight="1" x14ac:dyDescent="0.25">
      <c r="A3928" s="7">
        <v>3927</v>
      </c>
      <c r="B3928" s="1">
        <v>43658</v>
      </c>
      <c r="C3928" s="6" t="s">
        <v>9</v>
      </c>
      <c r="D3928" s="6" t="s">
        <v>11</v>
      </c>
      <c r="E3928" s="6">
        <v>1</v>
      </c>
      <c r="F3928" s="6">
        <v>3</v>
      </c>
      <c r="G3928" s="6" t="s">
        <v>17</v>
      </c>
      <c r="H3928" s="6" t="s">
        <v>18</v>
      </c>
      <c r="I3928" s="6">
        <f>TabJogos[[#This Row],[PontosTime1]]-TabJogos[[#This Row],[PontosTime2]]</f>
        <v>-2</v>
      </c>
    </row>
    <row r="3929" spans="1:9" ht="15" customHeight="1" x14ac:dyDescent="0.25">
      <c r="A3929" s="7">
        <v>3928</v>
      </c>
      <c r="B3929" s="1">
        <v>43661</v>
      </c>
      <c r="C3929" s="6" t="s">
        <v>11</v>
      </c>
      <c r="D3929" s="6" t="s">
        <v>12</v>
      </c>
      <c r="E3929" s="6">
        <v>3</v>
      </c>
      <c r="F3929" s="6">
        <v>1</v>
      </c>
      <c r="G3929" s="6" t="s">
        <v>18</v>
      </c>
      <c r="H3929" s="6" t="s">
        <v>17</v>
      </c>
      <c r="I3929" s="6">
        <f>TabJogos[[#This Row],[PontosTime1]]-TabJogos[[#This Row],[PontosTime2]]</f>
        <v>2</v>
      </c>
    </row>
    <row r="3930" spans="1:9" ht="15" customHeight="1" x14ac:dyDescent="0.25">
      <c r="A3930" s="7">
        <v>3929</v>
      </c>
      <c r="B3930" s="1">
        <v>43661</v>
      </c>
      <c r="C3930" s="6" t="s">
        <v>11</v>
      </c>
      <c r="D3930" s="6" t="s">
        <v>18</v>
      </c>
      <c r="E3930" s="6">
        <v>0</v>
      </c>
      <c r="F3930" s="6">
        <v>3</v>
      </c>
      <c r="G3930" s="6" t="s">
        <v>12</v>
      </c>
      <c r="H3930" s="6" t="s">
        <v>17</v>
      </c>
      <c r="I3930" s="6">
        <f>TabJogos[[#This Row],[PontosTime1]]-TabJogos[[#This Row],[PontosTime2]]</f>
        <v>-3</v>
      </c>
    </row>
    <row r="3931" spans="1:9" ht="15" customHeight="1" x14ac:dyDescent="0.25">
      <c r="A3931" s="7">
        <v>3930</v>
      </c>
      <c r="B3931" s="1">
        <v>43661</v>
      </c>
      <c r="C3931" s="6" t="s">
        <v>11</v>
      </c>
      <c r="D3931" s="6" t="s">
        <v>17</v>
      </c>
      <c r="E3931" s="6">
        <v>3</v>
      </c>
      <c r="F3931" s="6">
        <v>0</v>
      </c>
      <c r="G3931" s="6" t="s">
        <v>12</v>
      </c>
      <c r="H3931" s="6" t="s">
        <v>18</v>
      </c>
      <c r="I3931" s="6">
        <f>TabJogos[[#This Row],[PontosTime1]]-TabJogos[[#This Row],[PontosTime2]]</f>
        <v>3</v>
      </c>
    </row>
    <row r="3932" spans="1:9" ht="15" customHeight="1" x14ac:dyDescent="0.25">
      <c r="A3932" s="7">
        <v>3931</v>
      </c>
      <c r="B3932" s="1">
        <v>43662</v>
      </c>
      <c r="C3932" s="6" t="s">
        <v>11</v>
      </c>
      <c r="D3932" s="6" t="s">
        <v>17</v>
      </c>
      <c r="E3932" s="6">
        <v>2</v>
      </c>
      <c r="F3932" s="6">
        <v>3</v>
      </c>
      <c r="G3932" s="6" t="s">
        <v>9</v>
      </c>
      <c r="H3932" s="6" t="s">
        <v>18</v>
      </c>
      <c r="I3932" s="6">
        <f>TabJogos[[#This Row],[PontosTime1]]-TabJogos[[#This Row],[PontosTime2]]</f>
        <v>-1</v>
      </c>
    </row>
    <row r="3933" spans="1:9" ht="15" customHeight="1" x14ac:dyDescent="0.25">
      <c r="A3933" s="7">
        <v>3932</v>
      </c>
      <c r="B3933" s="1">
        <v>43662</v>
      </c>
      <c r="C3933" s="6" t="s">
        <v>11</v>
      </c>
      <c r="D3933" s="6" t="s">
        <v>9</v>
      </c>
      <c r="E3933" s="6">
        <v>3</v>
      </c>
      <c r="F3933" s="6">
        <v>1</v>
      </c>
      <c r="G3933" s="6" t="s">
        <v>17</v>
      </c>
      <c r="H3933" s="6" t="s">
        <v>18</v>
      </c>
      <c r="I3933" s="6">
        <f>TabJogos[[#This Row],[PontosTime1]]-TabJogos[[#This Row],[PontosTime2]]</f>
        <v>2</v>
      </c>
    </row>
    <row r="3934" spans="1:9" ht="15" customHeight="1" x14ac:dyDescent="0.25">
      <c r="A3934" s="7">
        <v>3933</v>
      </c>
      <c r="B3934" s="1">
        <v>43662</v>
      </c>
      <c r="C3934" s="6" t="s">
        <v>11</v>
      </c>
      <c r="D3934" s="6" t="s">
        <v>18</v>
      </c>
      <c r="E3934" s="6">
        <v>3</v>
      </c>
      <c r="F3934" s="6">
        <v>0</v>
      </c>
      <c r="G3934" s="6" t="s">
        <v>9</v>
      </c>
      <c r="H3934" s="6" t="s">
        <v>17</v>
      </c>
      <c r="I3934" s="6">
        <f>TabJogos[[#This Row],[PontosTime1]]-TabJogos[[#This Row],[PontosTime2]]</f>
        <v>3</v>
      </c>
    </row>
    <row r="3935" spans="1:9" ht="15" customHeight="1" x14ac:dyDescent="0.25">
      <c r="A3935" s="7">
        <v>3934</v>
      </c>
      <c r="B3935" s="1">
        <v>43662</v>
      </c>
      <c r="C3935" s="6" t="s">
        <v>9</v>
      </c>
      <c r="D3935" s="6" t="s">
        <v>18</v>
      </c>
      <c r="E3935" s="6">
        <v>6</v>
      </c>
      <c r="F3935" s="6">
        <v>1</v>
      </c>
      <c r="G3935" s="6" t="s">
        <v>11</v>
      </c>
      <c r="H3935" s="6" t="s">
        <v>17</v>
      </c>
      <c r="I3935" s="6">
        <f>TabJogos[[#This Row],[PontosTime1]]-TabJogos[[#This Row],[PontosTime2]]</f>
        <v>5</v>
      </c>
    </row>
    <row r="3936" spans="1:9" ht="15" customHeight="1" x14ac:dyDescent="0.25">
      <c r="A3936" s="7">
        <v>3935</v>
      </c>
      <c r="B3936" s="1">
        <v>43662</v>
      </c>
      <c r="C3936" s="6" t="s">
        <v>9</v>
      </c>
      <c r="D3936" s="6" t="s">
        <v>11</v>
      </c>
      <c r="E3936" s="6">
        <v>3</v>
      </c>
      <c r="F3936" s="6">
        <v>1</v>
      </c>
      <c r="G3936" s="6" t="s">
        <v>18</v>
      </c>
      <c r="H3936" s="6" t="s">
        <v>17</v>
      </c>
      <c r="I3936" s="6">
        <f>TabJogos[[#This Row],[PontosTime1]]-TabJogos[[#This Row],[PontosTime2]]</f>
        <v>2</v>
      </c>
    </row>
    <row r="3937" spans="1:9" ht="15" customHeight="1" x14ac:dyDescent="0.25">
      <c r="A3937" s="7">
        <v>3936</v>
      </c>
      <c r="B3937" s="1">
        <v>43662</v>
      </c>
      <c r="C3937" s="6" t="s">
        <v>11</v>
      </c>
      <c r="D3937" s="6" t="s">
        <v>18</v>
      </c>
      <c r="E3937" s="6">
        <v>3</v>
      </c>
      <c r="F3937" s="6">
        <v>1</v>
      </c>
      <c r="G3937" s="6" t="s">
        <v>9</v>
      </c>
      <c r="H3937" s="6" t="s">
        <v>17</v>
      </c>
      <c r="I3937" s="6">
        <f>TabJogos[[#This Row],[PontosTime1]]-TabJogos[[#This Row],[PontosTime2]]</f>
        <v>2</v>
      </c>
    </row>
    <row r="3938" spans="1:9" ht="15" customHeight="1" x14ac:dyDescent="0.25">
      <c r="A3938" s="7">
        <v>3937</v>
      </c>
      <c r="B3938" s="1">
        <v>43662</v>
      </c>
      <c r="C3938" s="6" t="s">
        <v>11</v>
      </c>
      <c r="D3938" s="6" t="s">
        <v>17</v>
      </c>
      <c r="E3938" s="6">
        <v>3</v>
      </c>
      <c r="F3938" s="6">
        <v>0</v>
      </c>
      <c r="G3938" s="6" t="s">
        <v>18</v>
      </c>
      <c r="H3938" s="6" t="s">
        <v>9</v>
      </c>
      <c r="I3938" s="6">
        <f>TabJogos[[#This Row],[PontosTime1]]-TabJogos[[#This Row],[PontosTime2]]</f>
        <v>3</v>
      </c>
    </row>
    <row r="3939" spans="1:9" ht="15" customHeight="1" x14ac:dyDescent="0.25">
      <c r="A3939" s="7">
        <v>3938</v>
      </c>
      <c r="B3939" s="1">
        <v>43662</v>
      </c>
      <c r="C3939" s="6" t="s">
        <v>11</v>
      </c>
      <c r="D3939" s="6" t="s">
        <v>9</v>
      </c>
      <c r="E3939" s="6">
        <v>4</v>
      </c>
      <c r="F3939" s="6">
        <v>0</v>
      </c>
      <c r="G3939" s="6" t="s">
        <v>17</v>
      </c>
      <c r="H3939" s="6" t="s">
        <v>18</v>
      </c>
      <c r="I3939" s="6">
        <f>TabJogos[[#This Row],[PontosTime1]]-TabJogos[[#This Row],[PontosTime2]]</f>
        <v>4</v>
      </c>
    </row>
    <row r="3940" spans="1:9" ht="15" customHeight="1" x14ac:dyDescent="0.25">
      <c r="A3940" s="7">
        <v>3939</v>
      </c>
      <c r="B3940" s="1">
        <v>43662</v>
      </c>
      <c r="C3940" s="6" t="s">
        <v>11</v>
      </c>
      <c r="D3940" s="6" t="s">
        <v>18</v>
      </c>
      <c r="E3940" s="6">
        <v>3</v>
      </c>
      <c r="F3940" s="6">
        <v>0</v>
      </c>
      <c r="G3940" s="6" t="s">
        <v>9</v>
      </c>
      <c r="H3940" s="6" t="s">
        <v>17</v>
      </c>
      <c r="I3940" s="6">
        <f>TabJogos[[#This Row],[PontosTime1]]-TabJogos[[#This Row],[PontosTime2]]</f>
        <v>3</v>
      </c>
    </row>
    <row r="3941" spans="1:9" ht="15" customHeight="1" x14ac:dyDescent="0.25">
      <c r="A3941" s="7">
        <v>3940</v>
      </c>
      <c r="B3941" s="1">
        <v>43662</v>
      </c>
      <c r="C3941" s="6" t="s">
        <v>11</v>
      </c>
      <c r="D3941" s="6" t="s">
        <v>17</v>
      </c>
      <c r="E3941" s="6">
        <v>1</v>
      </c>
      <c r="F3941" s="6">
        <v>3</v>
      </c>
      <c r="G3941" s="6" t="s">
        <v>9</v>
      </c>
      <c r="H3941" s="6" t="s">
        <v>18</v>
      </c>
      <c r="I3941" s="6">
        <f>TabJogos[[#This Row],[PontosTime1]]-TabJogos[[#This Row],[PontosTime2]]</f>
        <v>-2</v>
      </c>
    </row>
    <row r="3942" spans="1:9" ht="15" customHeight="1" x14ac:dyDescent="0.25">
      <c r="A3942" s="7">
        <v>3941</v>
      </c>
      <c r="B3942" s="1">
        <v>43662</v>
      </c>
      <c r="C3942" s="6" t="s">
        <v>11</v>
      </c>
      <c r="D3942" s="6" t="s">
        <v>9</v>
      </c>
      <c r="E3942" s="6">
        <v>0</v>
      </c>
      <c r="F3942" s="6">
        <v>4</v>
      </c>
      <c r="G3942" s="6" t="s">
        <v>17</v>
      </c>
      <c r="H3942" s="6" t="s">
        <v>18</v>
      </c>
      <c r="I3942" s="6">
        <f>TabJogos[[#This Row],[PontosTime1]]-TabJogos[[#This Row],[PontosTime2]]</f>
        <v>-4</v>
      </c>
    </row>
    <row r="3943" spans="1:9" ht="15" customHeight="1" x14ac:dyDescent="0.25">
      <c r="A3943" s="7">
        <v>3942</v>
      </c>
      <c r="B3943" s="1">
        <v>43662</v>
      </c>
      <c r="C3943" s="6" t="s">
        <v>11</v>
      </c>
      <c r="D3943" s="6" t="s">
        <v>18</v>
      </c>
      <c r="E3943" s="6">
        <v>3</v>
      </c>
      <c r="F3943" s="6">
        <v>2</v>
      </c>
      <c r="G3943" s="6" t="s">
        <v>9</v>
      </c>
      <c r="H3943" s="6" t="s">
        <v>17</v>
      </c>
      <c r="I3943" s="6">
        <f>TabJogos[[#This Row],[PontosTime1]]-TabJogos[[#This Row],[PontosTime2]]</f>
        <v>1</v>
      </c>
    </row>
    <row r="3944" spans="1:9" ht="15" customHeight="1" x14ac:dyDescent="0.25">
      <c r="A3944" s="7">
        <v>3943</v>
      </c>
      <c r="B3944" s="1">
        <v>43662</v>
      </c>
      <c r="C3944" s="6" t="s">
        <v>11</v>
      </c>
      <c r="D3944" s="6" t="s">
        <v>17</v>
      </c>
      <c r="E3944" s="6">
        <v>3</v>
      </c>
      <c r="F3944" s="6">
        <v>2</v>
      </c>
      <c r="G3944" s="6" t="s">
        <v>9</v>
      </c>
      <c r="H3944" s="6" t="s">
        <v>18</v>
      </c>
      <c r="I3944" s="6">
        <f>TabJogos[[#This Row],[PontosTime1]]-TabJogos[[#This Row],[PontosTime2]]</f>
        <v>1</v>
      </c>
    </row>
    <row r="3945" spans="1:9" ht="15" customHeight="1" x14ac:dyDescent="0.25">
      <c r="A3945" s="7">
        <v>3944</v>
      </c>
      <c r="B3945" s="1">
        <v>43662</v>
      </c>
      <c r="C3945" s="6" t="s">
        <v>11</v>
      </c>
      <c r="D3945" s="6" t="s">
        <v>9</v>
      </c>
      <c r="E3945" s="6">
        <v>2</v>
      </c>
      <c r="F3945" s="6">
        <v>3</v>
      </c>
      <c r="G3945" s="6" t="s">
        <v>17</v>
      </c>
      <c r="H3945" s="6" t="s">
        <v>18</v>
      </c>
      <c r="I3945" s="6">
        <f>TabJogos[[#This Row],[PontosTime1]]-TabJogos[[#This Row],[PontosTime2]]</f>
        <v>-1</v>
      </c>
    </row>
    <row r="3946" spans="1:9" ht="15" customHeight="1" x14ac:dyDescent="0.25">
      <c r="A3946" s="7">
        <v>3945</v>
      </c>
      <c r="B3946" s="1">
        <v>43662</v>
      </c>
      <c r="C3946" s="6" t="s">
        <v>9</v>
      </c>
      <c r="D3946" s="6" t="s">
        <v>17</v>
      </c>
      <c r="E3946" s="6">
        <v>0</v>
      </c>
      <c r="F3946" s="6">
        <v>3</v>
      </c>
      <c r="G3946" s="6" t="s">
        <v>11</v>
      </c>
      <c r="H3946" s="6" t="s">
        <v>18</v>
      </c>
      <c r="I3946" s="6">
        <f>TabJogos[[#This Row],[PontosTime1]]-TabJogos[[#This Row],[PontosTime2]]</f>
        <v>-3</v>
      </c>
    </row>
    <row r="3947" spans="1:9" ht="15" customHeight="1" x14ac:dyDescent="0.25">
      <c r="A3947" s="7">
        <v>3946</v>
      </c>
      <c r="B3947" s="1">
        <v>43663</v>
      </c>
      <c r="C3947" s="6" t="s">
        <v>11</v>
      </c>
      <c r="D3947" s="6" t="s">
        <v>9</v>
      </c>
      <c r="E3947" s="6">
        <v>1</v>
      </c>
      <c r="F3947" s="6">
        <v>3</v>
      </c>
      <c r="G3947" s="6" t="s">
        <v>18</v>
      </c>
      <c r="H3947" s="6" t="s">
        <v>12</v>
      </c>
      <c r="I3947" s="6">
        <f>TabJogos[[#This Row],[PontosTime1]]-TabJogos[[#This Row],[PontosTime2]]</f>
        <v>-2</v>
      </c>
    </row>
    <row r="3948" spans="1:9" ht="15" customHeight="1" x14ac:dyDescent="0.25">
      <c r="A3948" s="7">
        <v>3947</v>
      </c>
      <c r="B3948" s="1">
        <v>43663</v>
      </c>
      <c r="C3948" s="6" t="s">
        <v>9</v>
      </c>
      <c r="D3948" s="6" t="s">
        <v>18</v>
      </c>
      <c r="E3948" s="6">
        <v>1</v>
      </c>
      <c r="F3948" s="6">
        <v>3</v>
      </c>
      <c r="G3948" s="6" t="s">
        <v>12</v>
      </c>
      <c r="H3948" s="6" t="s">
        <v>11</v>
      </c>
      <c r="I3948" s="6">
        <f>TabJogos[[#This Row],[PontosTime1]]-TabJogos[[#This Row],[PontosTime2]]</f>
        <v>-2</v>
      </c>
    </row>
    <row r="3949" spans="1:9" ht="15" customHeight="1" x14ac:dyDescent="0.25">
      <c r="A3949" s="7">
        <v>3948</v>
      </c>
      <c r="B3949" s="1">
        <v>43663</v>
      </c>
      <c r="C3949" s="6" t="s">
        <v>11</v>
      </c>
      <c r="D3949" s="6" t="s">
        <v>18</v>
      </c>
      <c r="E3949" s="6">
        <v>3</v>
      </c>
      <c r="F3949" s="6">
        <v>1</v>
      </c>
      <c r="G3949" s="6" t="s">
        <v>9</v>
      </c>
      <c r="H3949" s="6" t="s">
        <v>18</v>
      </c>
      <c r="I3949" s="6">
        <f>TabJogos[[#This Row],[PontosTime1]]-TabJogos[[#This Row],[PontosTime2]]</f>
        <v>2</v>
      </c>
    </row>
    <row r="3950" spans="1:9" ht="15" customHeight="1" x14ac:dyDescent="0.25">
      <c r="A3950" s="7">
        <v>3949</v>
      </c>
      <c r="B3950" s="1">
        <v>43663</v>
      </c>
      <c r="C3950" s="6" t="s">
        <v>11</v>
      </c>
      <c r="D3950" s="6" t="s">
        <v>9</v>
      </c>
      <c r="E3950" s="6">
        <v>3</v>
      </c>
      <c r="F3950" s="6">
        <v>2</v>
      </c>
      <c r="G3950" s="6" t="s">
        <v>18</v>
      </c>
      <c r="H3950" s="6" t="s">
        <v>12</v>
      </c>
      <c r="I3950" s="6">
        <f>TabJogos[[#This Row],[PontosTime1]]-TabJogos[[#This Row],[PontosTime2]]</f>
        <v>1</v>
      </c>
    </row>
    <row r="3951" spans="1:9" ht="15" customHeight="1" x14ac:dyDescent="0.25">
      <c r="A3951" s="7">
        <v>3950</v>
      </c>
      <c r="B3951" s="1">
        <v>43663</v>
      </c>
      <c r="C3951" s="6" t="s">
        <v>11</v>
      </c>
      <c r="D3951" s="6" t="s">
        <v>12</v>
      </c>
      <c r="E3951" s="6">
        <v>3</v>
      </c>
      <c r="F3951" s="6">
        <v>2</v>
      </c>
      <c r="G3951" s="6" t="s">
        <v>18</v>
      </c>
      <c r="H3951" s="6" t="s">
        <v>9</v>
      </c>
      <c r="I3951" s="6">
        <f>TabJogos[[#This Row],[PontosTime1]]-TabJogos[[#This Row],[PontosTime2]]</f>
        <v>1</v>
      </c>
    </row>
    <row r="3952" spans="1:9" ht="15" customHeight="1" x14ac:dyDescent="0.25">
      <c r="A3952" s="7">
        <v>3951</v>
      </c>
      <c r="B3952" s="1">
        <v>43663</v>
      </c>
      <c r="C3952" s="6" t="s">
        <v>11</v>
      </c>
      <c r="D3952" s="6" t="s">
        <v>18</v>
      </c>
      <c r="E3952" s="6">
        <v>5</v>
      </c>
      <c r="F3952" s="6">
        <v>1</v>
      </c>
      <c r="G3952" s="6" t="s">
        <v>9</v>
      </c>
      <c r="H3952" s="6" t="s">
        <v>12</v>
      </c>
      <c r="I3952" s="6">
        <f>TabJogos[[#This Row],[PontosTime1]]-TabJogos[[#This Row],[PontosTime2]]</f>
        <v>4</v>
      </c>
    </row>
    <row r="3953" spans="1:9" ht="15" customHeight="1" x14ac:dyDescent="0.25">
      <c r="A3953" s="7">
        <v>3952</v>
      </c>
      <c r="B3953" s="1">
        <v>43665</v>
      </c>
      <c r="C3953" s="6" t="s">
        <v>18</v>
      </c>
      <c r="D3953" s="6" t="s">
        <v>11</v>
      </c>
      <c r="E3953" s="6">
        <v>0</v>
      </c>
      <c r="F3953" s="6">
        <v>3</v>
      </c>
      <c r="G3953" s="6" t="s">
        <v>17</v>
      </c>
      <c r="H3953" s="6" t="s">
        <v>9</v>
      </c>
      <c r="I3953" s="6">
        <f>TabJogos[[#This Row],[PontosTime1]]-TabJogos[[#This Row],[PontosTime2]]</f>
        <v>-3</v>
      </c>
    </row>
    <row r="3954" spans="1:9" ht="15" customHeight="1" x14ac:dyDescent="0.25">
      <c r="A3954" s="7">
        <v>3953</v>
      </c>
      <c r="B3954" s="1">
        <v>43665</v>
      </c>
      <c r="C3954" s="6" t="s">
        <v>17</v>
      </c>
      <c r="D3954" s="6" t="s">
        <v>18</v>
      </c>
      <c r="E3954" s="6">
        <v>3</v>
      </c>
      <c r="F3954" s="6">
        <v>0</v>
      </c>
      <c r="G3954" s="6" t="s">
        <v>11</v>
      </c>
      <c r="H3954" s="6" t="s">
        <v>9</v>
      </c>
      <c r="I3954" s="6">
        <f>TabJogos[[#This Row],[PontosTime1]]-TabJogos[[#This Row],[PontosTime2]]</f>
        <v>3</v>
      </c>
    </row>
    <row r="3955" spans="1:9" ht="15" customHeight="1" x14ac:dyDescent="0.25">
      <c r="A3955" s="7">
        <v>3954</v>
      </c>
      <c r="B3955" s="1">
        <v>43665</v>
      </c>
      <c r="C3955" s="6" t="s">
        <v>11</v>
      </c>
      <c r="D3955" s="6" t="s">
        <v>17</v>
      </c>
      <c r="E3955" s="6">
        <v>2</v>
      </c>
      <c r="F3955" s="6">
        <v>4</v>
      </c>
      <c r="G3955" s="6" t="s">
        <v>18</v>
      </c>
      <c r="H3955" s="6" t="s">
        <v>9</v>
      </c>
      <c r="I3955" s="6">
        <f>TabJogos[[#This Row],[PontosTime1]]-TabJogos[[#This Row],[PontosTime2]]</f>
        <v>-2</v>
      </c>
    </row>
    <row r="3956" spans="1:9" ht="15" customHeight="1" x14ac:dyDescent="0.25">
      <c r="A3956" s="7">
        <v>3955</v>
      </c>
      <c r="B3956" s="1">
        <v>43665</v>
      </c>
      <c r="C3956" s="6" t="s">
        <v>11</v>
      </c>
      <c r="D3956" s="6" t="s">
        <v>18</v>
      </c>
      <c r="E3956" s="6">
        <v>0</v>
      </c>
      <c r="F3956" s="6">
        <v>3</v>
      </c>
      <c r="G3956" s="6" t="s">
        <v>9</v>
      </c>
      <c r="H3956" s="6" t="s">
        <v>17</v>
      </c>
      <c r="I3956" s="6">
        <f>TabJogos[[#This Row],[PontosTime1]]-TabJogos[[#This Row],[PontosTime2]]</f>
        <v>-3</v>
      </c>
    </row>
    <row r="3957" spans="1:9" ht="15" customHeight="1" x14ac:dyDescent="0.25">
      <c r="A3957" s="7">
        <v>3956</v>
      </c>
      <c r="B3957" s="1">
        <v>43665</v>
      </c>
      <c r="C3957" s="6" t="s">
        <v>11</v>
      </c>
      <c r="D3957" s="6" t="s">
        <v>9</v>
      </c>
      <c r="E3957" s="6">
        <v>2</v>
      </c>
      <c r="F3957" s="6">
        <v>3</v>
      </c>
      <c r="G3957" s="6" t="s">
        <v>18</v>
      </c>
      <c r="H3957" s="6" t="s">
        <v>17</v>
      </c>
      <c r="I3957" s="6">
        <f>TabJogos[[#This Row],[PontosTime1]]-TabJogos[[#This Row],[PontosTime2]]</f>
        <v>-1</v>
      </c>
    </row>
    <row r="3958" spans="1:9" ht="15" customHeight="1" x14ac:dyDescent="0.25">
      <c r="A3958" s="7">
        <v>3957</v>
      </c>
      <c r="B3958" s="1">
        <v>43668</v>
      </c>
      <c r="C3958" s="6" t="s">
        <v>11</v>
      </c>
      <c r="D3958" s="6" t="s">
        <v>15</v>
      </c>
      <c r="E3958" s="6">
        <v>1</v>
      </c>
      <c r="F3958" s="6">
        <v>3</v>
      </c>
      <c r="G3958" s="6" t="s">
        <v>9</v>
      </c>
      <c r="H3958" s="6" t="s">
        <v>32</v>
      </c>
      <c r="I3958" s="6">
        <f>TabJogos[[#This Row],[PontosTime1]]-TabJogos[[#This Row],[PontosTime2]]</f>
        <v>-2</v>
      </c>
    </row>
    <row r="3959" spans="1:9" ht="15" customHeight="1" x14ac:dyDescent="0.25">
      <c r="A3959" s="7">
        <v>3958</v>
      </c>
      <c r="B3959" s="1">
        <v>43668</v>
      </c>
      <c r="C3959" s="6" t="s">
        <v>11</v>
      </c>
      <c r="D3959" s="6" t="s">
        <v>9</v>
      </c>
      <c r="E3959" s="6">
        <v>3</v>
      </c>
      <c r="F3959" s="6">
        <v>1</v>
      </c>
      <c r="G3959" s="6" t="s">
        <v>32</v>
      </c>
      <c r="H3959" s="6" t="s">
        <v>15</v>
      </c>
      <c r="I3959" s="6">
        <f>TabJogos[[#This Row],[PontosTime1]]-TabJogos[[#This Row],[PontosTime2]]</f>
        <v>2</v>
      </c>
    </row>
    <row r="3960" spans="1:9" ht="15" customHeight="1" x14ac:dyDescent="0.25">
      <c r="A3960" s="7">
        <v>3959</v>
      </c>
      <c r="B3960" s="1">
        <v>43668</v>
      </c>
      <c r="C3960" s="6" t="s">
        <v>15</v>
      </c>
      <c r="D3960" s="6" t="s">
        <v>9</v>
      </c>
      <c r="E3960" s="6">
        <v>3</v>
      </c>
      <c r="F3960" s="6">
        <v>0</v>
      </c>
      <c r="G3960" s="6" t="s">
        <v>32</v>
      </c>
      <c r="H3960" s="6" t="s">
        <v>11</v>
      </c>
      <c r="I3960" s="6">
        <f>TabJogos[[#This Row],[PontosTime1]]-TabJogos[[#This Row],[PontosTime2]]</f>
        <v>3</v>
      </c>
    </row>
    <row r="3961" spans="1:9" ht="15" customHeight="1" x14ac:dyDescent="0.25">
      <c r="A3961" s="7">
        <v>3960</v>
      </c>
      <c r="B3961" s="1">
        <v>43668</v>
      </c>
      <c r="C3961" s="6" t="s">
        <v>15</v>
      </c>
      <c r="D3961" s="6" t="s">
        <v>11</v>
      </c>
      <c r="E3961" s="6">
        <v>3</v>
      </c>
      <c r="F3961" s="6">
        <v>0</v>
      </c>
      <c r="G3961" s="6" t="s">
        <v>9</v>
      </c>
      <c r="H3961" s="6" t="s">
        <v>18</v>
      </c>
      <c r="I3961" s="6">
        <f>TabJogos[[#This Row],[PontosTime1]]-TabJogos[[#This Row],[PontosTime2]]</f>
        <v>3</v>
      </c>
    </row>
    <row r="3962" spans="1:9" ht="15" customHeight="1" x14ac:dyDescent="0.25">
      <c r="A3962" s="7">
        <v>3961</v>
      </c>
      <c r="B3962" s="1">
        <v>43668</v>
      </c>
      <c r="C3962" s="6" t="s">
        <v>11</v>
      </c>
      <c r="D3962" s="6" t="s">
        <v>9</v>
      </c>
      <c r="E3962" s="6">
        <v>0</v>
      </c>
      <c r="F3962" s="6">
        <v>3</v>
      </c>
      <c r="G3962" s="6" t="s">
        <v>15</v>
      </c>
      <c r="H3962" s="6" t="s">
        <v>18</v>
      </c>
      <c r="I3962" s="6">
        <f>TabJogos[[#This Row],[PontosTime1]]-TabJogos[[#This Row],[PontosTime2]]</f>
        <v>-3</v>
      </c>
    </row>
    <row r="3963" spans="1:9" ht="15" customHeight="1" x14ac:dyDescent="0.25">
      <c r="A3963" s="7">
        <v>3962</v>
      </c>
      <c r="B3963" s="1">
        <v>43668</v>
      </c>
      <c r="C3963" s="6" t="s">
        <v>11</v>
      </c>
      <c r="D3963" s="6" t="s">
        <v>18</v>
      </c>
      <c r="E3963" s="6">
        <v>3</v>
      </c>
      <c r="F3963" s="6">
        <v>0</v>
      </c>
      <c r="G3963" s="6" t="s">
        <v>32</v>
      </c>
      <c r="H3963" s="6" t="s">
        <v>15</v>
      </c>
      <c r="I3963" s="6">
        <f>TabJogos[[#This Row],[PontosTime1]]-TabJogos[[#This Row],[PontosTime2]]</f>
        <v>3</v>
      </c>
    </row>
    <row r="3964" spans="1:9" ht="15" customHeight="1" x14ac:dyDescent="0.25">
      <c r="A3964" s="7">
        <v>3963</v>
      </c>
      <c r="B3964" s="1">
        <v>43668</v>
      </c>
      <c r="C3964" s="6" t="s">
        <v>11</v>
      </c>
      <c r="D3964" s="6" t="s">
        <v>32</v>
      </c>
      <c r="E3964" s="6">
        <v>3</v>
      </c>
      <c r="F3964" s="6">
        <v>1</v>
      </c>
      <c r="G3964" s="6" t="s">
        <v>9</v>
      </c>
      <c r="H3964" s="6" t="s">
        <v>18</v>
      </c>
      <c r="I3964" s="6">
        <f>TabJogos[[#This Row],[PontosTime1]]-TabJogos[[#This Row],[PontosTime2]]</f>
        <v>2</v>
      </c>
    </row>
    <row r="3965" spans="1:9" ht="15" customHeight="1" x14ac:dyDescent="0.25">
      <c r="A3965" s="7">
        <v>3964</v>
      </c>
      <c r="B3965" s="1">
        <v>43668</v>
      </c>
      <c r="C3965" s="6" t="s">
        <v>18</v>
      </c>
      <c r="D3965" s="6" t="s">
        <v>32</v>
      </c>
      <c r="E3965" s="6">
        <v>3</v>
      </c>
      <c r="F3965" s="6">
        <v>1</v>
      </c>
      <c r="G3965" s="6" t="s">
        <v>11</v>
      </c>
      <c r="H3965" s="6" t="s">
        <v>15</v>
      </c>
      <c r="I3965" s="6">
        <f>TabJogos[[#This Row],[PontosTime1]]-TabJogos[[#This Row],[PontosTime2]]</f>
        <v>2</v>
      </c>
    </row>
    <row r="3966" spans="1:9" ht="15" customHeight="1" x14ac:dyDescent="0.25">
      <c r="A3966" s="7">
        <v>3965</v>
      </c>
      <c r="B3966" s="1">
        <v>43668</v>
      </c>
      <c r="C3966" s="6" t="s">
        <v>15</v>
      </c>
      <c r="D3966" s="6" t="s">
        <v>18</v>
      </c>
      <c r="E3966" s="6">
        <v>3</v>
      </c>
      <c r="F3966" s="6">
        <v>2</v>
      </c>
      <c r="G3966" s="6" t="s">
        <v>32</v>
      </c>
      <c r="H3966" s="6" t="s">
        <v>9</v>
      </c>
      <c r="I3966" s="6">
        <f>TabJogos[[#This Row],[PontosTime1]]-TabJogos[[#This Row],[PontosTime2]]</f>
        <v>1</v>
      </c>
    </row>
    <row r="3967" spans="1:9" ht="15" customHeight="1" x14ac:dyDescent="0.25">
      <c r="A3967" s="7">
        <v>3966</v>
      </c>
      <c r="B3967" s="1">
        <v>43668</v>
      </c>
      <c r="C3967" s="6" t="s">
        <v>9</v>
      </c>
      <c r="D3967" s="6" t="s">
        <v>15</v>
      </c>
      <c r="E3967" s="6">
        <v>0</v>
      </c>
      <c r="F3967" s="6">
        <v>4</v>
      </c>
      <c r="G3967" s="6" t="s">
        <v>18</v>
      </c>
      <c r="H3967" s="6" t="s">
        <v>32</v>
      </c>
      <c r="I3967" s="6">
        <f>TabJogos[[#This Row],[PontosTime1]]-TabJogos[[#This Row],[PontosTime2]]</f>
        <v>-4</v>
      </c>
    </row>
    <row r="3968" spans="1:9" ht="15" customHeight="1" x14ac:dyDescent="0.25">
      <c r="A3968" s="7">
        <v>3967</v>
      </c>
      <c r="B3968" s="1">
        <v>43668</v>
      </c>
      <c r="C3968" s="6" t="s">
        <v>9</v>
      </c>
      <c r="D3968" s="6" t="s">
        <v>18</v>
      </c>
      <c r="E3968" s="6">
        <v>4</v>
      </c>
      <c r="F3968" s="6">
        <v>1</v>
      </c>
      <c r="G3968" s="6" t="s">
        <v>11</v>
      </c>
      <c r="H3968" s="6" t="s">
        <v>32</v>
      </c>
      <c r="I3968" s="6">
        <f>TabJogos[[#This Row],[PontosTime1]]-TabJogos[[#This Row],[PontosTime2]]</f>
        <v>3</v>
      </c>
    </row>
    <row r="3969" spans="1:9" ht="15" customHeight="1" x14ac:dyDescent="0.25">
      <c r="A3969" s="7">
        <v>3968</v>
      </c>
      <c r="B3969" s="1">
        <v>43668</v>
      </c>
      <c r="C3969" s="6" t="s">
        <v>11</v>
      </c>
      <c r="D3969" s="6" t="s">
        <v>18</v>
      </c>
      <c r="E3969" s="6">
        <v>3</v>
      </c>
      <c r="F3969" s="6">
        <v>2</v>
      </c>
      <c r="G3969" s="6" t="s">
        <v>9</v>
      </c>
      <c r="H3969" s="6" t="s">
        <v>15</v>
      </c>
      <c r="I3969" s="6">
        <f>TabJogos[[#This Row],[PontosTime1]]-TabJogos[[#This Row],[PontosTime2]]</f>
        <v>1</v>
      </c>
    </row>
    <row r="3970" spans="1:9" ht="15" customHeight="1" x14ac:dyDescent="0.25">
      <c r="A3970" s="7">
        <v>3969</v>
      </c>
      <c r="B3970" s="1">
        <v>43668</v>
      </c>
      <c r="C3970" s="6" t="s">
        <v>11</v>
      </c>
      <c r="D3970" s="6" t="s">
        <v>9</v>
      </c>
      <c r="E3970" s="6">
        <v>2</v>
      </c>
      <c r="F3970" s="6">
        <v>3</v>
      </c>
      <c r="G3970" s="6" t="s">
        <v>15</v>
      </c>
      <c r="H3970" s="6" t="s">
        <v>18</v>
      </c>
      <c r="I3970" s="6">
        <f>TabJogos[[#This Row],[PontosTime1]]-TabJogos[[#This Row],[PontosTime2]]</f>
        <v>-1</v>
      </c>
    </row>
    <row r="3971" spans="1:9" ht="15" customHeight="1" x14ac:dyDescent="0.25">
      <c r="A3971" s="7">
        <v>3970</v>
      </c>
      <c r="B3971" s="1">
        <v>43668</v>
      </c>
      <c r="C3971" s="6" t="s">
        <v>18</v>
      </c>
      <c r="D3971" s="6" t="s">
        <v>9</v>
      </c>
      <c r="E3971" s="6">
        <v>3</v>
      </c>
      <c r="F3971" s="6">
        <v>0</v>
      </c>
      <c r="G3971" s="6" t="s">
        <v>15</v>
      </c>
      <c r="H3971" s="6" t="s">
        <v>11</v>
      </c>
      <c r="I3971" s="6">
        <f>TabJogos[[#This Row],[PontosTime1]]-TabJogos[[#This Row],[PontosTime2]]</f>
        <v>3</v>
      </c>
    </row>
    <row r="3972" spans="1:9" ht="15" customHeight="1" x14ac:dyDescent="0.25">
      <c r="A3972" s="7">
        <v>3971</v>
      </c>
      <c r="B3972" s="1">
        <v>43668</v>
      </c>
      <c r="C3972" s="6" t="s">
        <v>15</v>
      </c>
      <c r="D3972" s="6" t="s">
        <v>9</v>
      </c>
      <c r="E3972" s="6">
        <v>3</v>
      </c>
      <c r="F3972" s="6">
        <v>0</v>
      </c>
      <c r="G3972" s="6" t="s">
        <v>11</v>
      </c>
      <c r="H3972" s="6" t="s">
        <v>18</v>
      </c>
      <c r="I3972" s="6">
        <f>TabJogos[[#This Row],[PontosTime1]]-TabJogos[[#This Row],[PontosTime2]]</f>
        <v>3</v>
      </c>
    </row>
    <row r="3973" spans="1:9" ht="15" customHeight="1" x14ac:dyDescent="0.25">
      <c r="A3973" s="7">
        <v>3972</v>
      </c>
      <c r="B3973" s="1">
        <v>43669</v>
      </c>
      <c r="C3973" s="6" t="s">
        <v>11</v>
      </c>
      <c r="D3973" s="6" t="s">
        <v>18</v>
      </c>
      <c r="E3973" s="6">
        <v>3</v>
      </c>
      <c r="F3973" s="6">
        <v>1</v>
      </c>
      <c r="G3973" s="6" t="s">
        <v>9</v>
      </c>
      <c r="H3973" s="6" t="s">
        <v>17</v>
      </c>
      <c r="I3973" s="6">
        <f>TabJogos[[#This Row],[PontosTime1]]-TabJogos[[#This Row],[PontosTime2]]</f>
        <v>2</v>
      </c>
    </row>
    <row r="3974" spans="1:9" ht="15" customHeight="1" x14ac:dyDescent="0.25">
      <c r="A3974" s="7">
        <v>3973</v>
      </c>
      <c r="B3974" s="1">
        <v>43669</v>
      </c>
      <c r="C3974" s="6" t="s">
        <v>11</v>
      </c>
      <c r="D3974" s="6" t="s">
        <v>15</v>
      </c>
      <c r="E3974" s="6">
        <v>4</v>
      </c>
      <c r="F3974" s="6">
        <v>1</v>
      </c>
      <c r="G3974" s="6" t="s">
        <v>18</v>
      </c>
      <c r="H3974" s="6" t="s">
        <v>9</v>
      </c>
      <c r="I3974" s="6">
        <f>TabJogos[[#This Row],[PontosTime1]]-TabJogos[[#This Row],[PontosTime2]]</f>
        <v>3</v>
      </c>
    </row>
    <row r="3975" spans="1:9" ht="15" customHeight="1" x14ac:dyDescent="0.25">
      <c r="A3975" s="7">
        <v>3974</v>
      </c>
      <c r="B3975" s="1">
        <v>43669</v>
      </c>
      <c r="C3975" s="6" t="s">
        <v>11</v>
      </c>
      <c r="D3975" s="6" t="s">
        <v>17</v>
      </c>
      <c r="E3975" s="6">
        <v>0</v>
      </c>
      <c r="F3975" s="6">
        <v>6</v>
      </c>
      <c r="G3975" s="6" t="s">
        <v>18</v>
      </c>
      <c r="H3975" s="6" t="s">
        <v>15</v>
      </c>
      <c r="I3975" s="6">
        <f>TabJogos[[#This Row],[PontosTime1]]-TabJogos[[#This Row],[PontosTime2]]</f>
        <v>-6</v>
      </c>
    </row>
    <row r="3976" spans="1:9" ht="15" customHeight="1" x14ac:dyDescent="0.25">
      <c r="A3976" s="7">
        <v>3975</v>
      </c>
      <c r="B3976" s="1">
        <v>43669</v>
      </c>
      <c r="C3976" s="6" t="s">
        <v>9</v>
      </c>
      <c r="D3976" s="6" t="s">
        <v>15</v>
      </c>
      <c r="E3976" s="6">
        <v>1</v>
      </c>
      <c r="F3976" s="6">
        <v>3</v>
      </c>
      <c r="G3976" s="6" t="s">
        <v>18</v>
      </c>
      <c r="H3976" s="6" t="s">
        <v>17</v>
      </c>
      <c r="I3976" s="6">
        <f>TabJogos[[#This Row],[PontosTime1]]-TabJogos[[#This Row],[PontosTime2]]</f>
        <v>-2</v>
      </c>
    </row>
    <row r="3977" spans="1:9" ht="15" customHeight="1" x14ac:dyDescent="0.25">
      <c r="A3977" s="7">
        <v>3976</v>
      </c>
      <c r="B3977" s="1">
        <v>43669</v>
      </c>
      <c r="C3977" s="6" t="s">
        <v>11</v>
      </c>
      <c r="D3977" s="6" t="s">
        <v>18</v>
      </c>
      <c r="E3977" s="6">
        <v>3</v>
      </c>
      <c r="F3977" s="6">
        <v>2</v>
      </c>
      <c r="G3977" s="6" t="s">
        <v>17</v>
      </c>
      <c r="H3977" s="6" t="s">
        <v>32</v>
      </c>
      <c r="I3977" s="6">
        <f>TabJogos[[#This Row],[PontosTime1]]-TabJogos[[#This Row],[PontosTime2]]</f>
        <v>1</v>
      </c>
    </row>
    <row r="3978" spans="1:9" ht="15" customHeight="1" x14ac:dyDescent="0.25">
      <c r="A3978" s="7">
        <v>3977</v>
      </c>
      <c r="B3978" s="1">
        <v>43669</v>
      </c>
      <c r="C3978" s="6" t="s">
        <v>11</v>
      </c>
      <c r="D3978" s="6" t="s">
        <v>9</v>
      </c>
      <c r="E3978" s="6">
        <v>0</v>
      </c>
      <c r="F3978" s="6">
        <v>3</v>
      </c>
      <c r="G3978" s="6" t="s">
        <v>18</v>
      </c>
      <c r="H3978" s="6" t="s">
        <v>15</v>
      </c>
      <c r="I3978" s="6">
        <f>TabJogos[[#This Row],[PontosTime1]]-TabJogos[[#This Row],[PontosTime2]]</f>
        <v>-3</v>
      </c>
    </row>
    <row r="3979" spans="1:9" ht="15" customHeight="1" x14ac:dyDescent="0.25">
      <c r="A3979" s="7">
        <v>3978</v>
      </c>
      <c r="B3979" s="1">
        <v>43669</v>
      </c>
      <c r="C3979" s="6" t="s">
        <v>17</v>
      </c>
      <c r="D3979" s="6" t="s">
        <v>15</v>
      </c>
      <c r="E3979" s="6">
        <v>2</v>
      </c>
      <c r="F3979" s="6">
        <v>5</v>
      </c>
      <c r="G3979" s="6" t="s">
        <v>18</v>
      </c>
      <c r="H3979" s="6" t="s">
        <v>32</v>
      </c>
      <c r="I3979" s="6">
        <f>TabJogos[[#This Row],[PontosTime1]]-TabJogos[[#This Row],[PontosTime2]]</f>
        <v>-3</v>
      </c>
    </row>
    <row r="3980" spans="1:9" ht="15" customHeight="1" x14ac:dyDescent="0.25">
      <c r="A3980" s="7">
        <v>3979</v>
      </c>
      <c r="B3980" s="1">
        <v>43669</v>
      </c>
      <c r="C3980" s="6" t="s">
        <v>11</v>
      </c>
      <c r="D3980" s="6" t="s">
        <v>32</v>
      </c>
      <c r="E3980" s="6">
        <v>3</v>
      </c>
      <c r="F3980" s="6">
        <v>0</v>
      </c>
      <c r="G3980" s="6" t="s">
        <v>18</v>
      </c>
      <c r="H3980" s="6" t="s">
        <v>9</v>
      </c>
      <c r="I3980" s="6">
        <f>TabJogos[[#This Row],[PontosTime1]]-TabJogos[[#This Row],[PontosTime2]]</f>
        <v>3</v>
      </c>
    </row>
    <row r="3981" spans="1:9" ht="15" customHeight="1" x14ac:dyDescent="0.25">
      <c r="A3981" s="7">
        <v>3980</v>
      </c>
      <c r="B3981" s="1">
        <v>43669</v>
      </c>
      <c r="C3981" s="6" t="s">
        <v>15</v>
      </c>
      <c r="D3981" s="6" t="s">
        <v>32</v>
      </c>
      <c r="E3981" s="6">
        <v>2</v>
      </c>
      <c r="F3981" s="6">
        <v>3</v>
      </c>
      <c r="G3981" s="6" t="s">
        <v>11</v>
      </c>
      <c r="H3981" s="6" t="s">
        <v>17</v>
      </c>
      <c r="I3981" s="6">
        <f>TabJogos[[#This Row],[PontosTime1]]-TabJogos[[#This Row],[PontosTime2]]</f>
        <v>-1</v>
      </c>
    </row>
    <row r="3982" spans="1:9" ht="15" customHeight="1" x14ac:dyDescent="0.25">
      <c r="A3982" s="7">
        <v>3981</v>
      </c>
      <c r="B3982" s="1">
        <v>43669</v>
      </c>
      <c r="C3982" s="6" t="s">
        <v>11</v>
      </c>
      <c r="D3982" s="6" t="s">
        <v>18</v>
      </c>
      <c r="E3982" s="6">
        <v>5</v>
      </c>
      <c r="F3982" s="6">
        <v>1</v>
      </c>
      <c r="G3982" s="6" t="s">
        <v>9</v>
      </c>
      <c r="H3982" s="6" t="s">
        <v>17</v>
      </c>
      <c r="I3982" s="6">
        <f>TabJogos[[#This Row],[PontosTime1]]-TabJogos[[#This Row],[PontosTime2]]</f>
        <v>4</v>
      </c>
    </row>
    <row r="3983" spans="1:9" ht="15" customHeight="1" x14ac:dyDescent="0.25">
      <c r="A3983" s="7">
        <v>3982</v>
      </c>
      <c r="B3983" s="1">
        <v>43669</v>
      </c>
      <c r="C3983" s="6" t="s">
        <v>11</v>
      </c>
      <c r="D3983" s="6" t="s">
        <v>15</v>
      </c>
      <c r="E3983" s="6">
        <v>2</v>
      </c>
      <c r="F3983" s="6">
        <v>3</v>
      </c>
      <c r="G3983" s="6" t="s">
        <v>32</v>
      </c>
      <c r="H3983" s="6" t="s">
        <v>18</v>
      </c>
      <c r="I3983" s="6">
        <f>TabJogos[[#This Row],[PontosTime1]]-TabJogos[[#This Row],[PontosTime2]]</f>
        <v>-1</v>
      </c>
    </row>
    <row r="3984" spans="1:9" ht="15" customHeight="1" x14ac:dyDescent="0.25">
      <c r="A3984" s="7">
        <v>3983</v>
      </c>
      <c r="B3984" s="1">
        <v>43669</v>
      </c>
      <c r="C3984" s="6" t="s">
        <v>17</v>
      </c>
      <c r="D3984" s="6" t="s">
        <v>18</v>
      </c>
      <c r="E3984" s="6">
        <v>4</v>
      </c>
      <c r="F3984" s="6">
        <v>1</v>
      </c>
      <c r="G3984" s="6" t="s">
        <v>9</v>
      </c>
      <c r="H3984" s="6" t="s">
        <v>32</v>
      </c>
      <c r="I3984" s="6">
        <f>TabJogos[[#This Row],[PontosTime1]]-TabJogos[[#This Row],[PontosTime2]]</f>
        <v>3</v>
      </c>
    </row>
    <row r="3985" spans="1:9" ht="15" customHeight="1" x14ac:dyDescent="0.25">
      <c r="A3985" s="7">
        <v>3984</v>
      </c>
      <c r="B3985" s="1">
        <v>43669</v>
      </c>
      <c r="C3985" s="6" t="s">
        <v>15</v>
      </c>
      <c r="D3985" s="6" t="s">
        <v>17</v>
      </c>
      <c r="E3985" s="6">
        <v>3</v>
      </c>
      <c r="F3985" s="6">
        <v>2</v>
      </c>
      <c r="G3985" s="6" t="s">
        <v>9</v>
      </c>
      <c r="H3985" s="6" t="s">
        <v>18</v>
      </c>
      <c r="I3985" s="6">
        <f>TabJogos[[#This Row],[PontosTime1]]-TabJogos[[#This Row],[PontosTime2]]</f>
        <v>1</v>
      </c>
    </row>
    <row r="3986" spans="1:9" ht="15" customHeight="1" x14ac:dyDescent="0.25">
      <c r="A3986" s="7">
        <v>3985</v>
      </c>
      <c r="B3986" s="1">
        <v>43669</v>
      </c>
      <c r="C3986" s="6" t="s">
        <v>11</v>
      </c>
      <c r="D3986" s="6" t="s">
        <v>17</v>
      </c>
      <c r="E3986" s="6">
        <v>4</v>
      </c>
      <c r="F3986" s="6">
        <v>0</v>
      </c>
      <c r="G3986" s="6" t="s">
        <v>9</v>
      </c>
      <c r="H3986" s="6" t="s">
        <v>15</v>
      </c>
      <c r="I3986" s="6">
        <f>TabJogos[[#This Row],[PontosTime1]]-TabJogos[[#This Row],[PontosTime2]]</f>
        <v>4</v>
      </c>
    </row>
    <row r="3987" spans="1:9" ht="15" customHeight="1" x14ac:dyDescent="0.25">
      <c r="A3987" s="7">
        <v>3986</v>
      </c>
      <c r="B3987" s="1">
        <v>43669</v>
      </c>
      <c r="C3987" s="6" t="s">
        <v>11</v>
      </c>
      <c r="D3987" s="6" t="s">
        <v>9</v>
      </c>
      <c r="E3987" s="6">
        <v>2</v>
      </c>
      <c r="F3987" s="6">
        <v>3</v>
      </c>
      <c r="G3987" s="6" t="s">
        <v>17</v>
      </c>
      <c r="H3987" s="6" t="s">
        <v>18</v>
      </c>
      <c r="I3987" s="6">
        <f>TabJogos[[#This Row],[PontosTime1]]-TabJogos[[#This Row],[PontosTime2]]</f>
        <v>-1</v>
      </c>
    </row>
    <row r="3988" spans="1:9" ht="15" customHeight="1" x14ac:dyDescent="0.25">
      <c r="A3988" s="7">
        <v>3987</v>
      </c>
      <c r="B3988" s="1">
        <v>43669</v>
      </c>
      <c r="C3988" s="6" t="s">
        <v>11</v>
      </c>
      <c r="D3988" s="6" t="s">
        <v>18</v>
      </c>
      <c r="E3988" s="6">
        <v>4</v>
      </c>
      <c r="F3988" s="6">
        <v>2</v>
      </c>
      <c r="G3988" s="6" t="s">
        <v>9</v>
      </c>
      <c r="H3988" s="6" t="s">
        <v>17</v>
      </c>
      <c r="I3988" s="6">
        <f>TabJogos[[#This Row],[PontosTime1]]-TabJogos[[#This Row],[PontosTime2]]</f>
        <v>2</v>
      </c>
    </row>
    <row r="3989" spans="1:9" ht="15" customHeight="1" x14ac:dyDescent="0.25">
      <c r="A3989" s="7">
        <v>3988</v>
      </c>
      <c r="B3989" s="1">
        <v>43669</v>
      </c>
      <c r="C3989" s="6" t="s">
        <v>11</v>
      </c>
      <c r="D3989" s="6" t="s">
        <v>17</v>
      </c>
      <c r="E3989" s="6">
        <v>4</v>
      </c>
      <c r="F3989" s="6">
        <v>0</v>
      </c>
      <c r="G3989" s="6" t="s">
        <v>9</v>
      </c>
      <c r="H3989" s="6" t="s">
        <v>18</v>
      </c>
      <c r="I3989" s="6">
        <f>TabJogos[[#This Row],[PontosTime1]]-TabJogos[[#This Row],[PontosTime2]]</f>
        <v>4</v>
      </c>
    </row>
    <row r="3990" spans="1:9" ht="15" customHeight="1" x14ac:dyDescent="0.25">
      <c r="A3990" s="7">
        <v>3989</v>
      </c>
      <c r="B3990" s="1">
        <v>43669</v>
      </c>
      <c r="C3990" s="6" t="s">
        <v>11</v>
      </c>
      <c r="D3990" s="6" t="s">
        <v>9</v>
      </c>
      <c r="E3990" s="6">
        <v>3</v>
      </c>
      <c r="F3990" s="6">
        <v>0</v>
      </c>
      <c r="G3990" s="6" t="s">
        <v>17</v>
      </c>
      <c r="H3990" s="6" t="s">
        <v>18</v>
      </c>
      <c r="I3990" s="6">
        <f>TabJogos[[#This Row],[PontosTime1]]-TabJogos[[#This Row],[PontosTime2]]</f>
        <v>3</v>
      </c>
    </row>
    <row r="3991" spans="1:9" ht="15" customHeight="1" x14ac:dyDescent="0.25">
      <c r="A3991" s="7">
        <v>3990</v>
      </c>
      <c r="B3991" s="1">
        <v>43670</v>
      </c>
      <c r="C3991" s="6" t="s">
        <v>17</v>
      </c>
      <c r="D3991" s="6" t="s">
        <v>32</v>
      </c>
      <c r="E3991" s="6">
        <v>4</v>
      </c>
      <c r="F3991" s="6">
        <v>2</v>
      </c>
      <c r="G3991" s="6" t="s">
        <v>9</v>
      </c>
      <c r="H3991" s="6" t="s">
        <v>11</v>
      </c>
      <c r="I3991" s="6">
        <f>TabJogos[[#This Row],[PontosTime1]]-TabJogos[[#This Row],[PontosTime2]]</f>
        <v>2</v>
      </c>
    </row>
    <row r="3992" spans="1:9" ht="15" customHeight="1" x14ac:dyDescent="0.25">
      <c r="A3992" s="7">
        <v>3991</v>
      </c>
      <c r="B3992" s="1">
        <v>43670</v>
      </c>
      <c r="C3992" s="6" t="s">
        <v>17</v>
      </c>
      <c r="D3992" s="6" t="s">
        <v>9</v>
      </c>
      <c r="E3992" s="6">
        <v>0</v>
      </c>
      <c r="F3992" s="6">
        <v>3</v>
      </c>
      <c r="G3992" s="6" t="s">
        <v>11</v>
      </c>
      <c r="H3992" s="6" t="s">
        <v>32</v>
      </c>
      <c r="I3992" s="6">
        <f>TabJogos[[#This Row],[PontosTime1]]-TabJogos[[#This Row],[PontosTime2]]</f>
        <v>-3</v>
      </c>
    </row>
    <row r="3993" spans="1:9" ht="15" customHeight="1" x14ac:dyDescent="0.25">
      <c r="A3993" s="7">
        <v>3992</v>
      </c>
      <c r="B3993" s="1">
        <v>43670</v>
      </c>
      <c r="C3993" s="6" t="s">
        <v>18</v>
      </c>
      <c r="D3993" s="6" t="s">
        <v>32</v>
      </c>
      <c r="E3993" s="6">
        <v>2</v>
      </c>
      <c r="F3993" s="6">
        <v>3</v>
      </c>
      <c r="G3993" s="6" t="s">
        <v>11</v>
      </c>
      <c r="H3993" s="6" t="s">
        <v>17</v>
      </c>
      <c r="I3993" s="6">
        <f>TabJogos[[#This Row],[PontosTime1]]-TabJogos[[#This Row],[PontosTime2]]</f>
        <v>-1</v>
      </c>
    </row>
    <row r="3994" spans="1:9" ht="15" customHeight="1" x14ac:dyDescent="0.25">
      <c r="A3994" s="7">
        <v>3993</v>
      </c>
      <c r="B3994" s="1">
        <v>43670</v>
      </c>
      <c r="C3994" s="6" t="s">
        <v>9</v>
      </c>
      <c r="D3994" s="6" t="s">
        <v>17</v>
      </c>
      <c r="E3994" s="6">
        <v>3</v>
      </c>
      <c r="F3994" s="6">
        <v>2</v>
      </c>
      <c r="G3994" s="6" t="s">
        <v>11</v>
      </c>
      <c r="H3994" s="6" t="s">
        <v>32</v>
      </c>
      <c r="I3994" s="6">
        <f>TabJogos[[#This Row],[PontosTime1]]-TabJogos[[#This Row],[PontosTime2]]</f>
        <v>1</v>
      </c>
    </row>
    <row r="3995" spans="1:9" ht="15" customHeight="1" x14ac:dyDescent="0.25">
      <c r="A3995" s="7">
        <v>3994</v>
      </c>
      <c r="B3995" s="1">
        <v>43670</v>
      </c>
      <c r="C3995" s="6" t="s">
        <v>32</v>
      </c>
      <c r="D3995" s="6" t="s">
        <v>9</v>
      </c>
      <c r="E3995" s="6">
        <v>3</v>
      </c>
      <c r="F3995" s="6">
        <v>0</v>
      </c>
      <c r="G3995" s="6" t="s">
        <v>17</v>
      </c>
      <c r="H3995" s="6" t="s">
        <v>18</v>
      </c>
      <c r="I3995" s="6">
        <f>TabJogos[[#This Row],[PontosTime1]]-TabJogos[[#This Row],[PontosTime2]]</f>
        <v>3</v>
      </c>
    </row>
    <row r="3996" spans="1:9" ht="15" customHeight="1" x14ac:dyDescent="0.25">
      <c r="A3996" s="7">
        <v>3995</v>
      </c>
      <c r="B3996" s="1">
        <v>43670</v>
      </c>
      <c r="C3996" s="6" t="s">
        <v>9</v>
      </c>
      <c r="D3996" s="6" t="s">
        <v>11</v>
      </c>
      <c r="E3996" s="6">
        <v>3</v>
      </c>
      <c r="F3996" s="6">
        <v>0</v>
      </c>
      <c r="G3996" s="6" t="s">
        <v>17</v>
      </c>
      <c r="H3996" s="6" t="s">
        <v>32</v>
      </c>
      <c r="I3996" s="6">
        <f>TabJogos[[#This Row],[PontosTime1]]-TabJogos[[#This Row],[PontosTime2]]</f>
        <v>3</v>
      </c>
    </row>
    <row r="3997" spans="1:9" ht="15" customHeight="1" x14ac:dyDescent="0.25">
      <c r="A3997" s="7">
        <v>3996</v>
      </c>
      <c r="B3997" s="1">
        <v>43670</v>
      </c>
      <c r="C3997" s="6" t="s">
        <v>9</v>
      </c>
      <c r="D3997" s="6" t="s">
        <v>18</v>
      </c>
      <c r="E3997" s="6">
        <v>3</v>
      </c>
      <c r="F3997" s="6">
        <v>1</v>
      </c>
      <c r="G3997" s="6" t="s">
        <v>11</v>
      </c>
      <c r="H3997" s="6" t="s">
        <v>17</v>
      </c>
      <c r="I3997" s="6">
        <f>TabJogos[[#This Row],[PontosTime1]]-TabJogos[[#This Row],[PontosTime2]]</f>
        <v>2</v>
      </c>
    </row>
    <row r="3998" spans="1:9" ht="15" customHeight="1" x14ac:dyDescent="0.25">
      <c r="A3998" s="7">
        <v>3997</v>
      </c>
      <c r="B3998" s="1">
        <v>43670</v>
      </c>
      <c r="C3998" s="6" t="s">
        <v>9</v>
      </c>
      <c r="D3998" s="6" t="s">
        <v>17</v>
      </c>
      <c r="E3998" s="6">
        <v>3</v>
      </c>
      <c r="F3998" s="6">
        <v>1</v>
      </c>
      <c r="G3998" s="6" t="s">
        <v>18</v>
      </c>
      <c r="H3998" s="6" t="s">
        <v>11</v>
      </c>
      <c r="I3998" s="6">
        <f>TabJogos[[#This Row],[PontosTime1]]-TabJogos[[#This Row],[PontosTime2]]</f>
        <v>2</v>
      </c>
    </row>
    <row r="3999" spans="1:9" ht="15" customHeight="1" x14ac:dyDescent="0.25">
      <c r="A3999" s="7">
        <v>3998</v>
      </c>
      <c r="B3999" s="1">
        <v>43670</v>
      </c>
      <c r="C3999" s="6" t="s">
        <v>9</v>
      </c>
      <c r="D3999" s="6" t="s">
        <v>11</v>
      </c>
      <c r="E3999" s="6">
        <v>3</v>
      </c>
      <c r="F3999" s="6">
        <v>0</v>
      </c>
      <c r="G3999" s="6" t="s">
        <v>17</v>
      </c>
      <c r="H3999" s="6" t="s">
        <v>18</v>
      </c>
      <c r="I3999" s="6">
        <f>TabJogos[[#This Row],[PontosTime1]]-TabJogos[[#This Row],[PontosTime2]]</f>
        <v>3</v>
      </c>
    </row>
    <row r="4000" spans="1:9" ht="15" customHeight="1" x14ac:dyDescent="0.25">
      <c r="A4000" s="7">
        <v>3999</v>
      </c>
      <c r="B4000" s="1">
        <v>43670</v>
      </c>
      <c r="C4000" s="6" t="s">
        <v>11</v>
      </c>
      <c r="D4000" s="6" t="s">
        <v>17</v>
      </c>
      <c r="E4000" s="6">
        <v>3</v>
      </c>
      <c r="F4000" s="6">
        <v>2</v>
      </c>
      <c r="G4000" s="6" t="s">
        <v>9</v>
      </c>
      <c r="H4000" s="6" t="s">
        <v>18</v>
      </c>
      <c r="I4000" s="6">
        <f>TabJogos[[#This Row],[PontosTime1]]-TabJogos[[#This Row],[PontosTime2]]</f>
        <v>1</v>
      </c>
    </row>
    <row r="4001" spans="1:9" ht="15" customHeight="1" x14ac:dyDescent="0.25">
      <c r="A4001" s="7">
        <v>4000</v>
      </c>
      <c r="B4001" s="1">
        <v>43670</v>
      </c>
      <c r="C4001" s="6" t="s">
        <v>11</v>
      </c>
      <c r="D4001" s="6" t="s">
        <v>18</v>
      </c>
      <c r="E4001" s="6">
        <v>4</v>
      </c>
      <c r="F4001" s="6">
        <v>0</v>
      </c>
      <c r="G4001" s="6" t="s">
        <v>9</v>
      </c>
      <c r="H4001" s="6" t="s">
        <v>17</v>
      </c>
      <c r="I4001" s="6">
        <f>TabJogos[[#This Row],[PontosTime1]]-TabJogos[[#This Row],[PontosTime2]]</f>
        <v>4</v>
      </c>
    </row>
    <row r="4002" spans="1:9" ht="15" customHeight="1" x14ac:dyDescent="0.25">
      <c r="A4002" s="7">
        <v>4001</v>
      </c>
      <c r="B4002" s="1">
        <v>43670</v>
      </c>
      <c r="C4002" s="6" t="s">
        <v>11</v>
      </c>
      <c r="D4002" s="6" t="s">
        <v>9</v>
      </c>
      <c r="E4002" s="6">
        <v>2</v>
      </c>
      <c r="F4002" s="6">
        <v>4</v>
      </c>
      <c r="G4002" s="6" t="s">
        <v>18</v>
      </c>
      <c r="H4002" s="6" t="s">
        <v>17</v>
      </c>
      <c r="I4002" s="6">
        <f>TabJogos[[#This Row],[PontosTime1]]-TabJogos[[#This Row],[PontosTime2]]</f>
        <v>-2</v>
      </c>
    </row>
    <row r="4003" spans="1:9" ht="15" customHeight="1" x14ac:dyDescent="0.25">
      <c r="A4003" s="7">
        <v>4002</v>
      </c>
      <c r="B4003" s="1">
        <v>43672</v>
      </c>
      <c r="C4003" s="6" t="s">
        <v>17</v>
      </c>
      <c r="D4003" s="6" t="s">
        <v>18</v>
      </c>
      <c r="E4003" s="6">
        <v>3</v>
      </c>
      <c r="F4003" s="6">
        <v>1</v>
      </c>
      <c r="G4003" s="6" t="s">
        <v>11</v>
      </c>
      <c r="H4003" s="6" t="s">
        <v>9</v>
      </c>
      <c r="I4003" s="6">
        <f>TabJogos[[#This Row],[PontosTime1]]-TabJogos[[#This Row],[PontosTime2]]</f>
        <v>2</v>
      </c>
    </row>
    <row r="4004" spans="1:9" ht="15" customHeight="1" x14ac:dyDescent="0.25">
      <c r="A4004" s="7">
        <v>4003</v>
      </c>
      <c r="B4004" s="1">
        <v>43672</v>
      </c>
      <c r="C4004" s="6" t="s">
        <v>11</v>
      </c>
      <c r="D4004" s="6" t="s">
        <v>17</v>
      </c>
      <c r="E4004" s="6">
        <v>3</v>
      </c>
      <c r="F4004" s="6">
        <v>2</v>
      </c>
      <c r="G4004" s="6" t="s">
        <v>9</v>
      </c>
      <c r="H4004" s="6" t="s">
        <v>18</v>
      </c>
      <c r="I4004" s="6">
        <f>TabJogos[[#This Row],[PontosTime1]]-TabJogos[[#This Row],[PontosTime2]]</f>
        <v>1</v>
      </c>
    </row>
    <row r="4005" spans="1:9" ht="15" customHeight="1" x14ac:dyDescent="0.25">
      <c r="A4005" s="7">
        <v>4004</v>
      </c>
      <c r="B4005" s="1">
        <v>43672</v>
      </c>
      <c r="C4005" s="6" t="s">
        <v>11</v>
      </c>
      <c r="D4005" s="6" t="s">
        <v>18</v>
      </c>
      <c r="E4005" s="6">
        <v>2</v>
      </c>
      <c r="F4005" s="6">
        <v>3</v>
      </c>
      <c r="G4005" s="6" t="s">
        <v>17</v>
      </c>
      <c r="H4005" s="6" t="s">
        <v>9</v>
      </c>
      <c r="I4005" s="6">
        <f>TabJogos[[#This Row],[PontosTime1]]-TabJogos[[#This Row],[PontosTime2]]</f>
        <v>-1</v>
      </c>
    </row>
    <row r="4006" spans="1:9" ht="15" customHeight="1" x14ac:dyDescent="0.25">
      <c r="A4006" s="7">
        <v>4005</v>
      </c>
      <c r="B4006" s="1">
        <v>43672</v>
      </c>
      <c r="C4006" s="6" t="s">
        <v>11</v>
      </c>
      <c r="D4006" s="6" t="s">
        <v>9</v>
      </c>
      <c r="E4006" s="6">
        <v>1</v>
      </c>
      <c r="F4006" s="6">
        <v>4</v>
      </c>
      <c r="G4006" s="6" t="s">
        <v>17</v>
      </c>
      <c r="H4006" s="6" t="s">
        <v>18</v>
      </c>
      <c r="I4006" s="6">
        <f>TabJogos[[#This Row],[PontosTime1]]-TabJogos[[#This Row],[PontosTime2]]</f>
        <v>-3</v>
      </c>
    </row>
    <row r="4007" spans="1:9" ht="15" customHeight="1" x14ac:dyDescent="0.25">
      <c r="A4007" s="7">
        <v>4006</v>
      </c>
      <c r="B4007" s="1">
        <v>43672</v>
      </c>
      <c r="C4007" s="6" t="s">
        <v>11</v>
      </c>
      <c r="D4007" s="6" t="s">
        <v>17</v>
      </c>
      <c r="E4007" s="6">
        <v>3</v>
      </c>
      <c r="F4007" s="6">
        <v>2</v>
      </c>
      <c r="G4007" s="6" t="s">
        <v>9</v>
      </c>
      <c r="H4007" s="6" t="s">
        <v>18</v>
      </c>
      <c r="I4007" s="6">
        <f>TabJogos[[#This Row],[PontosTime1]]-TabJogos[[#This Row],[PontosTime2]]</f>
        <v>1</v>
      </c>
    </row>
    <row r="4008" spans="1:9" ht="15" customHeight="1" x14ac:dyDescent="0.25">
      <c r="A4008" s="7">
        <v>4007</v>
      </c>
      <c r="B4008" s="1">
        <v>43672</v>
      </c>
      <c r="C4008" s="6" t="s">
        <v>11</v>
      </c>
      <c r="D4008" s="6" t="s">
        <v>18</v>
      </c>
      <c r="E4008" s="6">
        <v>1</v>
      </c>
      <c r="F4008" s="6">
        <v>3</v>
      </c>
      <c r="G4008" s="6" t="s">
        <v>17</v>
      </c>
      <c r="H4008" s="6" t="s">
        <v>9</v>
      </c>
      <c r="I4008" s="6">
        <f>TabJogos[[#This Row],[PontosTime1]]-TabJogos[[#This Row],[PontosTime2]]</f>
        <v>-2</v>
      </c>
    </row>
    <row r="4009" spans="1:9" ht="15" customHeight="1" x14ac:dyDescent="0.25">
      <c r="A4009" s="7">
        <v>4008</v>
      </c>
      <c r="B4009" s="1">
        <v>43672</v>
      </c>
      <c r="C4009" s="6" t="s">
        <v>9</v>
      </c>
      <c r="D4009" s="6" t="s">
        <v>11</v>
      </c>
      <c r="E4009" s="6">
        <v>3</v>
      </c>
      <c r="F4009" s="6">
        <v>1</v>
      </c>
      <c r="G4009" s="6" t="s">
        <v>17</v>
      </c>
      <c r="H4009" s="6" t="s">
        <v>18</v>
      </c>
      <c r="I4009" s="6">
        <f>TabJogos[[#This Row],[PontosTime1]]-TabJogos[[#This Row],[PontosTime2]]</f>
        <v>2</v>
      </c>
    </row>
    <row r="4010" spans="1:9" ht="15" customHeight="1" x14ac:dyDescent="0.25">
      <c r="A4010" s="7">
        <v>4009</v>
      </c>
      <c r="B4010" s="1">
        <v>43672</v>
      </c>
      <c r="C4010" s="6" t="s">
        <v>11</v>
      </c>
      <c r="D4010" s="6" t="s">
        <v>17</v>
      </c>
      <c r="E4010" s="6">
        <v>3</v>
      </c>
      <c r="F4010" s="6">
        <v>0</v>
      </c>
      <c r="G4010" s="6" t="s">
        <v>9</v>
      </c>
      <c r="H4010" s="6" t="s">
        <v>18</v>
      </c>
      <c r="I4010" s="6">
        <f>TabJogos[[#This Row],[PontosTime1]]-TabJogos[[#This Row],[PontosTime2]]</f>
        <v>3</v>
      </c>
    </row>
    <row r="4011" spans="1:9" ht="15" customHeight="1" x14ac:dyDescent="0.25">
      <c r="A4011" s="7">
        <v>4010</v>
      </c>
      <c r="B4011" s="1">
        <v>43672</v>
      </c>
      <c r="C4011" s="6" t="s">
        <v>11</v>
      </c>
      <c r="D4011" s="6" t="s">
        <v>18</v>
      </c>
      <c r="E4011" s="6">
        <v>0</v>
      </c>
      <c r="F4011" s="6">
        <v>3</v>
      </c>
      <c r="G4011" s="6" t="s">
        <v>17</v>
      </c>
      <c r="H4011" s="6" t="s">
        <v>9</v>
      </c>
      <c r="I4011" s="6">
        <f>TabJogos[[#This Row],[PontosTime1]]-TabJogos[[#This Row],[PontosTime2]]</f>
        <v>-3</v>
      </c>
    </row>
    <row r="4012" spans="1:9" ht="15" customHeight="1" x14ac:dyDescent="0.25">
      <c r="A4012" s="7">
        <v>4011</v>
      </c>
      <c r="B4012" s="1">
        <v>43672</v>
      </c>
      <c r="C4012" s="6" t="s">
        <v>11</v>
      </c>
      <c r="D4012" s="6" t="s">
        <v>9</v>
      </c>
      <c r="E4012" s="6">
        <v>2</v>
      </c>
      <c r="F4012" s="6">
        <v>3</v>
      </c>
      <c r="G4012" s="6" t="s">
        <v>17</v>
      </c>
      <c r="H4012" s="6" t="s">
        <v>18</v>
      </c>
      <c r="I4012" s="6">
        <f>TabJogos[[#This Row],[PontosTime1]]-TabJogos[[#This Row],[PontosTime2]]</f>
        <v>-1</v>
      </c>
    </row>
    <row r="4013" spans="1:9" ht="15" customHeight="1" x14ac:dyDescent="0.25">
      <c r="A4013" s="7">
        <v>4012</v>
      </c>
      <c r="B4013" s="1">
        <v>43672</v>
      </c>
      <c r="C4013" s="6" t="s">
        <v>11</v>
      </c>
      <c r="D4013" s="6" t="s">
        <v>17</v>
      </c>
      <c r="E4013" s="6">
        <v>2</v>
      </c>
      <c r="F4013" s="6">
        <v>3</v>
      </c>
      <c r="G4013" s="6" t="s">
        <v>18</v>
      </c>
      <c r="H4013" s="6" t="s">
        <v>9</v>
      </c>
      <c r="I4013" s="6">
        <f>TabJogos[[#This Row],[PontosTime1]]-TabJogos[[#This Row],[PontosTime2]]</f>
        <v>-1</v>
      </c>
    </row>
    <row r="4014" spans="1:9" ht="15" customHeight="1" x14ac:dyDescent="0.25">
      <c r="A4014" s="7">
        <v>4013</v>
      </c>
      <c r="B4014" s="1">
        <v>43672</v>
      </c>
      <c r="C4014" s="6" t="s">
        <v>11</v>
      </c>
      <c r="D4014" s="6" t="s">
        <v>18</v>
      </c>
      <c r="E4014" s="6">
        <v>3</v>
      </c>
      <c r="F4014" s="6">
        <v>2</v>
      </c>
      <c r="G4014" s="6" t="s">
        <v>17</v>
      </c>
      <c r="H4014" s="6" t="s">
        <v>9</v>
      </c>
      <c r="I4014" s="6">
        <f>TabJogos[[#This Row],[PontosTime1]]-TabJogos[[#This Row],[PontosTime2]]</f>
        <v>1</v>
      </c>
    </row>
    <row r="4015" spans="1:9" ht="15" customHeight="1" x14ac:dyDescent="0.25">
      <c r="A4015" s="7">
        <v>4014</v>
      </c>
      <c r="B4015" s="1">
        <v>43676</v>
      </c>
      <c r="C4015" s="6" t="s">
        <v>18</v>
      </c>
      <c r="D4015" s="6" t="s">
        <v>41</v>
      </c>
      <c r="E4015" s="6">
        <v>3</v>
      </c>
      <c r="F4015" s="6">
        <v>2</v>
      </c>
      <c r="G4015" s="6" t="s">
        <v>17</v>
      </c>
      <c r="H4015" s="6" t="s">
        <v>15</v>
      </c>
      <c r="I4015" s="6">
        <f>TabJogos[[#This Row],[PontosTime1]]-TabJogos[[#This Row],[PontosTime2]]</f>
        <v>1</v>
      </c>
    </row>
    <row r="4016" spans="1:9" ht="15" customHeight="1" x14ac:dyDescent="0.25">
      <c r="A4016" s="7">
        <v>4015</v>
      </c>
      <c r="B4016" s="1">
        <v>43676</v>
      </c>
      <c r="C4016" s="6" t="s">
        <v>18</v>
      </c>
      <c r="D4016" s="6" t="s">
        <v>27</v>
      </c>
      <c r="E4016" s="6">
        <v>3</v>
      </c>
      <c r="F4016" s="6">
        <v>2</v>
      </c>
      <c r="G4016" s="6" t="s">
        <v>41</v>
      </c>
      <c r="H4016" s="6" t="s">
        <v>32</v>
      </c>
      <c r="I4016" s="6">
        <f>TabJogos[[#This Row],[PontosTime1]]-TabJogos[[#This Row],[PontosTime2]]</f>
        <v>1</v>
      </c>
    </row>
    <row r="4017" spans="1:9" ht="15" customHeight="1" x14ac:dyDescent="0.25">
      <c r="A4017" s="7">
        <v>4016</v>
      </c>
      <c r="B4017" s="1">
        <v>43676</v>
      </c>
      <c r="C4017" s="6" t="s">
        <v>27</v>
      </c>
      <c r="D4017" s="6" t="s">
        <v>17</v>
      </c>
      <c r="E4017" s="6">
        <v>1</v>
      </c>
      <c r="F4017" s="6">
        <v>5</v>
      </c>
      <c r="G4017" s="6" t="s">
        <v>15</v>
      </c>
      <c r="H4017" s="6" t="s">
        <v>18</v>
      </c>
      <c r="I4017" s="6">
        <f>TabJogos[[#This Row],[PontosTime1]]-TabJogos[[#This Row],[PontosTime2]]</f>
        <v>-4</v>
      </c>
    </row>
    <row r="4018" spans="1:9" ht="15" customHeight="1" x14ac:dyDescent="0.25">
      <c r="A4018" s="7">
        <v>4017</v>
      </c>
      <c r="B4018" s="1">
        <v>43676</v>
      </c>
      <c r="C4018" s="6" t="s">
        <v>11</v>
      </c>
      <c r="D4018" s="6" t="s">
        <v>15</v>
      </c>
      <c r="E4018" s="6">
        <v>2</v>
      </c>
      <c r="F4018" s="6">
        <v>3</v>
      </c>
      <c r="G4018" s="6" t="s">
        <v>18</v>
      </c>
      <c r="H4018" s="6" t="s">
        <v>9</v>
      </c>
      <c r="I4018" s="6">
        <f>TabJogos[[#This Row],[PontosTime1]]-TabJogos[[#This Row],[PontosTime2]]</f>
        <v>-1</v>
      </c>
    </row>
    <row r="4019" spans="1:9" ht="15" customHeight="1" x14ac:dyDescent="0.25">
      <c r="A4019" s="7">
        <v>4018</v>
      </c>
      <c r="B4019" s="1">
        <v>43676</v>
      </c>
      <c r="C4019" s="6" t="s">
        <v>27</v>
      </c>
      <c r="D4019" s="6" t="s">
        <v>9</v>
      </c>
      <c r="E4019" s="6">
        <v>1</v>
      </c>
      <c r="F4019" s="6">
        <v>3</v>
      </c>
      <c r="G4019" s="6" t="s">
        <v>18</v>
      </c>
      <c r="H4019" s="6" t="s">
        <v>41</v>
      </c>
      <c r="I4019" s="6">
        <f>TabJogos[[#This Row],[PontosTime1]]-TabJogos[[#This Row],[PontosTime2]]</f>
        <v>-2</v>
      </c>
    </row>
    <row r="4020" spans="1:9" ht="15" customHeight="1" x14ac:dyDescent="0.25">
      <c r="A4020" s="7">
        <v>4019</v>
      </c>
      <c r="B4020" s="1">
        <v>43676</v>
      </c>
      <c r="C4020" s="6" t="s">
        <v>17</v>
      </c>
      <c r="D4020" s="6" t="s">
        <v>18</v>
      </c>
      <c r="E4020" s="6">
        <v>3</v>
      </c>
      <c r="F4020" s="6">
        <v>0</v>
      </c>
      <c r="G4020" s="6" t="s">
        <v>15</v>
      </c>
      <c r="H4020" s="6" t="s">
        <v>41</v>
      </c>
      <c r="I4020" s="6">
        <f>TabJogos[[#This Row],[PontosTime1]]-TabJogos[[#This Row],[PontosTime2]]</f>
        <v>3</v>
      </c>
    </row>
    <row r="4021" spans="1:9" ht="15" customHeight="1" x14ac:dyDescent="0.25">
      <c r="A4021" s="7">
        <v>4020</v>
      </c>
      <c r="B4021" s="1">
        <v>43676</v>
      </c>
      <c r="C4021" s="6" t="s">
        <v>13</v>
      </c>
      <c r="D4021" s="6" t="s">
        <v>18</v>
      </c>
      <c r="E4021" s="6">
        <v>3</v>
      </c>
      <c r="F4021" s="6">
        <v>0</v>
      </c>
      <c r="G4021" s="6" t="s">
        <v>11</v>
      </c>
      <c r="H4021" s="6" t="s">
        <v>17</v>
      </c>
      <c r="I4021" s="6">
        <f>TabJogos[[#This Row],[PontosTime1]]-TabJogos[[#This Row],[PontosTime2]]</f>
        <v>3</v>
      </c>
    </row>
    <row r="4022" spans="1:9" ht="15" customHeight="1" x14ac:dyDescent="0.25">
      <c r="A4022" s="7">
        <v>4021</v>
      </c>
      <c r="B4022" s="1">
        <v>43676</v>
      </c>
      <c r="C4022" s="6" t="s">
        <v>13</v>
      </c>
      <c r="D4022" s="6" t="s">
        <v>41</v>
      </c>
      <c r="E4022" s="6">
        <v>0</v>
      </c>
      <c r="F4022" s="6">
        <v>4</v>
      </c>
      <c r="G4022" s="6" t="s">
        <v>18</v>
      </c>
      <c r="H4022" s="6" t="s">
        <v>15</v>
      </c>
      <c r="I4022" s="6">
        <f>TabJogos[[#This Row],[PontosTime1]]-TabJogos[[#This Row],[PontosTime2]]</f>
        <v>-4</v>
      </c>
    </row>
    <row r="4023" spans="1:9" ht="15" customHeight="1" x14ac:dyDescent="0.25">
      <c r="A4023" s="7">
        <v>4022</v>
      </c>
      <c r="B4023" s="1">
        <v>43676</v>
      </c>
      <c r="C4023" s="6" t="s">
        <v>11</v>
      </c>
      <c r="D4023" s="6" t="s">
        <v>18</v>
      </c>
      <c r="E4023" s="6">
        <v>5</v>
      </c>
      <c r="F4023" s="6">
        <v>0</v>
      </c>
      <c r="G4023" s="6" t="s">
        <v>17</v>
      </c>
      <c r="H4023" s="6" t="s">
        <v>15</v>
      </c>
      <c r="I4023" s="6">
        <f>TabJogos[[#This Row],[PontosTime1]]-TabJogos[[#This Row],[PontosTime2]]</f>
        <v>5</v>
      </c>
    </row>
    <row r="4024" spans="1:9" ht="15" customHeight="1" x14ac:dyDescent="0.25">
      <c r="A4024" s="7">
        <v>4023</v>
      </c>
      <c r="B4024" s="1">
        <v>43676</v>
      </c>
      <c r="C4024" s="6" t="s">
        <v>11</v>
      </c>
      <c r="D4024" s="6" t="s">
        <v>13</v>
      </c>
      <c r="E4024" s="6">
        <v>3</v>
      </c>
      <c r="F4024" s="6">
        <v>1</v>
      </c>
      <c r="G4024" s="6" t="s">
        <v>41</v>
      </c>
      <c r="H4024" s="6" t="s">
        <v>18</v>
      </c>
      <c r="I4024" s="6">
        <f>TabJogos[[#This Row],[PontosTime1]]-TabJogos[[#This Row],[PontosTime2]]</f>
        <v>2</v>
      </c>
    </row>
    <row r="4025" spans="1:9" ht="15" customHeight="1" x14ac:dyDescent="0.25">
      <c r="A4025" s="7">
        <v>4024</v>
      </c>
      <c r="B4025" s="1">
        <v>43676</v>
      </c>
      <c r="C4025" s="6" t="s">
        <v>17</v>
      </c>
      <c r="D4025" s="6" t="s">
        <v>13</v>
      </c>
      <c r="E4025" s="6">
        <v>0</v>
      </c>
      <c r="F4025" s="6">
        <v>4</v>
      </c>
      <c r="G4025" s="6" t="s">
        <v>11</v>
      </c>
      <c r="H4025" s="6" t="s">
        <v>18</v>
      </c>
      <c r="I4025" s="6">
        <f>TabJogos[[#This Row],[PontosTime1]]-TabJogos[[#This Row],[PontosTime2]]</f>
        <v>-4</v>
      </c>
    </row>
    <row r="4026" spans="1:9" ht="15" customHeight="1" x14ac:dyDescent="0.25">
      <c r="A4026" s="7">
        <v>4025</v>
      </c>
      <c r="B4026" s="1">
        <v>43676</v>
      </c>
      <c r="C4026" s="6" t="s">
        <v>11</v>
      </c>
      <c r="D4026" s="6" t="s">
        <v>17</v>
      </c>
      <c r="E4026" s="6">
        <v>2</v>
      </c>
      <c r="F4026" s="6">
        <v>3</v>
      </c>
      <c r="G4026" s="6" t="s">
        <v>18</v>
      </c>
      <c r="H4026" s="6" t="s">
        <v>13</v>
      </c>
      <c r="I4026" s="6">
        <f>TabJogos[[#This Row],[PontosTime1]]-TabJogos[[#This Row],[PontosTime2]]</f>
        <v>-1</v>
      </c>
    </row>
    <row r="4027" spans="1:9" ht="15" customHeight="1" x14ac:dyDescent="0.25">
      <c r="A4027" s="7">
        <v>4026</v>
      </c>
      <c r="B4027" s="1">
        <v>43676</v>
      </c>
      <c r="C4027" s="6" t="s">
        <v>17</v>
      </c>
      <c r="D4027" s="6" t="s">
        <v>18</v>
      </c>
      <c r="E4027" s="6">
        <v>5</v>
      </c>
      <c r="F4027" s="6">
        <v>1</v>
      </c>
      <c r="G4027" s="6" t="s">
        <v>13</v>
      </c>
      <c r="H4027" s="6" t="s">
        <v>11</v>
      </c>
      <c r="I4027" s="6">
        <f>TabJogos[[#This Row],[PontosTime1]]-TabJogos[[#This Row],[PontosTime2]]</f>
        <v>4</v>
      </c>
    </row>
    <row r="4028" spans="1:9" ht="15" customHeight="1" x14ac:dyDescent="0.25">
      <c r="A4028" s="7">
        <v>4027</v>
      </c>
      <c r="B4028" s="1">
        <v>43676</v>
      </c>
      <c r="C4028" s="6" t="s">
        <v>11</v>
      </c>
      <c r="D4028" s="6" t="s">
        <v>18</v>
      </c>
      <c r="E4028" s="6">
        <v>2</v>
      </c>
      <c r="F4028" s="6">
        <v>4</v>
      </c>
      <c r="G4028" s="6" t="s">
        <v>17</v>
      </c>
      <c r="H4028" s="6" t="s">
        <v>13</v>
      </c>
      <c r="I4028" s="6">
        <f>TabJogos[[#This Row],[PontosTime1]]-TabJogos[[#This Row],[PontosTime2]]</f>
        <v>-2</v>
      </c>
    </row>
    <row r="4029" spans="1:9" ht="15" customHeight="1" x14ac:dyDescent="0.25">
      <c r="A4029" s="7">
        <v>4028</v>
      </c>
      <c r="B4029" s="1">
        <v>43676</v>
      </c>
      <c r="C4029" s="6" t="s">
        <v>11</v>
      </c>
      <c r="D4029" s="6" t="s">
        <v>17</v>
      </c>
      <c r="E4029" s="6">
        <v>2</v>
      </c>
      <c r="F4029" s="6">
        <v>3</v>
      </c>
      <c r="G4029" s="6" t="s">
        <v>13</v>
      </c>
      <c r="H4029" s="6" t="s">
        <v>18</v>
      </c>
      <c r="I4029" s="6">
        <f>TabJogos[[#This Row],[PontosTime1]]-TabJogos[[#This Row],[PontosTime2]]</f>
        <v>-1</v>
      </c>
    </row>
    <row r="4030" spans="1:9" ht="15" customHeight="1" x14ac:dyDescent="0.25">
      <c r="A4030" s="7">
        <v>4029</v>
      </c>
      <c r="B4030" s="1">
        <v>43676</v>
      </c>
      <c r="C4030" s="6" t="s">
        <v>11</v>
      </c>
      <c r="D4030" s="6" t="s">
        <v>13</v>
      </c>
      <c r="E4030" s="6">
        <v>3</v>
      </c>
      <c r="F4030" s="6">
        <v>1</v>
      </c>
      <c r="G4030" s="6" t="s">
        <v>18</v>
      </c>
      <c r="H4030" s="6" t="s">
        <v>17</v>
      </c>
      <c r="I4030" s="6">
        <f>TabJogos[[#This Row],[PontosTime1]]-TabJogos[[#This Row],[PontosTime2]]</f>
        <v>2</v>
      </c>
    </row>
    <row r="4031" spans="1:9" ht="15" customHeight="1" x14ac:dyDescent="0.25">
      <c r="A4031" s="7">
        <v>4030</v>
      </c>
      <c r="B4031" s="1">
        <v>43677</v>
      </c>
      <c r="C4031" s="6" t="s">
        <v>17</v>
      </c>
      <c r="D4031" s="6" t="s">
        <v>18</v>
      </c>
      <c r="E4031" s="6">
        <v>3</v>
      </c>
      <c r="F4031" s="6">
        <v>1</v>
      </c>
      <c r="G4031" s="6" t="s">
        <v>11</v>
      </c>
      <c r="H4031" s="6" t="s">
        <v>15</v>
      </c>
      <c r="I4031" s="6">
        <f>TabJogos[[#This Row],[PontosTime1]]-TabJogos[[#This Row],[PontosTime2]]</f>
        <v>2</v>
      </c>
    </row>
    <row r="4032" spans="1:9" ht="15" customHeight="1" x14ac:dyDescent="0.25">
      <c r="A4032" s="7">
        <v>4031</v>
      </c>
      <c r="B4032" s="1">
        <v>43677</v>
      </c>
      <c r="C4032" s="6" t="s">
        <v>9</v>
      </c>
      <c r="D4032" s="6" t="s">
        <v>17</v>
      </c>
      <c r="E4032" s="6">
        <v>4</v>
      </c>
      <c r="F4032" s="6">
        <v>0</v>
      </c>
      <c r="G4032" s="6" t="s">
        <v>11</v>
      </c>
      <c r="H4032" s="6" t="s">
        <v>18</v>
      </c>
      <c r="I4032" s="6">
        <f>TabJogos[[#This Row],[PontosTime1]]-TabJogos[[#This Row],[PontosTime2]]</f>
        <v>4</v>
      </c>
    </row>
    <row r="4033" spans="1:9" ht="15" customHeight="1" x14ac:dyDescent="0.25">
      <c r="A4033" s="7">
        <v>4032</v>
      </c>
      <c r="B4033" s="1">
        <v>43677</v>
      </c>
      <c r="C4033" s="6" t="s">
        <v>15</v>
      </c>
      <c r="D4033" s="6" t="s">
        <v>17</v>
      </c>
      <c r="E4033" s="6">
        <v>3</v>
      </c>
      <c r="F4033" s="6">
        <v>0</v>
      </c>
      <c r="G4033" s="6" t="s">
        <v>18</v>
      </c>
      <c r="H4033" s="6" t="s">
        <v>9</v>
      </c>
      <c r="I4033" s="6">
        <f>TabJogos[[#This Row],[PontosTime1]]-TabJogos[[#This Row],[PontosTime2]]</f>
        <v>3</v>
      </c>
    </row>
    <row r="4034" spans="1:9" ht="15" customHeight="1" x14ac:dyDescent="0.25">
      <c r="A4034" s="7">
        <v>4033</v>
      </c>
      <c r="B4034" s="1">
        <v>43677</v>
      </c>
      <c r="C4034" s="6" t="s">
        <v>17</v>
      </c>
      <c r="D4034" s="6" t="s">
        <v>11</v>
      </c>
      <c r="E4034" s="6">
        <v>2</v>
      </c>
      <c r="F4034" s="6">
        <v>3</v>
      </c>
      <c r="G4034" s="6" t="s">
        <v>15</v>
      </c>
      <c r="H4034" s="6" t="s">
        <v>18</v>
      </c>
      <c r="I4034" s="6">
        <f>TabJogos[[#This Row],[PontosTime1]]-TabJogos[[#This Row],[PontosTime2]]</f>
        <v>-1</v>
      </c>
    </row>
    <row r="4035" spans="1:9" ht="15" customHeight="1" x14ac:dyDescent="0.25">
      <c r="A4035" s="7">
        <v>4034</v>
      </c>
      <c r="B4035" s="1">
        <v>43677</v>
      </c>
      <c r="C4035" s="6" t="s">
        <v>11</v>
      </c>
      <c r="D4035" s="6" t="s">
        <v>18</v>
      </c>
      <c r="E4035" s="6">
        <v>3</v>
      </c>
      <c r="F4035" s="6">
        <v>2</v>
      </c>
      <c r="G4035" s="6" t="s">
        <v>15</v>
      </c>
      <c r="H4035" s="6" t="s">
        <v>9</v>
      </c>
      <c r="I4035" s="6">
        <f>TabJogos[[#This Row],[PontosTime1]]-TabJogos[[#This Row],[PontosTime2]]</f>
        <v>1</v>
      </c>
    </row>
    <row r="4036" spans="1:9" ht="15" customHeight="1" x14ac:dyDescent="0.25">
      <c r="A4036" s="7">
        <v>4035</v>
      </c>
      <c r="B4036" s="1">
        <v>43677</v>
      </c>
      <c r="C4036" s="6" t="s">
        <v>11</v>
      </c>
      <c r="D4036" s="6" t="s">
        <v>15</v>
      </c>
      <c r="E4036" s="6">
        <v>3</v>
      </c>
      <c r="F4036" s="6">
        <v>2</v>
      </c>
      <c r="G4036" s="6" t="s">
        <v>17</v>
      </c>
      <c r="H4036" s="6" t="s">
        <v>18</v>
      </c>
      <c r="I4036" s="6">
        <f>TabJogos[[#This Row],[PontosTime1]]-TabJogos[[#This Row],[PontosTime2]]</f>
        <v>1</v>
      </c>
    </row>
    <row r="4037" spans="1:9" ht="15" customHeight="1" x14ac:dyDescent="0.25">
      <c r="A4037" s="7">
        <v>4036</v>
      </c>
      <c r="B4037" s="1">
        <v>43677</v>
      </c>
      <c r="C4037" s="6" t="s">
        <v>15</v>
      </c>
      <c r="D4037" s="6" t="s">
        <v>17</v>
      </c>
      <c r="E4037" s="6">
        <v>1</v>
      </c>
      <c r="F4037" s="6">
        <v>3</v>
      </c>
      <c r="G4037" s="6" t="s">
        <v>11</v>
      </c>
      <c r="H4037" s="6" t="s">
        <v>18</v>
      </c>
      <c r="I4037" s="6">
        <f>TabJogos[[#This Row],[PontosTime1]]-TabJogos[[#This Row],[PontosTime2]]</f>
        <v>-2</v>
      </c>
    </row>
    <row r="4038" spans="1:9" ht="15" customHeight="1" x14ac:dyDescent="0.25">
      <c r="A4038" s="7">
        <v>4037</v>
      </c>
      <c r="B4038" s="1">
        <v>43677</v>
      </c>
      <c r="C4038" s="6" t="s">
        <v>11</v>
      </c>
      <c r="D4038" s="6" t="s">
        <v>17</v>
      </c>
      <c r="E4038" s="6">
        <v>3</v>
      </c>
      <c r="F4038" s="6">
        <v>2</v>
      </c>
      <c r="G4038" s="6" t="s">
        <v>18</v>
      </c>
      <c r="H4038" s="6" t="s">
        <v>15</v>
      </c>
      <c r="I4038" s="6">
        <f>TabJogos[[#This Row],[PontosTime1]]-TabJogos[[#This Row],[PontosTime2]]</f>
        <v>1</v>
      </c>
    </row>
    <row r="4039" spans="1:9" ht="15" customHeight="1" x14ac:dyDescent="0.25">
      <c r="A4039" s="7">
        <v>4038</v>
      </c>
      <c r="B4039" s="1">
        <v>43677</v>
      </c>
      <c r="C4039" s="6" t="s">
        <v>11</v>
      </c>
      <c r="D4039" s="6" t="s">
        <v>15</v>
      </c>
      <c r="E4039" s="6">
        <v>3</v>
      </c>
      <c r="F4039" s="6">
        <v>2</v>
      </c>
      <c r="G4039" s="6" t="s">
        <v>17</v>
      </c>
      <c r="H4039" s="6" t="s">
        <v>18</v>
      </c>
      <c r="I4039" s="6">
        <f>TabJogos[[#This Row],[PontosTime1]]-TabJogos[[#This Row],[PontosTime2]]</f>
        <v>1</v>
      </c>
    </row>
    <row r="4040" spans="1:9" ht="15" customHeight="1" x14ac:dyDescent="0.25">
      <c r="A4040" s="7">
        <v>4039</v>
      </c>
      <c r="B4040" s="1">
        <v>43678</v>
      </c>
      <c r="C4040" s="6" t="s">
        <v>11</v>
      </c>
      <c r="D4040" s="6" t="s">
        <v>12</v>
      </c>
      <c r="E4040" s="6">
        <v>4</v>
      </c>
      <c r="F4040" s="6">
        <v>0</v>
      </c>
      <c r="G4040" s="6" t="s">
        <v>13</v>
      </c>
      <c r="H4040" s="6" t="s">
        <v>17</v>
      </c>
      <c r="I4040" s="6">
        <f>TabJogos[[#This Row],[PontosTime1]]-TabJogos[[#This Row],[PontosTime2]]</f>
        <v>4</v>
      </c>
    </row>
    <row r="4041" spans="1:9" ht="15" customHeight="1" x14ac:dyDescent="0.25">
      <c r="A4041" s="7">
        <v>4040</v>
      </c>
      <c r="B4041" s="1">
        <v>43678</v>
      </c>
      <c r="C4041" s="6" t="s">
        <v>11</v>
      </c>
      <c r="D4041" s="6" t="s">
        <v>13</v>
      </c>
      <c r="E4041" s="6">
        <v>3</v>
      </c>
      <c r="F4041" s="6">
        <v>2</v>
      </c>
      <c r="G4041" s="6" t="s">
        <v>18</v>
      </c>
      <c r="H4041" s="6" t="s">
        <v>12</v>
      </c>
      <c r="I4041" s="6">
        <f>TabJogos[[#This Row],[PontosTime1]]-TabJogos[[#This Row],[PontosTime2]]</f>
        <v>1</v>
      </c>
    </row>
    <row r="4042" spans="1:9" ht="15" customHeight="1" x14ac:dyDescent="0.25">
      <c r="A4042" s="7">
        <v>4041</v>
      </c>
      <c r="B4042" s="1">
        <v>43678</v>
      </c>
      <c r="C4042" s="6" t="s">
        <v>41</v>
      </c>
      <c r="D4042" s="6" t="s">
        <v>13</v>
      </c>
      <c r="E4042" s="6">
        <v>3</v>
      </c>
      <c r="F4042" s="6">
        <v>1</v>
      </c>
      <c r="G4042" s="6" t="s">
        <v>11</v>
      </c>
      <c r="H4042" s="6" t="s">
        <v>17</v>
      </c>
      <c r="I4042" s="6">
        <f>TabJogos[[#This Row],[PontosTime1]]-TabJogos[[#This Row],[PontosTime2]]</f>
        <v>2</v>
      </c>
    </row>
    <row r="4043" spans="1:9" ht="15" customHeight="1" x14ac:dyDescent="0.25">
      <c r="A4043" s="7">
        <v>4042</v>
      </c>
      <c r="B4043" s="1">
        <v>43678</v>
      </c>
      <c r="C4043" s="6" t="s">
        <v>17</v>
      </c>
      <c r="D4043" s="6" t="s">
        <v>41</v>
      </c>
      <c r="E4043" s="6">
        <v>1</v>
      </c>
      <c r="F4043" s="6">
        <v>3</v>
      </c>
      <c r="G4043" s="6" t="s">
        <v>13</v>
      </c>
      <c r="H4043" s="6" t="s">
        <v>18</v>
      </c>
      <c r="I4043" s="6">
        <f>TabJogos[[#This Row],[PontosTime1]]-TabJogos[[#This Row],[PontosTime2]]</f>
        <v>-2</v>
      </c>
    </row>
    <row r="4044" spans="1:9" ht="15" customHeight="1" x14ac:dyDescent="0.25">
      <c r="A4044" s="7">
        <v>4043</v>
      </c>
      <c r="B4044" s="1">
        <v>43678</v>
      </c>
      <c r="C4044" s="6" t="s">
        <v>11</v>
      </c>
      <c r="D4044" s="6" t="s">
        <v>13</v>
      </c>
      <c r="E4044" s="6">
        <v>3</v>
      </c>
      <c r="F4044" s="6">
        <v>2</v>
      </c>
      <c r="G4044" s="6" t="s">
        <v>18</v>
      </c>
      <c r="H4044" s="6" t="s">
        <v>41</v>
      </c>
      <c r="I4044" s="6">
        <f>TabJogos[[#This Row],[PontosTime1]]-TabJogos[[#This Row],[PontosTime2]]</f>
        <v>1</v>
      </c>
    </row>
    <row r="4045" spans="1:9" ht="15" customHeight="1" x14ac:dyDescent="0.25">
      <c r="A4045" s="7">
        <v>4044</v>
      </c>
      <c r="B4045" s="1">
        <v>43678</v>
      </c>
      <c r="C4045" s="6" t="s">
        <v>11</v>
      </c>
      <c r="D4045" s="6" t="s">
        <v>16</v>
      </c>
      <c r="E4045" s="6">
        <v>3</v>
      </c>
      <c r="F4045" s="6">
        <v>0</v>
      </c>
      <c r="G4045" s="6" t="s">
        <v>17</v>
      </c>
      <c r="H4045" s="6" t="s">
        <v>13</v>
      </c>
      <c r="I4045" s="6">
        <f>TabJogos[[#This Row],[PontosTime1]]-TabJogos[[#This Row],[PontosTime2]]</f>
        <v>3</v>
      </c>
    </row>
    <row r="4046" spans="1:9" ht="15" customHeight="1" x14ac:dyDescent="0.25">
      <c r="A4046" s="7">
        <v>4045</v>
      </c>
      <c r="B4046" s="1">
        <v>43678</v>
      </c>
      <c r="C4046" s="6" t="s">
        <v>11</v>
      </c>
      <c r="D4046" s="6" t="s">
        <v>18</v>
      </c>
      <c r="E4046" s="6">
        <v>1</v>
      </c>
      <c r="F4046" s="6">
        <v>3</v>
      </c>
      <c r="G4046" s="6" t="s">
        <v>13</v>
      </c>
      <c r="H4046" s="6" t="s">
        <v>16</v>
      </c>
      <c r="I4046" s="6">
        <f>TabJogos[[#This Row],[PontosTime1]]-TabJogos[[#This Row],[PontosTime2]]</f>
        <v>-2</v>
      </c>
    </row>
    <row r="4047" spans="1:9" ht="15" customHeight="1" x14ac:dyDescent="0.25">
      <c r="A4047" s="7">
        <v>4046</v>
      </c>
      <c r="B4047" s="1">
        <v>43678</v>
      </c>
      <c r="C4047" s="6" t="s">
        <v>16</v>
      </c>
      <c r="D4047" s="6" t="s">
        <v>17</v>
      </c>
      <c r="E4047" s="6">
        <v>3</v>
      </c>
      <c r="F4047" s="6">
        <v>0</v>
      </c>
      <c r="G4047" s="6" t="s">
        <v>13</v>
      </c>
      <c r="H4047" s="6" t="s">
        <v>18</v>
      </c>
      <c r="I4047" s="6">
        <f>TabJogos[[#This Row],[PontosTime1]]-TabJogos[[#This Row],[PontosTime2]]</f>
        <v>3</v>
      </c>
    </row>
    <row r="4048" spans="1:9" ht="15" customHeight="1" x14ac:dyDescent="0.25">
      <c r="A4048" s="7">
        <v>4047</v>
      </c>
      <c r="B4048" s="1">
        <v>43678</v>
      </c>
      <c r="C4048" s="6" t="s">
        <v>11</v>
      </c>
      <c r="D4048" s="6" t="s">
        <v>17</v>
      </c>
      <c r="E4048" s="6">
        <v>3</v>
      </c>
      <c r="F4048" s="6">
        <v>1</v>
      </c>
      <c r="G4048" s="6" t="s">
        <v>41</v>
      </c>
      <c r="H4048" s="6" t="s">
        <v>16</v>
      </c>
      <c r="I4048" s="6">
        <f>TabJogos[[#This Row],[PontosTime1]]-TabJogos[[#This Row],[PontosTime2]]</f>
        <v>2</v>
      </c>
    </row>
    <row r="4049" spans="1:9" ht="15" customHeight="1" x14ac:dyDescent="0.25">
      <c r="A4049" s="7">
        <v>4048</v>
      </c>
      <c r="B4049" s="1">
        <v>43678</v>
      </c>
      <c r="C4049" s="6" t="s">
        <v>11</v>
      </c>
      <c r="D4049" s="6" t="s">
        <v>9</v>
      </c>
      <c r="E4049" s="6">
        <v>3</v>
      </c>
      <c r="F4049" s="6">
        <v>2</v>
      </c>
      <c r="G4049" s="6" t="s">
        <v>18</v>
      </c>
      <c r="H4049" s="6" t="s">
        <v>17</v>
      </c>
      <c r="I4049" s="6">
        <f>TabJogos[[#This Row],[PontosTime1]]-TabJogos[[#This Row],[PontosTime2]]</f>
        <v>1</v>
      </c>
    </row>
    <row r="4050" spans="1:9" ht="15" customHeight="1" x14ac:dyDescent="0.25">
      <c r="A4050" s="7">
        <v>4049</v>
      </c>
      <c r="B4050" s="1">
        <v>43678</v>
      </c>
      <c r="C4050" s="6" t="s">
        <v>16</v>
      </c>
      <c r="D4050" s="6" t="s">
        <v>9</v>
      </c>
      <c r="E4050" s="6">
        <v>4</v>
      </c>
      <c r="F4050" s="6">
        <v>0</v>
      </c>
      <c r="G4050" s="6" t="s">
        <v>41</v>
      </c>
      <c r="H4050" s="6" t="s">
        <v>11</v>
      </c>
      <c r="I4050" s="6">
        <f>TabJogos[[#This Row],[PontosTime1]]-TabJogos[[#This Row],[PontosTime2]]</f>
        <v>4</v>
      </c>
    </row>
    <row r="4051" spans="1:9" ht="15" customHeight="1" x14ac:dyDescent="0.25">
      <c r="A4051" s="7">
        <v>4050</v>
      </c>
      <c r="B4051" s="1">
        <v>43678</v>
      </c>
      <c r="C4051" s="6" t="s">
        <v>17</v>
      </c>
      <c r="D4051" s="6" t="s">
        <v>9</v>
      </c>
      <c r="E4051" s="6">
        <v>3</v>
      </c>
      <c r="F4051" s="6">
        <v>0</v>
      </c>
      <c r="G4051" s="6" t="s">
        <v>16</v>
      </c>
      <c r="H4051" s="6" t="s">
        <v>13</v>
      </c>
      <c r="I4051" s="6">
        <f>TabJogos[[#This Row],[PontosTime1]]-TabJogos[[#This Row],[PontosTime2]]</f>
        <v>3</v>
      </c>
    </row>
    <row r="4052" spans="1:9" ht="15" customHeight="1" x14ac:dyDescent="0.25">
      <c r="A4052" s="7">
        <v>4051</v>
      </c>
      <c r="B4052" s="1">
        <v>43678</v>
      </c>
      <c r="C4052" s="6" t="s">
        <v>41</v>
      </c>
      <c r="D4052" s="6" t="s">
        <v>9</v>
      </c>
      <c r="E4052" s="6">
        <v>0</v>
      </c>
      <c r="F4052" s="6">
        <v>3</v>
      </c>
      <c r="G4052" s="6" t="s">
        <v>18</v>
      </c>
      <c r="H4052" s="6" t="s">
        <v>17</v>
      </c>
      <c r="I4052" s="6">
        <f>TabJogos[[#This Row],[PontosTime1]]-TabJogos[[#This Row],[PontosTime2]]</f>
        <v>-3</v>
      </c>
    </row>
    <row r="4053" spans="1:9" ht="15" customHeight="1" x14ac:dyDescent="0.25">
      <c r="A4053" s="7">
        <v>4052</v>
      </c>
      <c r="B4053" s="1">
        <v>43678</v>
      </c>
      <c r="C4053" s="6" t="s">
        <v>18</v>
      </c>
      <c r="D4053" s="6" t="s">
        <v>11</v>
      </c>
      <c r="E4053" s="6">
        <v>4</v>
      </c>
      <c r="F4053" s="6">
        <v>0</v>
      </c>
      <c r="G4053" s="6" t="s">
        <v>17</v>
      </c>
      <c r="H4053" s="6" t="s">
        <v>13</v>
      </c>
      <c r="I4053" s="6">
        <f>TabJogos[[#This Row],[PontosTime1]]-TabJogos[[#This Row],[PontosTime2]]</f>
        <v>4</v>
      </c>
    </row>
    <row r="4054" spans="1:9" ht="15" customHeight="1" x14ac:dyDescent="0.25">
      <c r="A4054" s="7">
        <v>4053</v>
      </c>
      <c r="B4054" s="1">
        <v>43678</v>
      </c>
      <c r="C4054" s="6" t="s">
        <v>18</v>
      </c>
      <c r="D4054" s="6" t="s">
        <v>13</v>
      </c>
      <c r="E4054" s="6">
        <v>3</v>
      </c>
      <c r="F4054" s="6">
        <v>2</v>
      </c>
      <c r="G4054" s="6" t="s">
        <v>11</v>
      </c>
      <c r="H4054" s="6" t="s">
        <v>17</v>
      </c>
      <c r="I4054" s="6">
        <f>TabJogos[[#This Row],[PontosTime1]]-TabJogos[[#This Row],[PontosTime2]]</f>
        <v>1</v>
      </c>
    </row>
    <row r="4055" spans="1:9" ht="15" customHeight="1" x14ac:dyDescent="0.25">
      <c r="A4055" s="7">
        <v>4054</v>
      </c>
      <c r="B4055" s="1">
        <v>43678</v>
      </c>
      <c r="C4055" s="6" t="s">
        <v>18</v>
      </c>
      <c r="D4055" s="6" t="s">
        <v>17</v>
      </c>
      <c r="E4055" s="6">
        <v>3</v>
      </c>
      <c r="F4055" s="6">
        <v>0</v>
      </c>
      <c r="G4055" s="6" t="s">
        <v>11</v>
      </c>
      <c r="H4055" s="6" t="s">
        <v>13</v>
      </c>
      <c r="I4055" s="6">
        <f>TabJogos[[#This Row],[PontosTime1]]-TabJogos[[#This Row],[PontosTime2]]</f>
        <v>3</v>
      </c>
    </row>
    <row r="4056" spans="1:9" ht="15" customHeight="1" x14ac:dyDescent="0.25">
      <c r="A4056" s="7">
        <v>4055</v>
      </c>
      <c r="B4056" s="1">
        <v>43678</v>
      </c>
      <c r="C4056" s="6" t="s">
        <v>13</v>
      </c>
      <c r="D4056" s="6" t="s">
        <v>17</v>
      </c>
      <c r="E4056" s="6">
        <v>4</v>
      </c>
      <c r="F4056" s="6">
        <v>2</v>
      </c>
      <c r="G4056" s="6" t="s">
        <v>11</v>
      </c>
      <c r="H4056" s="6" t="s">
        <v>18</v>
      </c>
      <c r="I4056" s="6">
        <f>TabJogos[[#This Row],[PontosTime1]]-TabJogos[[#This Row],[PontosTime2]]</f>
        <v>2</v>
      </c>
    </row>
    <row r="4057" spans="1:9" ht="15" customHeight="1" x14ac:dyDescent="0.25">
      <c r="A4057" s="7">
        <v>4056</v>
      </c>
      <c r="B4057" s="1">
        <v>43679</v>
      </c>
      <c r="C4057" s="6" t="s">
        <v>13</v>
      </c>
      <c r="D4057" s="6" t="s">
        <v>12</v>
      </c>
      <c r="E4057" s="6">
        <v>3</v>
      </c>
      <c r="F4057" s="6">
        <v>2</v>
      </c>
      <c r="G4057" s="6" t="s">
        <v>11</v>
      </c>
      <c r="H4057" s="6" t="s">
        <v>18</v>
      </c>
      <c r="I4057" s="6">
        <f>TabJogos[[#This Row],[PontosTime1]]-TabJogos[[#This Row],[PontosTime2]]</f>
        <v>1</v>
      </c>
    </row>
    <row r="4058" spans="1:9" ht="15" customHeight="1" x14ac:dyDescent="0.25">
      <c r="A4058" s="7">
        <v>4057</v>
      </c>
      <c r="B4058" s="1">
        <v>43679</v>
      </c>
      <c r="C4058" s="6" t="s">
        <v>13</v>
      </c>
      <c r="D4058" s="6" t="s">
        <v>11</v>
      </c>
      <c r="E4058" s="6">
        <v>0</v>
      </c>
      <c r="F4058" s="6">
        <v>3</v>
      </c>
      <c r="G4058" s="6" t="s">
        <v>12</v>
      </c>
      <c r="H4058" s="6" t="s">
        <v>18</v>
      </c>
      <c r="I4058" s="6">
        <f>TabJogos[[#This Row],[PontosTime1]]-TabJogos[[#This Row],[PontosTime2]]</f>
        <v>-3</v>
      </c>
    </row>
    <row r="4059" spans="1:9" ht="15" customHeight="1" x14ac:dyDescent="0.25">
      <c r="A4059" s="7">
        <v>4058</v>
      </c>
      <c r="B4059" s="1">
        <v>43679</v>
      </c>
      <c r="C4059" s="6" t="s">
        <v>12</v>
      </c>
      <c r="D4059" s="6" t="s">
        <v>32</v>
      </c>
      <c r="E4059" s="6">
        <v>0</v>
      </c>
      <c r="F4059" s="6">
        <v>3</v>
      </c>
      <c r="G4059" s="6" t="s">
        <v>15</v>
      </c>
      <c r="H4059" s="6" t="s">
        <v>18</v>
      </c>
      <c r="I4059" s="6">
        <f>TabJogos[[#This Row],[PontosTime1]]-TabJogos[[#This Row],[PontosTime2]]</f>
        <v>-3</v>
      </c>
    </row>
    <row r="4060" spans="1:9" ht="15" customHeight="1" x14ac:dyDescent="0.25">
      <c r="A4060" s="7">
        <v>4059</v>
      </c>
      <c r="B4060" s="1">
        <v>43679</v>
      </c>
      <c r="C4060" s="6" t="s">
        <v>18</v>
      </c>
      <c r="D4060" s="6" t="s">
        <v>41</v>
      </c>
      <c r="E4060" s="6">
        <v>3</v>
      </c>
      <c r="F4060" s="6">
        <v>0</v>
      </c>
      <c r="G4060" s="6" t="s">
        <v>15</v>
      </c>
      <c r="H4060" s="6" t="s">
        <v>11</v>
      </c>
      <c r="I4060" s="6">
        <f>TabJogos[[#This Row],[PontosTime1]]-TabJogos[[#This Row],[PontosTime2]]</f>
        <v>3</v>
      </c>
    </row>
    <row r="4061" spans="1:9" ht="15" customHeight="1" x14ac:dyDescent="0.25">
      <c r="A4061" s="7">
        <v>4060</v>
      </c>
      <c r="B4061" s="1">
        <v>43679</v>
      </c>
      <c r="C4061" s="6" t="s">
        <v>12</v>
      </c>
      <c r="D4061" s="6" t="s">
        <v>41</v>
      </c>
      <c r="E4061" s="6">
        <v>0</v>
      </c>
      <c r="F4061" s="6">
        <v>3</v>
      </c>
      <c r="G4061" s="6" t="s">
        <v>13</v>
      </c>
      <c r="H4061" s="6" t="s">
        <v>18</v>
      </c>
      <c r="I4061" s="6">
        <f>TabJogos[[#This Row],[PontosTime1]]-TabJogos[[#This Row],[PontosTime2]]</f>
        <v>-3</v>
      </c>
    </row>
    <row r="4062" spans="1:9" ht="15" customHeight="1" x14ac:dyDescent="0.25">
      <c r="A4062" s="7">
        <v>4061</v>
      </c>
      <c r="B4062" s="1">
        <v>43679</v>
      </c>
      <c r="C4062" s="6" t="s">
        <v>32</v>
      </c>
      <c r="D4062" s="6" t="s">
        <v>18</v>
      </c>
      <c r="E4062" s="6">
        <v>1</v>
      </c>
      <c r="F4062" s="6">
        <v>3</v>
      </c>
      <c r="G4062" s="6" t="s">
        <v>13</v>
      </c>
      <c r="H4062" s="6" t="s">
        <v>11</v>
      </c>
      <c r="I4062" s="6">
        <f>TabJogos[[#This Row],[PontosTime1]]-TabJogos[[#This Row],[PontosTime2]]</f>
        <v>-2</v>
      </c>
    </row>
    <row r="4063" spans="1:9" ht="15" customHeight="1" x14ac:dyDescent="0.25">
      <c r="A4063" s="7">
        <v>4062</v>
      </c>
      <c r="B4063" s="1">
        <v>43679</v>
      </c>
      <c r="C4063" s="6" t="s">
        <v>11</v>
      </c>
      <c r="D4063" s="6" t="s">
        <v>41</v>
      </c>
      <c r="E4063" s="6">
        <v>3</v>
      </c>
      <c r="F4063" s="6">
        <v>1</v>
      </c>
      <c r="G4063" s="6" t="s">
        <v>15</v>
      </c>
      <c r="H4063" s="6" t="s">
        <v>13</v>
      </c>
      <c r="I4063" s="6">
        <f>TabJogos[[#This Row],[PontosTime1]]-TabJogos[[#This Row],[PontosTime2]]</f>
        <v>2</v>
      </c>
    </row>
    <row r="4064" spans="1:9" ht="15" customHeight="1" x14ac:dyDescent="0.25">
      <c r="A4064" s="7">
        <v>4063</v>
      </c>
      <c r="B4064" s="1">
        <v>43679</v>
      </c>
      <c r="C4064" s="6" t="s">
        <v>32</v>
      </c>
      <c r="D4064" s="6" t="s">
        <v>41</v>
      </c>
      <c r="E4064" s="6">
        <v>3</v>
      </c>
      <c r="F4064" s="6">
        <v>2</v>
      </c>
      <c r="G4064" s="6" t="s">
        <v>18</v>
      </c>
      <c r="H4064" s="6" t="s">
        <v>11</v>
      </c>
      <c r="I4064" s="6">
        <f>TabJogos[[#This Row],[PontosTime1]]-TabJogos[[#This Row],[PontosTime2]]</f>
        <v>1</v>
      </c>
    </row>
    <row r="4065" spans="1:9" ht="15" customHeight="1" x14ac:dyDescent="0.25">
      <c r="A4065" s="7">
        <v>4064</v>
      </c>
      <c r="B4065" s="1">
        <v>43679</v>
      </c>
      <c r="C4065" s="6" t="s">
        <v>11</v>
      </c>
      <c r="D4065" s="6" t="s">
        <v>17</v>
      </c>
      <c r="E4065" s="6">
        <v>0</v>
      </c>
      <c r="F4065" s="6">
        <v>3</v>
      </c>
      <c r="G4065" s="6" t="s">
        <v>18</v>
      </c>
      <c r="H4065" s="6" t="s">
        <v>13</v>
      </c>
      <c r="I4065" s="6">
        <f>TabJogos[[#This Row],[PontosTime1]]-TabJogos[[#This Row],[PontosTime2]]</f>
        <v>-3</v>
      </c>
    </row>
    <row r="4066" spans="1:9" ht="15" customHeight="1" x14ac:dyDescent="0.25">
      <c r="A4066" s="7">
        <v>4065</v>
      </c>
      <c r="B4066" s="1">
        <v>43679</v>
      </c>
      <c r="C4066" s="6" t="s">
        <v>18</v>
      </c>
      <c r="D4066" s="6" t="s">
        <v>41</v>
      </c>
      <c r="E4066" s="6">
        <v>3</v>
      </c>
      <c r="F4066" s="6">
        <v>0</v>
      </c>
      <c r="G4066" s="6" t="s">
        <v>13</v>
      </c>
      <c r="H4066" s="6" t="s">
        <v>11</v>
      </c>
      <c r="I4066" s="6">
        <f>TabJogos[[#This Row],[PontosTime1]]-TabJogos[[#This Row],[PontosTime2]]</f>
        <v>3</v>
      </c>
    </row>
    <row r="4067" spans="1:9" ht="15" customHeight="1" x14ac:dyDescent="0.25">
      <c r="A4067" s="7">
        <v>4066</v>
      </c>
      <c r="B4067" s="1">
        <v>43679</v>
      </c>
      <c r="C4067" s="6" t="s">
        <v>13</v>
      </c>
      <c r="D4067" s="6" t="s">
        <v>41</v>
      </c>
      <c r="E4067" s="6">
        <v>3</v>
      </c>
      <c r="F4067" s="6">
        <v>1</v>
      </c>
      <c r="G4067" s="6" t="s">
        <v>17</v>
      </c>
      <c r="H4067" s="6" t="s">
        <v>18</v>
      </c>
      <c r="I4067" s="6">
        <f>TabJogos[[#This Row],[PontosTime1]]-TabJogos[[#This Row],[PontosTime2]]</f>
        <v>2</v>
      </c>
    </row>
    <row r="4068" spans="1:9" ht="15" customHeight="1" x14ac:dyDescent="0.25">
      <c r="A4068" s="7">
        <v>4067</v>
      </c>
      <c r="B4068" s="1">
        <v>43679</v>
      </c>
      <c r="C4068" s="6" t="s">
        <v>18</v>
      </c>
      <c r="D4068" s="6" t="s">
        <v>13</v>
      </c>
      <c r="E4068" s="6">
        <v>3</v>
      </c>
      <c r="F4068" s="6">
        <v>0</v>
      </c>
      <c r="G4068" s="6" t="s">
        <v>41</v>
      </c>
      <c r="H4068" s="6" t="s">
        <v>17</v>
      </c>
      <c r="I4068" s="6">
        <f>TabJogos[[#This Row],[PontosTime1]]-TabJogos[[#This Row],[PontosTime2]]</f>
        <v>3</v>
      </c>
    </row>
    <row r="4069" spans="1:9" ht="15" customHeight="1" x14ac:dyDescent="0.25">
      <c r="A4069" s="7">
        <v>4068</v>
      </c>
      <c r="B4069" s="1">
        <v>43679</v>
      </c>
      <c r="C4069" s="6" t="s">
        <v>11</v>
      </c>
      <c r="D4069" s="6" t="s">
        <v>18</v>
      </c>
      <c r="E4069" s="6">
        <v>4</v>
      </c>
      <c r="F4069" s="6">
        <v>1</v>
      </c>
      <c r="G4069" s="6" t="s">
        <v>17</v>
      </c>
      <c r="H4069" s="6" t="s">
        <v>13</v>
      </c>
      <c r="I4069" s="6">
        <f>TabJogos[[#This Row],[PontosTime1]]-TabJogos[[#This Row],[PontosTime2]]</f>
        <v>3</v>
      </c>
    </row>
    <row r="4070" spans="1:9" ht="15" customHeight="1" x14ac:dyDescent="0.25">
      <c r="A4070" s="7">
        <v>4069</v>
      </c>
      <c r="B4070" s="1">
        <v>43679</v>
      </c>
      <c r="C4070" s="6" t="s">
        <v>11</v>
      </c>
      <c r="D4070" s="6" t="s">
        <v>13</v>
      </c>
      <c r="E4070" s="6">
        <v>1</v>
      </c>
      <c r="F4070" s="6">
        <v>4</v>
      </c>
      <c r="G4070" s="6" t="s">
        <v>17</v>
      </c>
      <c r="H4070" s="6" t="s">
        <v>18</v>
      </c>
      <c r="I4070" s="6">
        <f>TabJogos[[#This Row],[PontosTime1]]-TabJogos[[#This Row],[PontosTime2]]</f>
        <v>-3</v>
      </c>
    </row>
    <row r="4071" spans="1:9" ht="15" customHeight="1" x14ac:dyDescent="0.25">
      <c r="A4071" s="7">
        <v>4070</v>
      </c>
      <c r="B4071" s="1">
        <v>43679</v>
      </c>
      <c r="C4071" s="6" t="s">
        <v>11</v>
      </c>
      <c r="D4071" s="6" t="s">
        <v>17</v>
      </c>
      <c r="E4071" s="6">
        <v>3</v>
      </c>
      <c r="F4071" s="6">
        <v>1</v>
      </c>
      <c r="G4071" s="6" t="s">
        <v>13</v>
      </c>
      <c r="H4071" s="6" t="s">
        <v>18</v>
      </c>
      <c r="I4071" s="6">
        <f>TabJogos[[#This Row],[PontosTime1]]-TabJogos[[#This Row],[PontosTime2]]</f>
        <v>2</v>
      </c>
    </row>
    <row r="4072" spans="1:9" ht="15" customHeight="1" x14ac:dyDescent="0.25">
      <c r="A4072" s="7">
        <v>4071</v>
      </c>
      <c r="B4072" s="1">
        <v>43679</v>
      </c>
      <c r="C4072" s="6" t="s">
        <v>11</v>
      </c>
      <c r="D4072" s="6" t="s">
        <v>18</v>
      </c>
      <c r="E4072" s="6">
        <v>5</v>
      </c>
      <c r="F4072" s="6">
        <v>0</v>
      </c>
      <c r="G4072" s="6" t="s">
        <v>13</v>
      </c>
      <c r="H4072" s="6" t="s">
        <v>17</v>
      </c>
      <c r="I4072" s="6">
        <f>TabJogos[[#This Row],[PontosTime1]]-TabJogos[[#This Row],[PontosTime2]]</f>
        <v>5</v>
      </c>
    </row>
    <row r="4073" spans="1:9" ht="15" customHeight="1" x14ac:dyDescent="0.25">
      <c r="A4073" s="7">
        <v>4072</v>
      </c>
      <c r="B4073" s="1">
        <v>43682</v>
      </c>
      <c r="C4073" s="6" t="s">
        <v>41</v>
      </c>
      <c r="D4073" s="6" t="s">
        <v>13</v>
      </c>
      <c r="E4073" s="6">
        <v>2</v>
      </c>
      <c r="F4073" s="6">
        <v>3</v>
      </c>
      <c r="G4073" s="6" t="s">
        <v>17</v>
      </c>
      <c r="H4073" s="6" t="s">
        <v>32</v>
      </c>
      <c r="I4073" s="6">
        <f>TabJogos[[#This Row],[PontosTime1]]-TabJogos[[#This Row],[PontosTime2]]</f>
        <v>-1</v>
      </c>
    </row>
    <row r="4074" spans="1:9" ht="15" customHeight="1" x14ac:dyDescent="0.25">
      <c r="A4074" s="7">
        <v>4073</v>
      </c>
      <c r="B4074" s="1">
        <v>43682</v>
      </c>
      <c r="C4074" s="6" t="s">
        <v>17</v>
      </c>
      <c r="D4074" s="6" t="s">
        <v>13</v>
      </c>
      <c r="E4074" s="6">
        <v>0</v>
      </c>
      <c r="F4074" s="6">
        <v>3</v>
      </c>
      <c r="G4074" s="6" t="s">
        <v>41</v>
      </c>
      <c r="H4074" s="6" t="s">
        <v>32</v>
      </c>
      <c r="I4074" s="6">
        <f>TabJogos[[#This Row],[PontosTime1]]-TabJogos[[#This Row],[PontosTime2]]</f>
        <v>-3</v>
      </c>
    </row>
    <row r="4075" spans="1:9" ht="15" customHeight="1" x14ac:dyDescent="0.25">
      <c r="A4075" s="7">
        <v>4074</v>
      </c>
      <c r="B4075" s="1">
        <v>43682</v>
      </c>
      <c r="C4075" s="6" t="s">
        <v>17</v>
      </c>
      <c r="D4075" s="6" t="s">
        <v>41</v>
      </c>
      <c r="E4075" s="6">
        <v>3</v>
      </c>
      <c r="F4075" s="6">
        <v>2</v>
      </c>
      <c r="G4075" s="6" t="s">
        <v>15</v>
      </c>
      <c r="H4075" s="6" t="s">
        <v>32</v>
      </c>
      <c r="I4075" s="6">
        <f>TabJogos[[#This Row],[PontosTime1]]-TabJogos[[#This Row],[PontosTime2]]</f>
        <v>1</v>
      </c>
    </row>
    <row r="4076" spans="1:9" ht="15" customHeight="1" x14ac:dyDescent="0.25">
      <c r="A4076" s="7">
        <v>4075</v>
      </c>
      <c r="B4076" s="1">
        <v>43682</v>
      </c>
      <c r="C4076" s="6" t="s">
        <v>41</v>
      </c>
      <c r="D4076" s="6" t="s">
        <v>13</v>
      </c>
      <c r="E4076" s="6">
        <v>2</v>
      </c>
      <c r="F4076" s="6">
        <v>3</v>
      </c>
      <c r="G4076" s="6" t="s">
        <v>15</v>
      </c>
      <c r="H4076" s="6" t="s">
        <v>17</v>
      </c>
      <c r="I4076" s="6">
        <f>TabJogos[[#This Row],[PontosTime1]]-TabJogos[[#This Row],[PontosTime2]]</f>
        <v>-1</v>
      </c>
    </row>
    <row r="4077" spans="1:9" ht="15" customHeight="1" x14ac:dyDescent="0.25">
      <c r="A4077" s="7">
        <v>4076</v>
      </c>
      <c r="B4077" s="1">
        <v>43682</v>
      </c>
      <c r="C4077" s="6" t="s">
        <v>17</v>
      </c>
      <c r="D4077" s="6" t="s">
        <v>13</v>
      </c>
      <c r="E4077" s="6">
        <v>3</v>
      </c>
      <c r="F4077" s="6">
        <v>0</v>
      </c>
      <c r="G4077" s="6" t="s">
        <v>15</v>
      </c>
      <c r="H4077" s="6" t="s">
        <v>41</v>
      </c>
      <c r="I4077" s="6">
        <f>TabJogos[[#This Row],[PontosTime1]]-TabJogos[[#This Row],[PontosTime2]]</f>
        <v>3</v>
      </c>
    </row>
    <row r="4078" spans="1:9" ht="15" customHeight="1" x14ac:dyDescent="0.25">
      <c r="A4078" s="7">
        <v>4077</v>
      </c>
      <c r="B4078" s="1">
        <v>43682</v>
      </c>
      <c r="C4078" s="6" t="s">
        <v>17</v>
      </c>
      <c r="D4078" s="6" t="s">
        <v>41</v>
      </c>
      <c r="E4078" s="6">
        <v>1</v>
      </c>
      <c r="F4078" s="6">
        <v>4</v>
      </c>
      <c r="G4078" s="6" t="s">
        <v>15</v>
      </c>
      <c r="H4078" s="6" t="s">
        <v>13</v>
      </c>
      <c r="I4078" s="6">
        <f>TabJogos[[#This Row],[PontosTime1]]-TabJogos[[#This Row],[PontosTime2]]</f>
        <v>-3</v>
      </c>
    </row>
    <row r="4079" spans="1:9" ht="15" customHeight="1" x14ac:dyDescent="0.25">
      <c r="A4079" s="7">
        <v>4078</v>
      </c>
      <c r="B4079" s="1">
        <v>43682</v>
      </c>
      <c r="C4079" s="6" t="s">
        <v>17</v>
      </c>
      <c r="D4079" s="6" t="s">
        <v>15</v>
      </c>
      <c r="E4079" s="6">
        <v>3</v>
      </c>
      <c r="F4079" s="6">
        <v>0</v>
      </c>
      <c r="G4079" s="6" t="s">
        <v>13</v>
      </c>
      <c r="H4079" s="6" t="s">
        <v>41</v>
      </c>
      <c r="I4079" s="6">
        <f>TabJogos[[#This Row],[PontosTime1]]-TabJogos[[#This Row],[PontosTime2]]</f>
        <v>3</v>
      </c>
    </row>
    <row r="4080" spans="1:9" ht="15" customHeight="1" x14ac:dyDescent="0.25">
      <c r="A4080" s="7">
        <v>4079</v>
      </c>
      <c r="B4080" s="1">
        <v>43682</v>
      </c>
      <c r="C4080" s="6" t="s">
        <v>17</v>
      </c>
      <c r="D4080" s="6" t="s">
        <v>13</v>
      </c>
      <c r="E4080" s="6">
        <v>4</v>
      </c>
      <c r="F4080" s="6">
        <v>2</v>
      </c>
      <c r="G4080" s="6" t="s">
        <v>41</v>
      </c>
      <c r="H4080" s="6" t="s">
        <v>15</v>
      </c>
      <c r="I4080" s="6">
        <f>TabJogos[[#This Row],[PontosTime1]]-TabJogos[[#This Row],[PontosTime2]]</f>
        <v>2</v>
      </c>
    </row>
    <row r="4081" spans="1:9" ht="15" customHeight="1" x14ac:dyDescent="0.25">
      <c r="A4081" s="7">
        <v>4080</v>
      </c>
      <c r="B4081" s="1">
        <v>43682</v>
      </c>
      <c r="C4081" s="6" t="s">
        <v>17</v>
      </c>
      <c r="D4081" s="6" t="s">
        <v>41</v>
      </c>
      <c r="E4081" s="6">
        <v>0</v>
      </c>
      <c r="F4081" s="6">
        <v>4</v>
      </c>
      <c r="G4081" s="6" t="s">
        <v>15</v>
      </c>
      <c r="H4081" s="6" t="s">
        <v>13</v>
      </c>
      <c r="I4081" s="6">
        <f>TabJogos[[#This Row],[PontosTime1]]-TabJogos[[#This Row],[PontosTime2]]</f>
        <v>-4</v>
      </c>
    </row>
    <row r="4082" spans="1:9" ht="15" customHeight="1" x14ac:dyDescent="0.25">
      <c r="A4082" s="7">
        <v>4081</v>
      </c>
      <c r="B4082" s="1">
        <v>43682</v>
      </c>
      <c r="C4082" s="6" t="s">
        <v>17</v>
      </c>
      <c r="D4082" s="6" t="s">
        <v>15</v>
      </c>
      <c r="E4082" s="6">
        <v>2</v>
      </c>
      <c r="F4082" s="6">
        <v>3</v>
      </c>
      <c r="G4082" s="6" t="s">
        <v>18</v>
      </c>
      <c r="H4082" s="6" t="s">
        <v>13</v>
      </c>
      <c r="I4082" s="6">
        <f>TabJogos[[#This Row],[PontosTime1]]-TabJogos[[#This Row],[PontosTime2]]</f>
        <v>-1</v>
      </c>
    </row>
    <row r="4083" spans="1:9" ht="15" customHeight="1" x14ac:dyDescent="0.25">
      <c r="A4083" s="7">
        <v>4082</v>
      </c>
      <c r="B4083" s="1">
        <v>43684</v>
      </c>
      <c r="C4083" s="6" t="s">
        <v>13</v>
      </c>
      <c r="D4083" s="6" t="s">
        <v>12</v>
      </c>
      <c r="E4083" s="6">
        <v>3</v>
      </c>
      <c r="F4083" s="6">
        <v>0</v>
      </c>
      <c r="G4083" s="6" t="s">
        <v>10</v>
      </c>
      <c r="H4083" s="6" t="s">
        <v>18</v>
      </c>
      <c r="I4083" s="6">
        <f>TabJogos[[#This Row],[PontosTime1]]-TabJogos[[#This Row],[PontosTime2]]</f>
        <v>3</v>
      </c>
    </row>
    <row r="4084" spans="1:9" ht="15" customHeight="1" x14ac:dyDescent="0.25">
      <c r="A4084" s="7">
        <v>4083</v>
      </c>
      <c r="B4084" s="1">
        <v>43684</v>
      </c>
      <c r="C4084" s="6" t="s">
        <v>13</v>
      </c>
      <c r="D4084" s="6" t="s">
        <v>18</v>
      </c>
      <c r="E4084" s="6">
        <v>3</v>
      </c>
      <c r="F4084" s="6">
        <v>2</v>
      </c>
      <c r="G4084" s="6" t="s">
        <v>10</v>
      </c>
      <c r="H4084" s="6" t="s">
        <v>12</v>
      </c>
      <c r="I4084" s="6">
        <f>TabJogos[[#This Row],[PontosTime1]]-TabJogos[[#This Row],[PontosTime2]]</f>
        <v>1</v>
      </c>
    </row>
    <row r="4085" spans="1:9" ht="15" customHeight="1" x14ac:dyDescent="0.25">
      <c r="A4085" s="7">
        <v>4084</v>
      </c>
      <c r="B4085" s="1">
        <v>43684</v>
      </c>
      <c r="C4085" s="6" t="s">
        <v>13</v>
      </c>
      <c r="D4085" s="6" t="s">
        <v>10</v>
      </c>
      <c r="E4085" s="6">
        <v>3</v>
      </c>
      <c r="F4085" s="6">
        <v>2</v>
      </c>
      <c r="G4085" s="6" t="s">
        <v>18</v>
      </c>
      <c r="H4085" s="6" t="s">
        <v>12</v>
      </c>
      <c r="I4085" s="6">
        <f>TabJogos[[#This Row],[PontosTime1]]-TabJogos[[#This Row],[PontosTime2]]</f>
        <v>1</v>
      </c>
    </row>
    <row r="4086" spans="1:9" ht="15" customHeight="1" x14ac:dyDescent="0.25">
      <c r="A4086" s="7">
        <v>4085</v>
      </c>
      <c r="B4086" s="1">
        <v>43684</v>
      </c>
      <c r="C4086" s="6" t="s">
        <v>10</v>
      </c>
      <c r="D4086" s="6" t="s">
        <v>41</v>
      </c>
      <c r="E4086" s="6">
        <v>3</v>
      </c>
      <c r="F4086" s="6">
        <v>2</v>
      </c>
      <c r="G4086" s="6" t="s">
        <v>13</v>
      </c>
      <c r="H4086" s="6" t="s">
        <v>18</v>
      </c>
      <c r="I4086" s="6">
        <f>TabJogos[[#This Row],[PontosTime1]]-TabJogos[[#This Row],[PontosTime2]]</f>
        <v>1</v>
      </c>
    </row>
    <row r="4087" spans="1:9" ht="15" customHeight="1" x14ac:dyDescent="0.25">
      <c r="A4087" s="7">
        <v>4086</v>
      </c>
      <c r="B4087" s="1">
        <v>43684</v>
      </c>
      <c r="C4087" s="6" t="s">
        <v>18</v>
      </c>
      <c r="D4087" s="6" t="s">
        <v>10</v>
      </c>
      <c r="E4087" s="6">
        <v>2</v>
      </c>
      <c r="F4087" s="6">
        <v>6</v>
      </c>
      <c r="G4087" s="6" t="s">
        <v>41</v>
      </c>
      <c r="H4087" s="6" t="s">
        <v>13</v>
      </c>
      <c r="I4087" s="6">
        <f>TabJogos[[#This Row],[PontosTime1]]-TabJogos[[#This Row],[PontosTime2]]</f>
        <v>-4</v>
      </c>
    </row>
    <row r="4088" spans="1:9" ht="15" customHeight="1" x14ac:dyDescent="0.25">
      <c r="A4088" s="7">
        <v>4087</v>
      </c>
      <c r="B4088" s="1">
        <v>43684</v>
      </c>
      <c r="C4088" s="6" t="s">
        <v>18</v>
      </c>
      <c r="D4088" s="6" t="s">
        <v>41</v>
      </c>
      <c r="E4088" s="6">
        <v>6</v>
      </c>
      <c r="F4088" s="6">
        <v>0</v>
      </c>
      <c r="G4088" s="6" t="s">
        <v>10</v>
      </c>
      <c r="H4088" s="6" t="s">
        <v>13</v>
      </c>
      <c r="I4088" s="6">
        <f>TabJogos[[#This Row],[PontosTime1]]-TabJogos[[#This Row],[PontosTime2]]</f>
        <v>6</v>
      </c>
    </row>
    <row r="4089" spans="1:9" ht="15" customHeight="1" x14ac:dyDescent="0.25">
      <c r="A4089" s="7">
        <v>4088</v>
      </c>
      <c r="B4089" s="1">
        <v>43684</v>
      </c>
      <c r="C4089" s="6" t="s">
        <v>18</v>
      </c>
      <c r="D4089" s="6" t="s">
        <v>13</v>
      </c>
      <c r="E4089" s="6">
        <v>3</v>
      </c>
      <c r="F4089" s="6">
        <v>2</v>
      </c>
      <c r="G4089" s="6" t="s">
        <v>32</v>
      </c>
      <c r="H4089" s="6" t="s">
        <v>41</v>
      </c>
      <c r="I4089" s="6">
        <f>TabJogos[[#This Row],[PontosTime1]]-TabJogos[[#This Row],[PontosTime2]]</f>
        <v>1</v>
      </c>
    </row>
    <row r="4090" spans="1:9" ht="15" customHeight="1" x14ac:dyDescent="0.25">
      <c r="A4090" s="7">
        <v>4089</v>
      </c>
      <c r="B4090" s="1">
        <v>43684</v>
      </c>
      <c r="C4090" s="6" t="s">
        <v>13</v>
      </c>
      <c r="D4090" s="6" t="s">
        <v>41</v>
      </c>
      <c r="E4090" s="6">
        <v>2</v>
      </c>
      <c r="F4090" s="6">
        <v>3</v>
      </c>
      <c r="G4090" s="6" t="s">
        <v>18</v>
      </c>
      <c r="H4090" s="6" t="s">
        <v>17</v>
      </c>
      <c r="I4090" s="6">
        <f>TabJogos[[#This Row],[PontosTime1]]-TabJogos[[#This Row],[PontosTime2]]</f>
        <v>-1</v>
      </c>
    </row>
    <row r="4091" spans="1:9" ht="15" customHeight="1" x14ac:dyDescent="0.25">
      <c r="A4091" s="7">
        <v>4090</v>
      </c>
      <c r="B4091" s="1">
        <v>43684</v>
      </c>
      <c r="C4091" s="6" t="s">
        <v>13</v>
      </c>
      <c r="D4091" s="6" t="s">
        <v>18</v>
      </c>
      <c r="E4091" s="6">
        <v>3</v>
      </c>
      <c r="F4091" s="6">
        <v>2</v>
      </c>
      <c r="G4091" s="6" t="s">
        <v>17</v>
      </c>
      <c r="H4091" s="6" t="s">
        <v>41</v>
      </c>
      <c r="I4091" s="6">
        <f>TabJogos[[#This Row],[PontosTime1]]-TabJogos[[#This Row],[PontosTime2]]</f>
        <v>1</v>
      </c>
    </row>
    <row r="4092" spans="1:9" ht="15" customHeight="1" x14ac:dyDescent="0.25">
      <c r="A4092" s="7">
        <v>4091</v>
      </c>
      <c r="B4092" s="1">
        <v>43685</v>
      </c>
      <c r="C4092" s="6" t="s">
        <v>18</v>
      </c>
      <c r="D4092" s="6" t="s">
        <v>10</v>
      </c>
      <c r="E4092" s="6">
        <v>1</v>
      </c>
      <c r="F4092" s="6">
        <v>4</v>
      </c>
      <c r="G4092" s="6" t="s">
        <v>12</v>
      </c>
      <c r="H4092" s="6" t="s">
        <v>13</v>
      </c>
      <c r="I4092" s="6">
        <f>TabJogos[[#This Row],[PontosTime1]]-TabJogos[[#This Row],[PontosTime2]]</f>
        <v>-3</v>
      </c>
    </row>
    <row r="4093" spans="1:9" ht="15" customHeight="1" x14ac:dyDescent="0.25">
      <c r="A4093" s="7">
        <v>4092</v>
      </c>
      <c r="B4093" s="1">
        <v>43685</v>
      </c>
      <c r="C4093" s="6" t="s">
        <v>18</v>
      </c>
      <c r="D4093" s="6" t="s">
        <v>12</v>
      </c>
      <c r="E4093" s="6">
        <v>1</v>
      </c>
      <c r="F4093" s="6">
        <v>3</v>
      </c>
      <c r="G4093" s="6" t="s">
        <v>13</v>
      </c>
      <c r="H4093" s="6" t="s">
        <v>41</v>
      </c>
      <c r="I4093" s="6">
        <f>TabJogos[[#This Row],[PontosTime1]]-TabJogos[[#This Row],[PontosTime2]]</f>
        <v>-2</v>
      </c>
    </row>
    <row r="4094" spans="1:9" ht="15" customHeight="1" x14ac:dyDescent="0.25">
      <c r="A4094" s="7">
        <v>4093</v>
      </c>
      <c r="B4094" s="1">
        <v>43685</v>
      </c>
      <c r="C4094" s="6" t="s">
        <v>13</v>
      </c>
      <c r="D4094" s="6" t="s">
        <v>10</v>
      </c>
      <c r="E4094" s="6">
        <v>2</v>
      </c>
      <c r="F4094" s="6">
        <v>3</v>
      </c>
      <c r="G4094" s="6" t="s">
        <v>41</v>
      </c>
      <c r="H4094" s="6" t="s">
        <v>12</v>
      </c>
      <c r="I4094" s="6">
        <f>TabJogos[[#This Row],[PontosTime1]]-TabJogos[[#This Row],[PontosTime2]]</f>
        <v>-1</v>
      </c>
    </row>
    <row r="4095" spans="1:9" ht="15" customHeight="1" x14ac:dyDescent="0.25">
      <c r="A4095" s="7">
        <v>4094</v>
      </c>
      <c r="B4095" s="1">
        <v>43685</v>
      </c>
      <c r="C4095" s="6" t="s">
        <v>41</v>
      </c>
      <c r="D4095" s="6" t="s">
        <v>18</v>
      </c>
      <c r="E4095" s="6">
        <v>3</v>
      </c>
      <c r="F4095" s="6">
        <v>2</v>
      </c>
      <c r="G4095" s="6" t="s">
        <v>13</v>
      </c>
      <c r="H4095" s="6" t="s">
        <v>12</v>
      </c>
      <c r="I4095" s="6">
        <f>TabJogos[[#This Row],[PontosTime1]]-TabJogos[[#This Row],[PontosTime2]]</f>
        <v>1</v>
      </c>
    </row>
    <row r="4096" spans="1:9" ht="15" customHeight="1" x14ac:dyDescent="0.25">
      <c r="A4096" s="7">
        <v>4095</v>
      </c>
      <c r="B4096" s="1">
        <v>43685</v>
      </c>
      <c r="C4096" s="6" t="s">
        <v>13</v>
      </c>
      <c r="D4096" s="6" t="s">
        <v>18</v>
      </c>
      <c r="E4096" s="6">
        <v>4</v>
      </c>
      <c r="F4096" s="6">
        <v>0</v>
      </c>
      <c r="G4096" s="6" t="s">
        <v>41</v>
      </c>
      <c r="H4096" s="6" t="s">
        <v>10</v>
      </c>
      <c r="I4096" s="6">
        <f>TabJogos[[#This Row],[PontosTime1]]-TabJogos[[#This Row],[PontosTime2]]</f>
        <v>4</v>
      </c>
    </row>
    <row r="4097" spans="1:9" ht="15" customHeight="1" x14ac:dyDescent="0.25">
      <c r="A4097" s="7">
        <v>4096</v>
      </c>
      <c r="B4097" s="1">
        <v>43685</v>
      </c>
      <c r="C4097" s="6" t="s">
        <v>32</v>
      </c>
      <c r="D4097" s="6" t="s">
        <v>18</v>
      </c>
      <c r="E4097" s="6">
        <v>3</v>
      </c>
      <c r="F4097" s="6">
        <v>0</v>
      </c>
      <c r="G4097" s="6" t="s">
        <v>13</v>
      </c>
      <c r="H4097" s="6" t="s">
        <v>41</v>
      </c>
      <c r="I4097" s="6">
        <f>TabJogos[[#This Row],[PontosTime1]]-TabJogos[[#This Row],[PontosTime2]]</f>
        <v>3</v>
      </c>
    </row>
    <row r="4098" spans="1:9" ht="15" customHeight="1" x14ac:dyDescent="0.25">
      <c r="A4098" s="7">
        <v>4097</v>
      </c>
      <c r="B4098" s="1">
        <v>43685</v>
      </c>
      <c r="C4098" s="6" t="s">
        <v>13</v>
      </c>
      <c r="D4098" s="6" t="s">
        <v>32</v>
      </c>
      <c r="E4098" s="6">
        <v>3</v>
      </c>
      <c r="F4098" s="6">
        <v>1</v>
      </c>
      <c r="G4098" s="6" t="s">
        <v>41</v>
      </c>
      <c r="H4098" s="6" t="s">
        <v>18</v>
      </c>
      <c r="I4098" s="6">
        <f>TabJogos[[#This Row],[PontosTime1]]-TabJogos[[#This Row],[PontosTime2]]</f>
        <v>2</v>
      </c>
    </row>
    <row r="4099" spans="1:9" ht="15" customHeight="1" x14ac:dyDescent="0.25">
      <c r="A4099" s="7">
        <v>4098</v>
      </c>
      <c r="B4099" s="1">
        <v>43685</v>
      </c>
      <c r="C4099" s="6" t="s">
        <v>13</v>
      </c>
      <c r="D4099" s="6" t="s">
        <v>18</v>
      </c>
      <c r="E4099" s="6">
        <v>0</v>
      </c>
      <c r="F4099" s="6">
        <v>4</v>
      </c>
      <c r="G4099" s="6" t="s">
        <v>32</v>
      </c>
      <c r="H4099" s="6" t="s">
        <v>41</v>
      </c>
      <c r="I4099" s="6">
        <f>TabJogos[[#This Row],[PontosTime1]]-TabJogos[[#This Row],[PontosTime2]]</f>
        <v>-4</v>
      </c>
    </row>
    <row r="4100" spans="1:9" ht="15" customHeight="1" x14ac:dyDescent="0.25">
      <c r="A4100" s="7">
        <v>4099</v>
      </c>
      <c r="B4100" s="1">
        <v>43685</v>
      </c>
      <c r="C4100" s="6" t="s">
        <v>18</v>
      </c>
      <c r="D4100" s="6" t="s">
        <v>17</v>
      </c>
      <c r="E4100" s="6">
        <v>3</v>
      </c>
      <c r="F4100" s="6">
        <v>2</v>
      </c>
      <c r="G4100" s="6" t="s">
        <v>13</v>
      </c>
      <c r="H4100" s="6" t="s">
        <v>41</v>
      </c>
      <c r="I4100" s="6">
        <f>TabJogos[[#This Row],[PontosTime1]]-TabJogos[[#This Row],[PontosTime2]]</f>
        <v>1</v>
      </c>
    </row>
    <row r="4101" spans="1:9" ht="15" customHeight="1" x14ac:dyDescent="0.25">
      <c r="A4101" s="7">
        <v>4100</v>
      </c>
      <c r="B4101" s="1">
        <v>43685</v>
      </c>
      <c r="C4101" s="6" t="s">
        <v>13</v>
      </c>
      <c r="D4101" s="6" t="s">
        <v>18</v>
      </c>
      <c r="E4101" s="6">
        <v>3</v>
      </c>
      <c r="F4101" s="6">
        <v>0</v>
      </c>
      <c r="G4101" s="6" t="s">
        <v>41</v>
      </c>
      <c r="H4101" s="6" t="s">
        <v>17</v>
      </c>
      <c r="I4101" s="6">
        <f>TabJogos[[#This Row],[PontosTime1]]-TabJogos[[#This Row],[PontosTime2]]</f>
        <v>3</v>
      </c>
    </row>
    <row r="4102" spans="1:9" ht="15" customHeight="1" x14ac:dyDescent="0.25">
      <c r="A4102" s="7">
        <v>4101</v>
      </c>
      <c r="B4102" s="1">
        <v>43685</v>
      </c>
      <c r="C4102" s="6" t="s">
        <v>13</v>
      </c>
      <c r="D4102" s="6" t="s">
        <v>17</v>
      </c>
      <c r="E4102" s="6">
        <v>2</v>
      </c>
      <c r="F4102" s="6">
        <v>4</v>
      </c>
      <c r="G4102" s="6" t="s">
        <v>18</v>
      </c>
      <c r="H4102" s="6" t="s">
        <v>41</v>
      </c>
      <c r="I4102" s="6">
        <f>TabJogos[[#This Row],[PontosTime1]]-TabJogos[[#This Row],[PontosTime2]]</f>
        <v>-2</v>
      </c>
    </row>
    <row r="4103" spans="1:9" ht="15" customHeight="1" x14ac:dyDescent="0.25">
      <c r="A4103" s="7">
        <v>4102</v>
      </c>
      <c r="B4103" s="1">
        <v>43685</v>
      </c>
      <c r="C4103" s="6" t="s">
        <v>13</v>
      </c>
      <c r="D4103" s="6" t="s">
        <v>41</v>
      </c>
      <c r="E4103" s="6">
        <v>1</v>
      </c>
      <c r="F4103" s="6">
        <v>3</v>
      </c>
      <c r="G4103" s="6" t="s">
        <v>18</v>
      </c>
      <c r="H4103" s="6" t="s">
        <v>17</v>
      </c>
      <c r="I4103" s="6">
        <f>TabJogos[[#This Row],[PontosTime1]]-TabJogos[[#This Row],[PontosTime2]]</f>
        <v>-2</v>
      </c>
    </row>
    <row r="4104" spans="1:9" ht="15" customHeight="1" x14ac:dyDescent="0.25">
      <c r="A4104" s="7">
        <v>4103</v>
      </c>
      <c r="B4104" s="1">
        <v>43686</v>
      </c>
      <c r="C4104" s="6" t="s">
        <v>13</v>
      </c>
      <c r="D4104" s="6" t="s">
        <v>17</v>
      </c>
      <c r="E4104" s="6">
        <v>3</v>
      </c>
      <c r="F4104" s="6">
        <v>0</v>
      </c>
      <c r="G4104" s="6" t="s">
        <v>11</v>
      </c>
      <c r="H4104" s="6" t="s">
        <v>12</v>
      </c>
      <c r="I4104" s="6">
        <f>TabJogos[[#This Row],[PontosTime1]]-TabJogos[[#This Row],[PontosTime2]]</f>
        <v>3</v>
      </c>
    </row>
    <row r="4105" spans="1:9" ht="15" customHeight="1" x14ac:dyDescent="0.25">
      <c r="A4105" s="7">
        <v>4104</v>
      </c>
      <c r="B4105" s="1">
        <v>43686</v>
      </c>
      <c r="C4105" s="6" t="s">
        <v>13</v>
      </c>
      <c r="D4105" s="6" t="s">
        <v>12</v>
      </c>
      <c r="E4105" s="6">
        <v>1</v>
      </c>
      <c r="F4105" s="6">
        <v>3</v>
      </c>
      <c r="G4105" s="6" t="s">
        <v>11</v>
      </c>
      <c r="H4105" s="6" t="s">
        <v>17</v>
      </c>
      <c r="I4105" s="6">
        <f>TabJogos[[#This Row],[PontosTime1]]-TabJogos[[#This Row],[PontosTime2]]</f>
        <v>-2</v>
      </c>
    </row>
    <row r="4106" spans="1:9" ht="15" customHeight="1" x14ac:dyDescent="0.25">
      <c r="A4106" s="7">
        <v>4105</v>
      </c>
      <c r="B4106" s="1">
        <v>43686</v>
      </c>
      <c r="C4106" s="6" t="s">
        <v>11</v>
      </c>
      <c r="D4106" s="6" t="s">
        <v>18</v>
      </c>
      <c r="E4106" s="6">
        <v>1</v>
      </c>
      <c r="F4106" s="6">
        <v>4</v>
      </c>
      <c r="G4106" s="6" t="s">
        <v>12</v>
      </c>
      <c r="H4106" s="6" t="s">
        <v>17</v>
      </c>
      <c r="I4106" s="6">
        <f>TabJogos[[#This Row],[PontosTime1]]-TabJogos[[#This Row],[PontosTime2]]</f>
        <v>-3</v>
      </c>
    </row>
    <row r="4107" spans="1:9" ht="15" customHeight="1" x14ac:dyDescent="0.25">
      <c r="A4107" s="7">
        <v>4106</v>
      </c>
      <c r="B4107" s="1">
        <v>43686</v>
      </c>
      <c r="C4107" s="6" t="s">
        <v>17</v>
      </c>
      <c r="D4107" s="6" t="s">
        <v>13</v>
      </c>
      <c r="E4107" s="6">
        <v>3</v>
      </c>
      <c r="F4107" s="6">
        <v>2</v>
      </c>
      <c r="G4107" s="6" t="s">
        <v>12</v>
      </c>
      <c r="H4107" s="6" t="s">
        <v>41</v>
      </c>
      <c r="I4107" s="6">
        <f>TabJogos[[#This Row],[PontosTime1]]-TabJogos[[#This Row],[PontosTime2]]</f>
        <v>1</v>
      </c>
    </row>
    <row r="4108" spans="1:9" ht="15" customHeight="1" x14ac:dyDescent="0.25">
      <c r="A4108" s="7">
        <v>4107</v>
      </c>
      <c r="B4108" s="1">
        <v>43686</v>
      </c>
      <c r="C4108" s="6" t="s">
        <v>38</v>
      </c>
      <c r="D4108" s="6" t="s">
        <v>17</v>
      </c>
      <c r="E4108" s="6">
        <v>3</v>
      </c>
      <c r="F4108" s="6">
        <v>2</v>
      </c>
      <c r="G4108" s="6" t="s">
        <v>11</v>
      </c>
      <c r="H4108" s="6" t="s">
        <v>13</v>
      </c>
      <c r="I4108" s="6">
        <f>TabJogos[[#This Row],[PontosTime1]]-TabJogos[[#This Row],[PontosTime2]]</f>
        <v>1</v>
      </c>
    </row>
    <row r="4109" spans="1:9" ht="15" customHeight="1" x14ac:dyDescent="0.25">
      <c r="A4109" s="7">
        <v>4108</v>
      </c>
      <c r="B4109" s="1">
        <v>43686</v>
      </c>
      <c r="C4109" s="6" t="s">
        <v>13</v>
      </c>
      <c r="D4109" s="6" t="s">
        <v>18</v>
      </c>
      <c r="E4109" s="6">
        <v>3</v>
      </c>
      <c r="F4109" s="6">
        <v>0</v>
      </c>
      <c r="G4109" s="6" t="s">
        <v>11</v>
      </c>
      <c r="H4109" s="6" t="s">
        <v>17</v>
      </c>
      <c r="I4109" s="6">
        <f>TabJogos[[#This Row],[PontosTime1]]-TabJogos[[#This Row],[PontosTime2]]</f>
        <v>3</v>
      </c>
    </row>
    <row r="4110" spans="1:9" ht="15" customHeight="1" x14ac:dyDescent="0.25">
      <c r="A4110" s="7">
        <v>4109</v>
      </c>
      <c r="B4110" s="1">
        <v>43686</v>
      </c>
      <c r="C4110" s="6" t="s">
        <v>11</v>
      </c>
      <c r="D4110" s="6" t="s">
        <v>18</v>
      </c>
      <c r="E4110" s="6">
        <v>4</v>
      </c>
      <c r="F4110" s="6">
        <v>2</v>
      </c>
      <c r="G4110" s="6" t="s">
        <v>13</v>
      </c>
      <c r="H4110" s="6" t="s">
        <v>41</v>
      </c>
      <c r="I4110" s="6">
        <f>TabJogos[[#This Row],[PontosTime1]]-TabJogos[[#This Row],[PontosTime2]]</f>
        <v>2</v>
      </c>
    </row>
    <row r="4111" spans="1:9" ht="15" customHeight="1" x14ac:dyDescent="0.25">
      <c r="A4111" s="7">
        <v>4110</v>
      </c>
      <c r="B4111" s="1">
        <v>43686</v>
      </c>
      <c r="C4111" s="6" t="s">
        <v>11</v>
      </c>
      <c r="D4111" s="6" t="s">
        <v>41</v>
      </c>
      <c r="E4111" s="6">
        <v>0</v>
      </c>
      <c r="F4111" s="6">
        <v>3</v>
      </c>
      <c r="G4111" s="6" t="s">
        <v>13</v>
      </c>
      <c r="H4111" s="6" t="s">
        <v>18</v>
      </c>
      <c r="I4111" s="6">
        <f>TabJogos[[#This Row],[PontosTime1]]-TabJogos[[#This Row],[PontosTime2]]</f>
        <v>-3</v>
      </c>
    </row>
    <row r="4112" spans="1:9" ht="15" customHeight="1" x14ac:dyDescent="0.25">
      <c r="A4112" s="7">
        <v>4111</v>
      </c>
      <c r="B4112" s="1">
        <v>43686</v>
      </c>
      <c r="C4112" s="6" t="s">
        <v>11</v>
      </c>
      <c r="D4112" s="6" t="s">
        <v>13</v>
      </c>
      <c r="E4112" s="6">
        <v>1</v>
      </c>
      <c r="F4112" s="6">
        <v>3</v>
      </c>
      <c r="G4112" s="6" t="s">
        <v>18</v>
      </c>
      <c r="H4112" s="6" t="s">
        <v>41</v>
      </c>
      <c r="I4112" s="6">
        <f>TabJogos[[#This Row],[PontosTime1]]-TabJogos[[#This Row],[PontosTime2]]</f>
        <v>-2</v>
      </c>
    </row>
    <row r="4113" spans="1:9" ht="15" customHeight="1" x14ac:dyDescent="0.25">
      <c r="A4113" s="7">
        <v>4112</v>
      </c>
      <c r="B4113" s="1">
        <v>43686</v>
      </c>
      <c r="C4113" s="6" t="s">
        <v>11</v>
      </c>
      <c r="D4113" s="6" t="s">
        <v>18</v>
      </c>
      <c r="E4113" s="6">
        <v>3</v>
      </c>
      <c r="F4113" s="6">
        <v>0</v>
      </c>
      <c r="G4113" s="6" t="s">
        <v>13</v>
      </c>
      <c r="H4113" s="6" t="s">
        <v>41</v>
      </c>
      <c r="I4113" s="6">
        <f>TabJogos[[#This Row],[PontosTime1]]-TabJogos[[#This Row],[PontosTime2]]</f>
        <v>3</v>
      </c>
    </row>
    <row r="4114" spans="1:9" ht="15" customHeight="1" x14ac:dyDescent="0.25">
      <c r="A4114" s="7">
        <v>4113</v>
      </c>
      <c r="B4114" s="1">
        <v>43689</v>
      </c>
      <c r="C4114" s="6" t="s">
        <v>32</v>
      </c>
      <c r="D4114" s="6" t="s">
        <v>41</v>
      </c>
      <c r="E4114" s="6">
        <v>3</v>
      </c>
      <c r="F4114" s="6">
        <v>1</v>
      </c>
      <c r="G4114" s="6" t="s">
        <v>17</v>
      </c>
      <c r="H4114" s="6" t="s">
        <v>11</v>
      </c>
      <c r="I4114" s="6">
        <f>TabJogos[[#This Row],[PontosTime1]]-TabJogos[[#This Row],[PontosTime2]]</f>
        <v>2</v>
      </c>
    </row>
    <row r="4115" spans="1:9" ht="15" customHeight="1" x14ac:dyDescent="0.25">
      <c r="A4115" s="7">
        <v>4114</v>
      </c>
      <c r="B4115" s="1">
        <v>43689</v>
      </c>
      <c r="C4115" s="6" t="s">
        <v>41</v>
      </c>
      <c r="D4115" s="6" t="s">
        <v>18</v>
      </c>
      <c r="E4115" s="6">
        <v>3</v>
      </c>
      <c r="F4115" s="6">
        <v>0</v>
      </c>
      <c r="G4115" s="6" t="s">
        <v>17</v>
      </c>
      <c r="H4115" s="6" t="s">
        <v>32</v>
      </c>
      <c r="I4115" s="6">
        <f>TabJogos[[#This Row],[PontosTime1]]-TabJogos[[#This Row],[PontosTime2]]</f>
        <v>3</v>
      </c>
    </row>
    <row r="4116" spans="1:9" ht="15" customHeight="1" x14ac:dyDescent="0.25">
      <c r="A4116" s="7">
        <v>4115</v>
      </c>
      <c r="B4116" s="1">
        <v>43689</v>
      </c>
      <c r="C4116" s="6" t="s">
        <v>11</v>
      </c>
      <c r="D4116" s="6" t="s">
        <v>41</v>
      </c>
      <c r="E4116" s="6">
        <v>1</v>
      </c>
      <c r="F4116" s="6">
        <v>5</v>
      </c>
      <c r="G4116" s="6" t="s">
        <v>32</v>
      </c>
      <c r="H4116" s="6" t="s">
        <v>18</v>
      </c>
      <c r="I4116" s="6">
        <f>TabJogos[[#This Row],[PontosTime1]]-TabJogos[[#This Row],[PontosTime2]]</f>
        <v>-4</v>
      </c>
    </row>
    <row r="4117" spans="1:9" ht="15" customHeight="1" x14ac:dyDescent="0.25">
      <c r="A4117" s="7">
        <v>4116</v>
      </c>
      <c r="B4117" s="1">
        <v>43689</v>
      </c>
      <c r="C4117" s="6" t="s">
        <v>41</v>
      </c>
      <c r="D4117" s="6" t="s">
        <v>32</v>
      </c>
      <c r="E4117" s="6">
        <v>3</v>
      </c>
      <c r="F4117" s="6">
        <v>1</v>
      </c>
      <c r="G4117" s="6" t="s">
        <v>18</v>
      </c>
      <c r="H4117" s="6" t="s">
        <v>17</v>
      </c>
      <c r="I4117" s="6">
        <f>TabJogos[[#This Row],[PontosTime1]]-TabJogos[[#This Row],[PontosTime2]]</f>
        <v>2</v>
      </c>
    </row>
    <row r="4118" spans="1:9" ht="15" customHeight="1" x14ac:dyDescent="0.25">
      <c r="A4118" s="7">
        <v>4117</v>
      </c>
      <c r="B4118" s="1">
        <v>43689</v>
      </c>
      <c r="C4118" s="6" t="s">
        <v>17</v>
      </c>
      <c r="D4118" s="6" t="s">
        <v>41</v>
      </c>
      <c r="E4118" s="6">
        <v>3</v>
      </c>
      <c r="F4118" s="6">
        <v>0</v>
      </c>
      <c r="G4118" s="6" t="s">
        <v>11</v>
      </c>
      <c r="H4118" s="6" t="s">
        <v>32</v>
      </c>
      <c r="I4118" s="6">
        <f>TabJogos[[#This Row],[PontosTime1]]-TabJogos[[#This Row],[PontosTime2]]</f>
        <v>3</v>
      </c>
    </row>
    <row r="4119" spans="1:9" ht="15" customHeight="1" x14ac:dyDescent="0.25">
      <c r="A4119" s="7">
        <v>4118</v>
      </c>
      <c r="B4119" s="1">
        <v>43689</v>
      </c>
      <c r="C4119" s="6" t="s">
        <v>18</v>
      </c>
      <c r="D4119" s="6" t="s">
        <v>41</v>
      </c>
      <c r="E4119" s="6">
        <v>3</v>
      </c>
      <c r="F4119" s="6">
        <v>0</v>
      </c>
      <c r="G4119" s="6" t="s">
        <v>11</v>
      </c>
      <c r="H4119" s="6" t="s">
        <v>17</v>
      </c>
      <c r="I4119" s="6">
        <f>TabJogos[[#This Row],[PontosTime1]]-TabJogos[[#This Row],[PontosTime2]]</f>
        <v>3</v>
      </c>
    </row>
    <row r="4120" spans="1:9" ht="15" customHeight="1" x14ac:dyDescent="0.25">
      <c r="A4120" s="7">
        <v>4119</v>
      </c>
      <c r="B4120" s="1">
        <v>43689</v>
      </c>
      <c r="C4120" s="6" t="s">
        <v>11</v>
      </c>
      <c r="D4120" s="6" t="s">
        <v>41</v>
      </c>
      <c r="E4120" s="6">
        <v>2</v>
      </c>
      <c r="F4120" s="6">
        <v>3</v>
      </c>
      <c r="G4120" s="6" t="s">
        <v>18</v>
      </c>
      <c r="H4120" s="6" t="s">
        <v>17</v>
      </c>
      <c r="I4120" s="6">
        <f>TabJogos[[#This Row],[PontosTime1]]-TabJogos[[#This Row],[PontosTime2]]</f>
        <v>-1</v>
      </c>
    </row>
    <row r="4121" spans="1:9" ht="15" customHeight="1" x14ac:dyDescent="0.25">
      <c r="A4121" s="7">
        <v>4120</v>
      </c>
      <c r="B4121" s="1">
        <v>43690</v>
      </c>
      <c r="C4121" s="6" t="s">
        <v>17</v>
      </c>
      <c r="D4121" s="6" t="s">
        <v>10</v>
      </c>
      <c r="E4121" s="6">
        <v>3</v>
      </c>
      <c r="F4121" s="6">
        <v>2</v>
      </c>
      <c r="G4121" s="6" t="s">
        <v>41</v>
      </c>
      <c r="H4121" s="6" t="s">
        <v>11</v>
      </c>
      <c r="I4121" s="6">
        <f>TabJogos[[#This Row],[PontosTime1]]-TabJogos[[#This Row],[PontosTime2]]</f>
        <v>1</v>
      </c>
    </row>
    <row r="4122" spans="1:9" ht="15" customHeight="1" x14ac:dyDescent="0.25">
      <c r="A4122" s="7">
        <v>4121</v>
      </c>
      <c r="B4122" s="1">
        <v>43690</v>
      </c>
      <c r="C4122" s="6" t="s">
        <v>10</v>
      </c>
      <c r="D4122" s="6" t="s">
        <v>11</v>
      </c>
      <c r="E4122" s="6">
        <v>3</v>
      </c>
      <c r="F4122" s="6">
        <v>0</v>
      </c>
      <c r="G4122" s="6" t="s">
        <v>17</v>
      </c>
      <c r="H4122" s="6" t="s">
        <v>12</v>
      </c>
      <c r="I4122" s="6">
        <f>TabJogos[[#This Row],[PontosTime1]]-TabJogos[[#This Row],[PontosTime2]]</f>
        <v>3</v>
      </c>
    </row>
    <row r="4123" spans="1:9" ht="15" customHeight="1" x14ac:dyDescent="0.25">
      <c r="A4123" s="7">
        <v>4122</v>
      </c>
      <c r="B4123" s="1">
        <v>43690</v>
      </c>
      <c r="C4123" s="6" t="s">
        <v>41</v>
      </c>
      <c r="D4123" s="6" t="s">
        <v>10</v>
      </c>
      <c r="E4123" s="6">
        <v>4</v>
      </c>
      <c r="F4123" s="6">
        <v>0</v>
      </c>
      <c r="G4123" s="6" t="s">
        <v>17</v>
      </c>
      <c r="H4123" s="6" t="s">
        <v>11</v>
      </c>
      <c r="I4123" s="6">
        <f>TabJogos[[#This Row],[PontosTime1]]-TabJogos[[#This Row],[PontosTime2]]</f>
        <v>4</v>
      </c>
    </row>
    <row r="4124" spans="1:9" ht="15" customHeight="1" x14ac:dyDescent="0.25">
      <c r="A4124" s="7">
        <v>4123</v>
      </c>
      <c r="B4124" s="1">
        <v>43690</v>
      </c>
      <c r="C4124" s="6" t="s">
        <v>17</v>
      </c>
      <c r="D4124" s="6" t="s">
        <v>41</v>
      </c>
      <c r="E4124" s="6">
        <v>1</v>
      </c>
      <c r="F4124" s="6">
        <v>3</v>
      </c>
      <c r="G4124" s="6" t="s">
        <v>12</v>
      </c>
      <c r="H4124" s="6" t="s">
        <v>10</v>
      </c>
      <c r="I4124" s="6">
        <f>TabJogos[[#This Row],[PontosTime1]]-TabJogos[[#This Row],[PontosTime2]]</f>
        <v>-2</v>
      </c>
    </row>
    <row r="4125" spans="1:9" ht="15" customHeight="1" x14ac:dyDescent="0.25">
      <c r="A4125" s="7">
        <v>4124</v>
      </c>
      <c r="B4125" s="1">
        <v>43690</v>
      </c>
      <c r="C4125" s="6" t="s">
        <v>27</v>
      </c>
      <c r="D4125" s="6" t="s">
        <v>10</v>
      </c>
      <c r="E4125" s="6">
        <v>3</v>
      </c>
      <c r="F4125" s="6">
        <v>0</v>
      </c>
      <c r="G4125" s="6" t="s">
        <v>12</v>
      </c>
      <c r="H4125" s="6" t="s">
        <v>11</v>
      </c>
      <c r="I4125" s="6">
        <f>TabJogos[[#This Row],[PontosTime1]]-TabJogos[[#This Row],[PontosTime2]]</f>
        <v>3</v>
      </c>
    </row>
    <row r="4126" spans="1:9" ht="15" customHeight="1" x14ac:dyDescent="0.25">
      <c r="A4126" s="7">
        <v>4125</v>
      </c>
      <c r="B4126" s="1">
        <v>43690</v>
      </c>
      <c r="C4126" s="6" t="s">
        <v>32</v>
      </c>
      <c r="D4126" s="6" t="s">
        <v>10</v>
      </c>
      <c r="E4126" s="6">
        <v>4</v>
      </c>
      <c r="F4126" s="6">
        <v>0</v>
      </c>
      <c r="G4126" s="6" t="s">
        <v>17</v>
      </c>
      <c r="H4126" s="6" t="s">
        <v>27</v>
      </c>
      <c r="I4126" s="6">
        <f>TabJogos[[#This Row],[PontosTime1]]-TabJogos[[#This Row],[PontosTime2]]</f>
        <v>4</v>
      </c>
    </row>
    <row r="4127" spans="1:9" ht="15" customHeight="1" x14ac:dyDescent="0.25">
      <c r="A4127" s="7">
        <v>4126</v>
      </c>
      <c r="B4127" s="1">
        <v>43690</v>
      </c>
      <c r="C4127" s="6" t="s">
        <v>10</v>
      </c>
      <c r="D4127" s="6" t="s">
        <v>9</v>
      </c>
      <c r="E4127" s="6">
        <v>3</v>
      </c>
      <c r="F4127" s="6">
        <v>1</v>
      </c>
      <c r="G4127" s="6" t="s">
        <v>41</v>
      </c>
      <c r="H4127" s="6" t="s">
        <v>32</v>
      </c>
      <c r="I4127" s="6">
        <f>TabJogos[[#This Row],[PontosTime1]]-TabJogos[[#This Row],[PontosTime2]]</f>
        <v>2</v>
      </c>
    </row>
    <row r="4128" spans="1:9" ht="15" customHeight="1" x14ac:dyDescent="0.25">
      <c r="A4128" s="7">
        <v>4127</v>
      </c>
      <c r="B4128" s="1">
        <v>43690</v>
      </c>
      <c r="C4128" s="6" t="s">
        <v>10</v>
      </c>
      <c r="D4128" s="6" t="s">
        <v>11</v>
      </c>
      <c r="E4128" s="6">
        <v>3</v>
      </c>
      <c r="F4128" s="6">
        <v>0</v>
      </c>
      <c r="G4128" s="6" t="s">
        <v>27</v>
      </c>
      <c r="H4128" s="6" t="s">
        <v>9</v>
      </c>
      <c r="I4128" s="6">
        <f>TabJogos[[#This Row],[PontosTime1]]-TabJogos[[#This Row],[PontosTime2]]</f>
        <v>3</v>
      </c>
    </row>
    <row r="4129" spans="1:9" ht="15" customHeight="1" x14ac:dyDescent="0.25">
      <c r="A4129" s="7">
        <v>4128</v>
      </c>
      <c r="B4129" s="1">
        <v>43690</v>
      </c>
      <c r="C4129" s="6" t="s">
        <v>17</v>
      </c>
      <c r="D4129" s="6" t="s">
        <v>11</v>
      </c>
      <c r="E4129" s="6">
        <v>1</v>
      </c>
      <c r="F4129" s="6">
        <v>3</v>
      </c>
      <c r="G4129" s="6" t="s">
        <v>41</v>
      </c>
      <c r="H4129" s="6" t="s">
        <v>9</v>
      </c>
      <c r="I4129" s="6">
        <f>TabJogos[[#This Row],[PontosTime1]]-TabJogos[[#This Row],[PontosTime2]]</f>
        <v>-2</v>
      </c>
    </row>
    <row r="4130" spans="1:9" ht="15" customHeight="1" x14ac:dyDescent="0.25">
      <c r="A4130" s="7">
        <v>4129</v>
      </c>
      <c r="B4130" s="1">
        <v>43690</v>
      </c>
      <c r="C4130" s="6" t="s">
        <v>11</v>
      </c>
      <c r="D4130" s="6" t="s">
        <v>9</v>
      </c>
      <c r="E4130" s="6">
        <v>3</v>
      </c>
      <c r="F4130" s="6">
        <v>0</v>
      </c>
      <c r="G4130" s="6" t="s">
        <v>17</v>
      </c>
      <c r="H4130" s="6" t="s">
        <v>41</v>
      </c>
      <c r="I4130" s="6">
        <f>TabJogos[[#This Row],[PontosTime1]]-TabJogos[[#This Row],[PontosTime2]]</f>
        <v>3</v>
      </c>
    </row>
    <row r="4131" spans="1:9" ht="15" customHeight="1" x14ac:dyDescent="0.25">
      <c r="A4131" s="7">
        <v>4130</v>
      </c>
      <c r="B4131" s="1">
        <v>43690</v>
      </c>
      <c r="C4131" s="6" t="s">
        <v>11</v>
      </c>
      <c r="D4131" s="6" t="s">
        <v>41</v>
      </c>
      <c r="E4131" s="6">
        <v>4</v>
      </c>
      <c r="F4131" s="6">
        <v>0</v>
      </c>
      <c r="G4131" s="6" t="s">
        <v>9</v>
      </c>
      <c r="H4131" s="6" t="s">
        <v>17</v>
      </c>
      <c r="I4131" s="6">
        <f>TabJogos[[#This Row],[PontosTime1]]-TabJogos[[#This Row],[PontosTime2]]</f>
        <v>4</v>
      </c>
    </row>
    <row r="4132" spans="1:9" ht="15" customHeight="1" x14ac:dyDescent="0.25">
      <c r="A4132" s="7">
        <v>4131</v>
      </c>
      <c r="B4132" s="1">
        <v>43691</v>
      </c>
      <c r="C4132" s="6" t="s">
        <v>10</v>
      </c>
      <c r="D4132" s="6" t="s">
        <v>9</v>
      </c>
      <c r="E4132" s="6">
        <v>3</v>
      </c>
      <c r="F4132" s="6">
        <v>2</v>
      </c>
      <c r="G4132" s="6" t="s">
        <v>11</v>
      </c>
      <c r="H4132" s="6" t="s">
        <v>12</v>
      </c>
      <c r="I4132" s="6">
        <f>TabJogos[[#This Row],[PontosTime1]]-TabJogos[[#This Row],[PontosTime2]]</f>
        <v>1</v>
      </c>
    </row>
    <row r="4133" spans="1:9" ht="15" customHeight="1" x14ac:dyDescent="0.25">
      <c r="A4133" s="7">
        <v>4132</v>
      </c>
      <c r="B4133" s="1">
        <v>43691</v>
      </c>
      <c r="C4133" s="6" t="s">
        <v>41</v>
      </c>
      <c r="D4133" s="6" t="s">
        <v>9</v>
      </c>
      <c r="E4133" s="6">
        <v>3</v>
      </c>
      <c r="F4133" s="6">
        <v>1</v>
      </c>
      <c r="G4133" s="6" t="s">
        <v>10</v>
      </c>
      <c r="H4133" s="6" t="s">
        <v>12</v>
      </c>
      <c r="I4133" s="6">
        <f>TabJogos[[#This Row],[PontosTime1]]-TabJogos[[#This Row],[PontosTime2]]</f>
        <v>2</v>
      </c>
    </row>
    <row r="4134" spans="1:9" ht="15" customHeight="1" x14ac:dyDescent="0.25">
      <c r="A4134" s="7">
        <v>4133</v>
      </c>
      <c r="B4134" s="1">
        <v>43691</v>
      </c>
      <c r="C4134" s="6" t="s">
        <v>41</v>
      </c>
      <c r="D4134" s="6" t="s">
        <v>11</v>
      </c>
      <c r="E4134" s="6">
        <v>2</v>
      </c>
      <c r="F4134" s="6">
        <v>3</v>
      </c>
      <c r="G4134" s="6" t="s">
        <v>12</v>
      </c>
      <c r="H4134" s="6" t="s">
        <v>9</v>
      </c>
      <c r="I4134" s="6">
        <f>TabJogos[[#This Row],[PontosTime1]]-TabJogos[[#This Row],[PontosTime2]]</f>
        <v>-1</v>
      </c>
    </row>
    <row r="4135" spans="1:9" ht="15" customHeight="1" x14ac:dyDescent="0.25">
      <c r="A4135" s="7">
        <v>4134</v>
      </c>
      <c r="B4135" s="1">
        <v>43691</v>
      </c>
      <c r="C4135" s="6" t="s">
        <v>18</v>
      </c>
      <c r="D4135" s="6" t="s">
        <v>9</v>
      </c>
      <c r="E4135" s="6">
        <v>3</v>
      </c>
      <c r="F4135" s="6">
        <v>1</v>
      </c>
      <c r="G4135" s="6" t="s">
        <v>12</v>
      </c>
      <c r="H4135" s="6" t="s">
        <v>10</v>
      </c>
      <c r="I4135" s="6">
        <f>TabJogos[[#This Row],[PontosTime1]]-TabJogos[[#This Row],[PontosTime2]]</f>
        <v>2</v>
      </c>
    </row>
    <row r="4136" spans="1:9" ht="15" customHeight="1" x14ac:dyDescent="0.25">
      <c r="A4136" s="7">
        <v>4135</v>
      </c>
      <c r="B4136" s="1">
        <v>43691</v>
      </c>
      <c r="C4136" s="6" t="s">
        <v>9</v>
      </c>
      <c r="D4136" s="6" t="s">
        <v>11</v>
      </c>
      <c r="E4136" s="6">
        <v>4</v>
      </c>
      <c r="F4136" s="6">
        <v>1</v>
      </c>
      <c r="G4136" s="6" t="s">
        <v>18</v>
      </c>
      <c r="H4136" s="6" t="s">
        <v>41</v>
      </c>
      <c r="I4136" s="6">
        <f>TabJogos[[#This Row],[PontosTime1]]-TabJogos[[#This Row],[PontosTime2]]</f>
        <v>3</v>
      </c>
    </row>
    <row r="4137" spans="1:9" ht="15" customHeight="1" x14ac:dyDescent="0.25">
      <c r="A4137" s="7">
        <v>4136</v>
      </c>
      <c r="B4137" s="1">
        <v>43691</v>
      </c>
      <c r="C4137" s="6" t="s">
        <v>41</v>
      </c>
      <c r="D4137" s="6" t="s">
        <v>9</v>
      </c>
      <c r="E4137" s="6">
        <v>3</v>
      </c>
      <c r="F4137" s="6">
        <v>1</v>
      </c>
      <c r="G4137" s="6" t="s">
        <v>18</v>
      </c>
      <c r="H4137" s="6" t="s">
        <v>11</v>
      </c>
      <c r="I4137" s="6">
        <f>TabJogos[[#This Row],[PontosTime1]]-TabJogos[[#This Row],[PontosTime2]]</f>
        <v>2</v>
      </c>
    </row>
    <row r="4138" spans="1:9" ht="15" customHeight="1" x14ac:dyDescent="0.25">
      <c r="A4138" s="7">
        <v>4137</v>
      </c>
      <c r="B4138" s="1">
        <v>43691</v>
      </c>
      <c r="C4138" s="6" t="s">
        <v>41</v>
      </c>
      <c r="D4138" s="6" t="s">
        <v>11</v>
      </c>
      <c r="E4138" s="6">
        <v>5</v>
      </c>
      <c r="F4138" s="6">
        <v>0</v>
      </c>
      <c r="G4138" s="6" t="s">
        <v>9</v>
      </c>
      <c r="H4138" s="6" t="s">
        <v>18</v>
      </c>
      <c r="I4138" s="6">
        <f>TabJogos[[#This Row],[PontosTime1]]-TabJogos[[#This Row],[PontosTime2]]</f>
        <v>5</v>
      </c>
    </row>
    <row r="4139" spans="1:9" ht="15" customHeight="1" x14ac:dyDescent="0.25">
      <c r="A4139" s="7">
        <v>4138</v>
      </c>
      <c r="B4139" s="1">
        <v>43691</v>
      </c>
      <c r="C4139" s="6" t="s">
        <v>11</v>
      </c>
      <c r="D4139" s="6" t="s">
        <v>9</v>
      </c>
      <c r="E4139" s="6">
        <v>3</v>
      </c>
      <c r="F4139" s="6">
        <v>1</v>
      </c>
      <c r="G4139" s="6" t="s">
        <v>41</v>
      </c>
      <c r="H4139" s="6" t="s">
        <v>17</v>
      </c>
      <c r="I4139" s="6">
        <f>TabJogos[[#This Row],[PontosTime1]]-TabJogos[[#This Row],[PontosTime2]]</f>
        <v>2</v>
      </c>
    </row>
    <row r="4140" spans="1:9" ht="15" customHeight="1" x14ac:dyDescent="0.25">
      <c r="A4140" s="7">
        <v>4139</v>
      </c>
      <c r="B4140" s="1">
        <v>43691</v>
      </c>
      <c r="C4140" s="6" t="s">
        <v>11</v>
      </c>
      <c r="D4140" s="6" t="s">
        <v>18</v>
      </c>
      <c r="E4140" s="6">
        <v>4</v>
      </c>
      <c r="F4140" s="6">
        <v>2</v>
      </c>
      <c r="G4140" s="6" t="s">
        <v>9</v>
      </c>
      <c r="H4140" s="6" t="s">
        <v>17</v>
      </c>
      <c r="I4140" s="6">
        <f>TabJogos[[#This Row],[PontosTime1]]-TabJogos[[#This Row],[PontosTime2]]</f>
        <v>2</v>
      </c>
    </row>
    <row r="4141" spans="1:9" ht="15" customHeight="1" x14ac:dyDescent="0.25">
      <c r="A4141" s="7">
        <v>4140</v>
      </c>
      <c r="B4141" s="1">
        <v>43691</v>
      </c>
      <c r="C4141" s="6" t="s">
        <v>9</v>
      </c>
      <c r="D4141" s="6" t="s">
        <v>18</v>
      </c>
      <c r="E4141" s="6">
        <v>4</v>
      </c>
      <c r="F4141" s="6">
        <v>0</v>
      </c>
      <c r="G4141" s="6" t="s">
        <v>11</v>
      </c>
      <c r="H4141" s="6" t="s">
        <v>17</v>
      </c>
      <c r="I4141" s="6">
        <f>TabJogos[[#This Row],[PontosTime1]]-TabJogos[[#This Row],[PontosTime2]]</f>
        <v>4</v>
      </c>
    </row>
    <row r="4142" spans="1:9" ht="15" customHeight="1" x14ac:dyDescent="0.25">
      <c r="A4142" s="7">
        <v>4141</v>
      </c>
      <c r="B4142" s="1">
        <v>43691</v>
      </c>
      <c r="C4142" s="6" t="s">
        <v>9</v>
      </c>
      <c r="D4142" s="6" t="s">
        <v>11</v>
      </c>
      <c r="E4142" s="6">
        <v>3</v>
      </c>
      <c r="F4142" s="6">
        <v>1</v>
      </c>
      <c r="G4142" s="6" t="s">
        <v>17</v>
      </c>
      <c r="H4142" s="6" t="s">
        <v>18</v>
      </c>
      <c r="I4142" s="6">
        <f>TabJogos[[#This Row],[PontosTime1]]-TabJogos[[#This Row],[PontosTime2]]</f>
        <v>2</v>
      </c>
    </row>
    <row r="4143" spans="1:9" ht="15" customHeight="1" x14ac:dyDescent="0.25">
      <c r="A4143" s="7">
        <v>4142</v>
      </c>
      <c r="B4143" s="1">
        <v>43692</v>
      </c>
      <c r="C4143" s="6" t="s">
        <v>27</v>
      </c>
      <c r="D4143" s="6" t="s">
        <v>32</v>
      </c>
      <c r="E4143" s="6">
        <v>3</v>
      </c>
      <c r="F4143" s="6">
        <v>0</v>
      </c>
      <c r="G4143" s="6" t="s">
        <v>18</v>
      </c>
      <c r="H4143" s="6" t="s">
        <v>41</v>
      </c>
      <c r="I4143" s="6">
        <f>TabJogos[[#This Row],[PontosTime1]]-TabJogos[[#This Row],[PontosTime2]]</f>
        <v>3</v>
      </c>
    </row>
    <row r="4144" spans="1:9" ht="15" customHeight="1" x14ac:dyDescent="0.25">
      <c r="A4144" s="7">
        <v>4143</v>
      </c>
      <c r="B4144" s="1">
        <v>43692</v>
      </c>
      <c r="C4144" s="6" t="s">
        <v>27</v>
      </c>
      <c r="D4144" s="6" t="s">
        <v>11</v>
      </c>
      <c r="E4144" s="6">
        <v>2</v>
      </c>
      <c r="F4144" s="6">
        <v>3</v>
      </c>
      <c r="G4144" s="6" t="s">
        <v>9</v>
      </c>
      <c r="H4144" s="6" t="s">
        <v>32</v>
      </c>
      <c r="I4144" s="6">
        <f>TabJogos[[#This Row],[PontosTime1]]-TabJogos[[#This Row],[PontosTime2]]</f>
        <v>-1</v>
      </c>
    </row>
    <row r="4145" spans="1:9" ht="15" customHeight="1" x14ac:dyDescent="0.25">
      <c r="A4145" s="7">
        <v>4144</v>
      </c>
      <c r="B4145" s="1">
        <v>43692</v>
      </c>
      <c r="C4145" s="6" t="s">
        <v>9</v>
      </c>
      <c r="D4145" s="6" t="s">
        <v>18</v>
      </c>
      <c r="E4145" s="6">
        <v>3</v>
      </c>
      <c r="F4145" s="6">
        <v>2</v>
      </c>
      <c r="G4145" s="6" t="s">
        <v>41</v>
      </c>
      <c r="H4145" s="6" t="s">
        <v>32</v>
      </c>
      <c r="I4145" s="6">
        <f>TabJogos[[#This Row],[PontosTime1]]-TabJogos[[#This Row],[PontosTime2]]</f>
        <v>1</v>
      </c>
    </row>
    <row r="4146" spans="1:9" ht="15" customHeight="1" x14ac:dyDescent="0.25">
      <c r="A4146" s="7">
        <v>4145</v>
      </c>
      <c r="B4146" s="1">
        <v>43692</v>
      </c>
      <c r="C4146" s="6" t="s">
        <v>11</v>
      </c>
      <c r="D4146" s="6" t="s">
        <v>9</v>
      </c>
      <c r="E4146" s="6">
        <v>5</v>
      </c>
      <c r="F4146" s="6">
        <v>1</v>
      </c>
      <c r="G4146" s="6" t="s">
        <v>27</v>
      </c>
      <c r="H4146" s="6" t="s">
        <v>18</v>
      </c>
      <c r="I4146" s="6">
        <f>TabJogos[[#This Row],[PontosTime1]]-TabJogos[[#This Row],[PontosTime2]]</f>
        <v>4</v>
      </c>
    </row>
    <row r="4147" spans="1:9" ht="15" customHeight="1" x14ac:dyDescent="0.25">
      <c r="A4147" s="7">
        <v>4146</v>
      </c>
      <c r="B4147" s="1">
        <v>43692</v>
      </c>
      <c r="C4147" s="6" t="s">
        <v>9</v>
      </c>
      <c r="D4147" s="6" t="s">
        <v>27</v>
      </c>
      <c r="E4147" s="6">
        <v>3</v>
      </c>
      <c r="F4147" s="6">
        <v>2</v>
      </c>
      <c r="G4147" s="6" t="s">
        <v>18</v>
      </c>
      <c r="H4147" s="6" t="s">
        <v>11</v>
      </c>
      <c r="I4147" s="6">
        <f>TabJogos[[#This Row],[PontosTime1]]-TabJogos[[#This Row],[PontosTime2]]</f>
        <v>1</v>
      </c>
    </row>
    <row r="4148" spans="1:9" ht="15" customHeight="1" x14ac:dyDescent="0.25">
      <c r="A4148" s="7">
        <v>4147</v>
      </c>
      <c r="B4148" s="1">
        <v>43692</v>
      </c>
      <c r="C4148" s="6" t="s">
        <v>9</v>
      </c>
      <c r="D4148" s="6" t="s">
        <v>18</v>
      </c>
      <c r="E4148" s="6">
        <v>4</v>
      </c>
      <c r="F4148" s="6">
        <v>1</v>
      </c>
      <c r="G4148" s="6" t="s">
        <v>11</v>
      </c>
      <c r="H4148" s="6" t="s">
        <v>27</v>
      </c>
      <c r="I4148" s="6">
        <f>TabJogos[[#This Row],[PontosTime1]]-TabJogos[[#This Row],[PontosTime2]]</f>
        <v>3</v>
      </c>
    </row>
    <row r="4149" spans="1:9" ht="15" customHeight="1" x14ac:dyDescent="0.25">
      <c r="A4149" s="7">
        <v>4148</v>
      </c>
      <c r="B4149" s="1">
        <v>43693</v>
      </c>
      <c r="C4149" s="6" t="s">
        <v>41</v>
      </c>
      <c r="D4149" s="6" t="s">
        <v>32</v>
      </c>
      <c r="E4149" s="6">
        <v>4</v>
      </c>
      <c r="F4149" s="6">
        <v>1</v>
      </c>
      <c r="G4149" s="6" t="s">
        <v>18</v>
      </c>
      <c r="H4149" s="6" t="s">
        <v>11</v>
      </c>
      <c r="I4149" s="6">
        <f>TabJogos[[#This Row],[PontosTime1]]-TabJogos[[#This Row],[PontosTime2]]</f>
        <v>3</v>
      </c>
    </row>
    <row r="4150" spans="1:9" ht="15" customHeight="1" x14ac:dyDescent="0.25">
      <c r="A4150" s="7">
        <v>4149</v>
      </c>
      <c r="B4150" s="1">
        <v>43693</v>
      </c>
      <c r="C4150" s="6" t="s">
        <v>41</v>
      </c>
      <c r="D4150" s="6" t="s">
        <v>11</v>
      </c>
      <c r="E4150" s="6">
        <v>3</v>
      </c>
      <c r="F4150" s="6">
        <v>2</v>
      </c>
      <c r="G4150" s="6" t="s">
        <v>18</v>
      </c>
      <c r="H4150" s="6" t="s">
        <v>32</v>
      </c>
      <c r="I4150" s="6">
        <f>TabJogos[[#This Row],[PontosTime1]]-TabJogos[[#This Row],[PontosTime2]]</f>
        <v>1</v>
      </c>
    </row>
    <row r="4151" spans="1:9" ht="15" customHeight="1" x14ac:dyDescent="0.25">
      <c r="A4151" s="7">
        <v>4150</v>
      </c>
      <c r="B4151" s="1">
        <v>43693</v>
      </c>
      <c r="C4151" s="6" t="s">
        <v>11</v>
      </c>
      <c r="D4151" s="6" t="s">
        <v>9</v>
      </c>
      <c r="E4151" s="6">
        <v>3</v>
      </c>
      <c r="F4151" s="6">
        <v>1</v>
      </c>
      <c r="G4151" s="6" t="s">
        <v>41</v>
      </c>
      <c r="H4151" s="6" t="s">
        <v>18</v>
      </c>
      <c r="I4151" s="6">
        <f>TabJogos[[#This Row],[PontosTime1]]-TabJogos[[#This Row],[PontosTime2]]</f>
        <v>2</v>
      </c>
    </row>
    <row r="4152" spans="1:9" ht="15" customHeight="1" x14ac:dyDescent="0.25">
      <c r="A4152" s="7">
        <v>4151</v>
      </c>
      <c r="B4152" s="1">
        <v>43693</v>
      </c>
      <c r="C4152" s="6" t="s">
        <v>11</v>
      </c>
      <c r="D4152" s="6" t="s">
        <v>17</v>
      </c>
      <c r="E4152" s="6">
        <v>3</v>
      </c>
      <c r="F4152" s="6">
        <v>1</v>
      </c>
      <c r="G4152" s="6" t="s">
        <v>41</v>
      </c>
      <c r="H4152" s="6" t="s">
        <v>9</v>
      </c>
      <c r="I4152" s="6">
        <f>TabJogos[[#This Row],[PontosTime1]]-TabJogos[[#This Row],[PontosTime2]]</f>
        <v>2</v>
      </c>
    </row>
    <row r="4153" spans="1:9" ht="15" customHeight="1" x14ac:dyDescent="0.25">
      <c r="A4153" s="7">
        <v>4152</v>
      </c>
      <c r="B4153" s="1">
        <v>43693</v>
      </c>
      <c r="C4153" s="6" t="s">
        <v>11</v>
      </c>
      <c r="D4153" s="6" t="s">
        <v>18</v>
      </c>
      <c r="E4153" s="6">
        <v>3</v>
      </c>
      <c r="F4153" s="6">
        <v>1</v>
      </c>
      <c r="G4153" s="6" t="s">
        <v>9</v>
      </c>
      <c r="H4153" s="6" t="s">
        <v>17</v>
      </c>
      <c r="I4153" s="6">
        <f>TabJogos[[#This Row],[PontosTime1]]-TabJogos[[#This Row],[PontosTime2]]</f>
        <v>2</v>
      </c>
    </row>
    <row r="4154" spans="1:9" ht="15" customHeight="1" x14ac:dyDescent="0.25">
      <c r="A4154" s="7">
        <v>4153</v>
      </c>
      <c r="B4154" s="1">
        <v>43693</v>
      </c>
      <c r="C4154" s="6" t="s">
        <v>11</v>
      </c>
      <c r="D4154" s="6" t="s">
        <v>9</v>
      </c>
      <c r="E4154" s="6">
        <v>1</v>
      </c>
      <c r="F4154" s="6">
        <v>3</v>
      </c>
      <c r="G4154" s="6" t="s">
        <v>18</v>
      </c>
      <c r="H4154" s="6" t="s">
        <v>17</v>
      </c>
      <c r="I4154" s="6">
        <f>TabJogos[[#This Row],[PontosTime1]]-TabJogos[[#This Row],[PontosTime2]]</f>
        <v>-2</v>
      </c>
    </row>
    <row r="4155" spans="1:9" ht="15" customHeight="1" x14ac:dyDescent="0.25">
      <c r="A4155" s="7">
        <v>4154</v>
      </c>
      <c r="B4155" s="1">
        <v>43693</v>
      </c>
      <c r="C4155" s="6" t="s">
        <v>11</v>
      </c>
      <c r="D4155" s="6" t="s">
        <v>17</v>
      </c>
      <c r="E4155" s="6">
        <v>1</v>
      </c>
      <c r="F4155" s="6">
        <v>3</v>
      </c>
      <c r="G4155" s="6" t="s">
        <v>18</v>
      </c>
      <c r="H4155" s="6" t="s">
        <v>9</v>
      </c>
      <c r="I4155" s="6">
        <f>TabJogos[[#This Row],[PontosTime1]]-TabJogos[[#This Row],[PontosTime2]]</f>
        <v>-2</v>
      </c>
    </row>
    <row r="4156" spans="1:9" ht="15" customHeight="1" x14ac:dyDescent="0.25">
      <c r="A4156" s="7">
        <v>4155</v>
      </c>
      <c r="B4156" s="1">
        <v>43693</v>
      </c>
      <c r="C4156" s="6" t="s">
        <v>11</v>
      </c>
      <c r="D4156" s="6" t="s">
        <v>18</v>
      </c>
      <c r="E4156" s="6">
        <v>3</v>
      </c>
      <c r="F4156" s="6">
        <v>2</v>
      </c>
      <c r="G4156" s="6" t="s">
        <v>17</v>
      </c>
      <c r="H4156" s="6" t="s">
        <v>9</v>
      </c>
      <c r="I4156" s="6">
        <f>TabJogos[[#This Row],[PontosTime1]]-TabJogos[[#This Row],[PontosTime2]]</f>
        <v>1</v>
      </c>
    </row>
    <row r="4157" spans="1:9" ht="15" customHeight="1" x14ac:dyDescent="0.25">
      <c r="A4157" s="7">
        <v>4156</v>
      </c>
      <c r="B4157" s="1">
        <v>43696</v>
      </c>
      <c r="C4157" s="6" t="s">
        <v>13</v>
      </c>
      <c r="D4157" s="6" t="s">
        <v>11</v>
      </c>
      <c r="E4157" s="6">
        <v>2</v>
      </c>
      <c r="F4157" s="6">
        <v>4</v>
      </c>
      <c r="G4157" s="6" t="s">
        <v>12</v>
      </c>
      <c r="H4157" s="6" t="s">
        <v>18</v>
      </c>
      <c r="I4157" s="6">
        <f>TabJogos[[#This Row],[PontosTime1]]-TabJogos[[#This Row],[PontosTime2]]</f>
        <v>-2</v>
      </c>
    </row>
    <row r="4158" spans="1:9" ht="15" customHeight="1" x14ac:dyDescent="0.25">
      <c r="A4158" s="7">
        <v>4157</v>
      </c>
      <c r="B4158" s="1">
        <v>43696</v>
      </c>
      <c r="C4158" s="6" t="s">
        <v>17</v>
      </c>
      <c r="D4158" s="6" t="s">
        <v>12</v>
      </c>
      <c r="E4158" s="6">
        <v>1</v>
      </c>
      <c r="F4158" s="6">
        <v>3</v>
      </c>
      <c r="G4158" s="6" t="s">
        <v>18</v>
      </c>
      <c r="H4158" s="6" t="s">
        <v>13</v>
      </c>
      <c r="I4158" s="6">
        <f>TabJogos[[#This Row],[PontosTime1]]-TabJogos[[#This Row],[PontosTime2]]</f>
        <v>-2</v>
      </c>
    </row>
    <row r="4159" spans="1:9" ht="15" customHeight="1" x14ac:dyDescent="0.25">
      <c r="A4159" s="7">
        <v>4158</v>
      </c>
      <c r="B4159" s="1">
        <v>43696</v>
      </c>
      <c r="C4159" s="6" t="s">
        <v>13</v>
      </c>
      <c r="D4159" s="6" t="s">
        <v>12</v>
      </c>
      <c r="E4159" s="6">
        <v>0</v>
      </c>
      <c r="F4159" s="6">
        <v>3</v>
      </c>
      <c r="G4159" s="6" t="s">
        <v>18</v>
      </c>
      <c r="H4159" s="6" t="s">
        <v>11</v>
      </c>
      <c r="I4159" s="6">
        <f>TabJogos[[#This Row],[PontosTime1]]-TabJogos[[#This Row],[PontosTime2]]</f>
        <v>-3</v>
      </c>
    </row>
    <row r="4160" spans="1:9" ht="15" customHeight="1" x14ac:dyDescent="0.25">
      <c r="A4160" s="7">
        <v>4159</v>
      </c>
      <c r="B4160" s="1">
        <v>43696</v>
      </c>
      <c r="C4160" s="6" t="s">
        <v>13</v>
      </c>
      <c r="D4160" s="6" t="s">
        <v>11</v>
      </c>
      <c r="E4160" s="6">
        <v>3</v>
      </c>
      <c r="F4160" s="6">
        <v>0</v>
      </c>
      <c r="G4160" s="6" t="s">
        <v>17</v>
      </c>
      <c r="H4160" s="6" t="s">
        <v>18</v>
      </c>
      <c r="I4160" s="6">
        <f>TabJogos[[#This Row],[PontosTime1]]-TabJogos[[#This Row],[PontosTime2]]</f>
        <v>3</v>
      </c>
    </row>
    <row r="4161" spans="1:9" ht="15" customHeight="1" x14ac:dyDescent="0.25">
      <c r="A4161" s="7">
        <v>4160</v>
      </c>
      <c r="B4161" s="1">
        <v>43696</v>
      </c>
      <c r="C4161" s="6" t="s">
        <v>11</v>
      </c>
      <c r="D4161" s="6" t="s">
        <v>17</v>
      </c>
      <c r="E4161" s="6">
        <v>3</v>
      </c>
      <c r="F4161" s="6">
        <v>2</v>
      </c>
      <c r="G4161" s="6" t="s">
        <v>18</v>
      </c>
      <c r="H4161" s="6" t="s">
        <v>13</v>
      </c>
      <c r="I4161" s="6">
        <f>TabJogos[[#This Row],[PontosTime1]]-TabJogos[[#This Row],[PontosTime2]]</f>
        <v>1</v>
      </c>
    </row>
    <row r="4162" spans="1:9" ht="15" customHeight="1" x14ac:dyDescent="0.25">
      <c r="A4162" s="7">
        <v>4161</v>
      </c>
      <c r="B4162" s="1">
        <v>43696</v>
      </c>
      <c r="C4162" s="6" t="s">
        <v>11</v>
      </c>
      <c r="D4162" s="6" t="s">
        <v>18</v>
      </c>
      <c r="E4162" s="6">
        <v>3</v>
      </c>
      <c r="F4162" s="6">
        <v>2</v>
      </c>
      <c r="G4162" s="6" t="s">
        <v>17</v>
      </c>
      <c r="H4162" s="6" t="s">
        <v>13</v>
      </c>
      <c r="I4162" s="6">
        <f>TabJogos[[#This Row],[PontosTime1]]-TabJogos[[#This Row],[PontosTime2]]</f>
        <v>1</v>
      </c>
    </row>
    <row r="4163" spans="1:9" ht="15" customHeight="1" x14ac:dyDescent="0.25">
      <c r="A4163" s="7">
        <v>4162</v>
      </c>
      <c r="B4163" s="1">
        <v>43696</v>
      </c>
      <c r="C4163" s="6" t="s">
        <v>11</v>
      </c>
      <c r="D4163" s="6" t="s">
        <v>13</v>
      </c>
      <c r="E4163" s="6">
        <v>0</v>
      </c>
      <c r="F4163" s="6">
        <v>3</v>
      </c>
      <c r="G4163" s="6" t="s">
        <v>41</v>
      </c>
      <c r="H4163" s="6" t="s">
        <v>18</v>
      </c>
      <c r="I4163" s="6">
        <f>TabJogos[[#This Row],[PontosTime1]]-TabJogos[[#This Row],[PontosTime2]]</f>
        <v>-3</v>
      </c>
    </row>
    <row r="4164" spans="1:9" ht="15" customHeight="1" x14ac:dyDescent="0.25">
      <c r="A4164" s="7">
        <v>4163</v>
      </c>
      <c r="B4164" s="1">
        <v>43696</v>
      </c>
      <c r="C4164" s="6" t="s">
        <v>41</v>
      </c>
      <c r="D4164" s="6" t="s">
        <v>13</v>
      </c>
      <c r="E4164" s="6">
        <v>1</v>
      </c>
      <c r="F4164" s="6">
        <v>3</v>
      </c>
      <c r="G4164" s="6" t="s">
        <v>17</v>
      </c>
      <c r="H4164" s="6" t="s">
        <v>18</v>
      </c>
      <c r="I4164" s="6">
        <f>TabJogos[[#This Row],[PontosTime1]]-TabJogos[[#This Row],[PontosTime2]]</f>
        <v>-2</v>
      </c>
    </row>
    <row r="4165" spans="1:9" ht="15" customHeight="1" x14ac:dyDescent="0.25">
      <c r="A4165" s="7">
        <v>4164</v>
      </c>
      <c r="B4165" s="1">
        <v>43696</v>
      </c>
      <c r="C4165" s="6" t="s">
        <v>17</v>
      </c>
      <c r="D4165" s="6" t="s">
        <v>32</v>
      </c>
      <c r="E4165" s="6">
        <v>3</v>
      </c>
      <c r="F4165" s="6">
        <v>2</v>
      </c>
      <c r="G4165" s="6" t="s">
        <v>18</v>
      </c>
      <c r="H4165" s="6" t="s">
        <v>11</v>
      </c>
      <c r="I4165" s="6">
        <f>TabJogos[[#This Row],[PontosTime1]]-TabJogos[[#This Row],[PontosTime2]]</f>
        <v>1</v>
      </c>
    </row>
    <row r="4166" spans="1:9" ht="15" customHeight="1" x14ac:dyDescent="0.25">
      <c r="A4166" s="7">
        <v>4165</v>
      </c>
      <c r="B4166" s="1">
        <v>43696</v>
      </c>
      <c r="C4166" s="6" t="s">
        <v>11</v>
      </c>
      <c r="D4166" s="6" t="s">
        <v>32</v>
      </c>
      <c r="E4166" s="6">
        <v>3</v>
      </c>
      <c r="F4166" s="6">
        <v>1</v>
      </c>
      <c r="G4166" s="6" t="s">
        <v>17</v>
      </c>
      <c r="H4166" s="6" t="s">
        <v>41</v>
      </c>
      <c r="I4166" s="6">
        <f>TabJogos[[#This Row],[PontosTime1]]-TabJogos[[#This Row],[PontosTime2]]</f>
        <v>2</v>
      </c>
    </row>
    <row r="4167" spans="1:9" ht="15" customHeight="1" x14ac:dyDescent="0.25">
      <c r="A4167" s="7">
        <v>4166</v>
      </c>
      <c r="B4167" s="1">
        <v>43696</v>
      </c>
      <c r="C4167" s="6" t="s">
        <v>11</v>
      </c>
      <c r="D4167" s="6" t="s">
        <v>41</v>
      </c>
      <c r="E4167" s="6">
        <v>3</v>
      </c>
      <c r="F4167" s="6">
        <v>2</v>
      </c>
      <c r="G4167" s="6" t="s">
        <v>18</v>
      </c>
      <c r="H4167" s="6" t="s">
        <v>17</v>
      </c>
      <c r="I4167" s="6">
        <f>TabJogos[[#This Row],[PontosTime1]]-TabJogos[[#This Row],[PontosTime2]]</f>
        <v>1</v>
      </c>
    </row>
    <row r="4168" spans="1:9" ht="15" customHeight="1" x14ac:dyDescent="0.25">
      <c r="A4168" s="7">
        <v>4167</v>
      </c>
      <c r="B4168" s="1">
        <v>43696</v>
      </c>
      <c r="C4168" s="6" t="s">
        <v>41</v>
      </c>
      <c r="D4168" s="6" t="s">
        <v>18</v>
      </c>
      <c r="E4168" s="6">
        <v>5</v>
      </c>
      <c r="F4168" s="6">
        <v>0</v>
      </c>
      <c r="G4168" s="6" t="s">
        <v>17</v>
      </c>
      <c r="H4168" s="6" t="s">
        <v>11</v>
      </c>
      <c r="I4168" s="6">
        <f>TabJogos[[#This Row],[PontosTime1]]-TabJogos[[#This Row],[PontosTime2]]</f>
        <v>5</v>
      </c>
    </row>
    <row r="4169" spans="1:9" ht="15" customHeight="1" x14ac:dyDescent="0.25">
      <c r="A4169" s="7">
        <v>4168</v>
      </c>
      <c r="B4169" s="1">
        <v>43696</v>
      </c>
      <c r="C4169" s="6" t="s">
        <v>11</v>
      </c>
      <c r="D4169" s="6" t="s">
        <v>18</v>
      </c>
      <c r="E4169" s="6">
        <v>3</v>
      </c>
      <c r="F4169" s="6">
        <v>1</v>
      </c>
      <c r="G4169" s="6" t="s">
        <v>17</v>
      </c>
      <c r="H4169" s="6" t="s">
        <v>41</v>
      </c>
      <c r="I4169" s="6">
        <f>TabJogos[[#This Row],[PontosTime1]]-TabJogos[[#This Row],[PontosTime2]]</f>
        <v>2</v>
      </c>
    </row>
    <row r="4170" spans="1:9" ht="15" customHeight="1" x14ac:dyDescent="0.25">
      <c r="A4170" s="7">
        <v>4169</v>
      </c>
      <c r="B4170" s="1">
        <v>43697</v>
      </c>
      <c r="C4170" s="6" t="s">
        <v>27</v>
      </c>
      <c r="D4170" s="6" t="s">
        <v>10</v>
      </c>
      <c r="E4170" s="6">
        <v>4</v>
      </c>
      <c r="F4170" s="6">
        <v>1</v>
      </c>
      <c r="G4170" s="6" t="s">
        <v>13</v>
      </c>
      <c r="H4170" s="6" t="s">
        <v>12</v>
      </c>
      <c r="I4170" s="6">
        <f>TabJogos[[#This Row],[PontosTime1]]-TabJogos[[#This Row],[PontosTime2]]</f>
        <v>3</v>
      </c>
    </row>
    <row r="4171" spans="1:9" ht="15" customHeight="1" x14ac:dyDescent="0.25">
      <c r="A4171" s="7">
        <v>4170</v>
      </c>
      <c r="B4171" s="1">
        <v>43697</v>
      </c>
      <c r="C4171" s="6" t="s">
        <v>10</v>
      </c>
      <c r="D4171" s="6" t="s">
        <v>41</v>
      </c>
      <c r="E4171" s="6">
        <v>0</v>
      </c>
      <c r="F4171" s="6">
        <v>3</v>
      </c>
      <c r="G4171" s="6" t="s">
        <v>12</v>
      </c>
      <c r="H4171" s="6" t="s">
        <v>27</v>
      </c>
      <c r="I4171" s="6">
        <f>TabJogos[[#This Row],[PontosTime1]]-TabJogos[[#This Row],[PontosTime2]]</f>
        <v>-3</v>
      </c>
    </row>
    <row r="4172" spans="1:9" ht="15" customHeight="1" x14ac:dyDescent="0.25">
      <c r="A4172" s="7">
        <v>4171</v>
      </c>
      <c r="B4172" s="1">
        <v>43697</v>
      </c>
      <c r="C4172" s="6" t="s">
        <v>13</v>
      </c>
      <c r="D4172" s="6" t="s">
        <v>27</v>
      </c>
      <c r="E4172" s="6">
        <v>3</v>
      </c>
      <c r="F4172" s="6">
        <v>2</v>
      </c>
      <c r="G4172" s="6" t="s">
        <v>11</v>
      </c>
      <c r="H4172" s="6" t="s">
        <v>12</v>
      </c>
      <c r="I4172" s="6">
        <f>TabJogos[[#This Row],[PontosTime1]]-TabJogos[[#This Row],[PontosTime2]]</f>
        <v>1</v>
      </c>
    </row>
    <row r="4173" spans="1:9" ht="15" customHeight="1" x14ac:dyDescent="0.25">
      <c r="A4173" s="7">
        <v>4172</v>
      </c>
      <c r="B4173" s="1">
        <v>43697</v>
      </c>
      <c r="C4173" s="6" t="s">
        <v>10</v>
      </c>
      <c r="D4173" s="6" t="s">
        <v>13</v>
      </c>
      <c r="E4173" s="6">
        <v>3</v>
      </c>
      <c r="F4173" s="6">
        <v>0</v>
      </c>
      <c r="G4173" s="6" t="s">
        <v>27</v>
      </c>
      <c r="H4173" s="6" t="s">
        <v>41</v>
      </c>
      <c r="I4173" s="6">
        <f>TabJogos[[#This Row],[PontosTime1]]-TabJogos[[#This Row],[PontosTime2]]</f>
        <v>3</v>
      </c>
    </row>
    <row r="4174" spans="1:9" ht="15" customHeight="1" x14ac:dyDescent="0.25">
      <c r="A4174" s="7">
        <v>4173</v>
      </c>
      <c r="B4174" s="1">
        <v>43697</v>
      </c>
      <c r="C4174" s="6" t="s">
        <v>17</v>
      </c>
      <c r="D4174" s="6" t="s">
        <v>10</v>
      </c>
      <c r="E4174" s="6">
        <v>2</v>
      </c>
      <c r="F4174" s="6">
        <v>3</v>
      </c>
      <c r="G4174" s="6" t="s">
        <v>18</v>
      </c>
      <c r="H4174" s="6" t="s">
        <v>13</v>
      </c>
      <c r="I4174" s="6">
        <f>TabJogos[[#This Row],[PontosTime1]]-TabJogos[[#This Row],[PontosTime2]]</f>
        <v>-1</v>
      </c>
    </row>
    <row r="4175" spans="1:9" ht="15" customHeight="1" x14ac:dyDescent="0.25">
      <c r="A4175" s="7">
        <v>4174</v>
      </c>
      <c r="B4175" s="1">
        <v>43697</v>
      </c>
      <c r="C4175" s="6" t="s">
        <v>11</v>
      </c>
      <c r="D4175" s="6" t="s">
        <v>13</v>
      </c>
      <c r="E4175" s="6">
        <v>1</v>
      </c>
      <c r="F4175" s="6">
        <v>3</v>
      </c>
      <c r="G4175" s="6" t="s">
        <v>41</v>
      </c>
      <c r="H4175" s="6" t="s">
        <v>18</v>
      </c>
      <c r="I4175" s="6">
        <f>TabJogos[[#This Row],[PontosTime1]]-TabJogos[[#This Row],[PontosTime2]]</f>
        <v>-2</v>
      </c>
    </row>
    <row r="4176" spans="1:9" ht="15" customHeight="1" x14ac:dyDescent="0.25">
      <c r="A4176" s="7">
        <v>4175</v>
      </c>
      <c r="B4176" s="1">
        <v>43697</v>
      </c>
      <c r="C4176" s="6" t="s">
        <v>13</v>
      </c>
      <c r="D4176" s="6" t="s">
        <v>41</v>
      </c>
      <c r="E4176" s="6">
        <v>3</v>
      </c>
      <c r="F4176" s="6">
        <v>2</v>
      </c>
      <c r="G4176" s="6" t="s">
        <v>18</v>
      </c>
      <c r="H4176" s="6" t="s">
        <v>17</v>
      </c>
      <c r="I4176" s="6">
        <f>TabJogos[[#This Row],[PontosTime1]]-TabJogos[[#This Row],[PontosTime2]]</f>
        <v>1</v>
      </c>
    </row>
    <row r="4177" spans="1:9" ht="15" customHeight="1" x14ac:dyDescent="0.25">
      <c r="A4177" s="7">
        <v>4176</v>
      </c>
      <c r="B4177" s="1">
        <v>43697</v>
      </c>
      <c r="C4177" s="6" t="s">
        <v>11</v>
      </c>
      <c r="D4177" s="6" t="s">
        <v>41</v>
      </c>
      <c r="E4177" s="6">
        <v>4</v>
      </c>
      <c r="F4177" s="6">
        <v>0</v>
      </c>
      <c r="G4177" s="6" t="s">
        <v>13</v>
      </c>
      <c r="H4177" s="6" t="s">
        <v>17</v>
      </c>
      <c r="I4177" s="6">
        <f>TabJogos[[#This Row],[PontosTime1]]-TabJogos[[#This Row],[PontosTime2]]</f>
        <v>4</v>
      </c>
    </row>
    <row r="4178" spans="1:9" ht="15" customHeight="1" x14ac:dyDescent="0.25">
      <c r="A4178" s="7">
        <v>4177</v>
      </c>
      <c r="B4178" s="1">
        <v>43697</v>
      </c>
      <c r="C4178" s="6" t="s">
        <v>11</v>
      </c>
      <c r="D4178" s="6" t="s">
        <v>18</v>
      </c>
      <c r="E4178" s="6">
        <v>4</v>
      </c>
      <c r="F4178" s="6">
        <v>2</v>
      </c>
      <c r="G4178" s="6" t="s">
        <v>13</v>
      </c>
      <c r="H4178" s="6" t="s">
        <v>41</v>
      </c>
      <c r="I4178" s="6">
        <f>TabJogos[[#This Row],[PontosTime1]]-TabJogos[[#This Row],[PontosTime2]]</f>
        <v>2</v>
      </c>
    </row>
    <row r="4179" spans="1:9" ht="15" customHeight="1" x14ac:dyDescent="0.25">
      <c r="A4179" s="7">
        <v>4178</v>
      </c>
      <c r="B4179" s="1">
        <v>43697</v>
      </c>
      <c r="C4179" s="6" t="s">
        <v>11</v>
      </c>
      <c r="D4179" s="6" t="s">
        <v>17</v>
      </c>
      <c r="E4179" s="6">
        <v>2</v>
      </c>
      <c r="F4179" s="6">
        <v>3</v>
      </c>
      <c r="G4179" s="6" t="s">
        <v>18</v>
      </c>
      <c r="H4179" s="6" t="s">
        <v>13</v>
      </c>
      <c r="I4179" s="6">
        <f>TabJogos[[#This Row],[PontosTime1]]-TabJogos[[#This Row],[PontosTime2]]</f>
        <v>-1</v>
      </c>
    </row>
    <row r="4180" spans="1:9" ht="15" customHeight="1" x14ac:dyDescent="0.25">
      <c r="A4180" s="7">
        <v>4179</v>
      </c>
      <c r="B4180" s="1">
        <v>43698</v>
      </c>
      <c r="C4180" s="6" t="s">
        <v>13</v>
      </c>
      <c r="D4180" s="6" t="s">
        <v>18</v>
      </c>
      <c r="E4180" s="6">
        <v>2</v>
      </c>
      <c r="F4180" s="6">
        <v>4</v>
      </c>
      <c r="G4180" s="6" t="s">
        <v>10</v>
      </c>
      <c r="H4180" s="6" t="s">
        <v>12</v>
      </c>
      <c r="I4180" s="6">
        <f>TabJogos[[#This Row],[PontosTime1]]-TabJogos[[#This Row],[PontosTime2]]</f>
        <v>-2</v>
      </c>
    </row>
    <row r="4181" spans="1:9" ht="15" customHeight="1" x14ac:dyDescent="0.25">
      <c r="A4181" s="7">
        <v>4180</v>
      </c>
      <c r="B4181" s="1">
        <v>43698</v>
      </c>
      <c r="C4181" s="6" t="s">
        <v>10</v>
      </c>
      <c r="D4181" s="6" t="s">
        <v>18</v>
      </c>
      <c r="E4181" s="6">
        <v>3</v>
      </c>
      <c r="F4181" s="6">
        <v>1</v>
      </c>
      <c r="G4181" s="6" t="s">
        <v>11</v>
      </c>
      <c r="H4181" s="6" t="s">
        <v>12</v>
      </c>
      <c r="I4181" s="6">
        <f>TabJogos[[#This Row],[PontosTime1]]-TabJogos[[#This Row],[PontosTime2]]</f>
        <v>2</v>
      </c>
    </row>
    <row r="4182" spans="1:9" ht="15" customHeight="1" x14ac:dyDescent="0.25">
      <c r="A4182" s="7">
        <v>4181</v>
      </c>
      <c r="B4182" s="1">
        <v>43698</v>
      </c>
      <c r="C4182" s="6" t="s">
        <v>13</v>
      </c>
      <c r="D4182" s="6" t="s">
        <v>10</v>
      </c>
      <c r="E4182" s="6">
        <v>2</v>
      </c>
      <c r="F4182" s="6">
        <v>3</v>
      </c>
      <c r="G4182" s="6" t="s">
        <v>18</v>
      </c>
      <c r="H4182" s="6" t="s">
        <v>12</v>
      </c>
      <c r="I4182" s="6">
        <f>TabJogos[[#This Row],[PontosTime1]]-TabJogos[[#This Row],[PontosTime2]]</f>
        <v>-1</v>
      </c>
    </row>
    <row r="4183" spans="1:9" ht="15" customHeight="1" x14ac:dyDescent="0.25">
      <c r="A4183" s="7">
        <v>4182</v>
      </c>
      <c r="B4183" s="1">
        <v>43698</v>
      </c>
      <c r="C4183" s="6" t="s">
        <v>10</v>
      </c>
      <c r="D4183" s="6" t="s">
        <v>11</v>
      </c>
      <c r="E4183" s="6">
        <v>5</v>
      </c>
      <c r="F4183" s="6">
        <v>2</v>
      </c>
      <c r="G4183" s="6" t="s">
        <v>18</v>
      </c>
      <c r="H4183" s="6" t="s">
        <v>13</v>
      </c>
      <c r="I4183" s="6">
        <f>TabJogos[[#This Row],[PontosTime1]]-TabJogos[[#This Row],[PontosTime2]]</f>
        <v>3</v>
      </c>
    </row>
    <row r="4184" spans="1:9" ht="15" customHeight="1" x14ac:dyDescent="0.25">
      <c r="A4184" s="7">
        <v>4183</v>
      </c>
      <c r="B4184" s="1">
        <v>43698</v>
      </c>
      <c r="C4184" s="6" t="s">
        <v>11</v>
      </c>
      <c r="D4184" s="6" t="s">
        <v>18</v>
      </c>
      <c r="E4184" s="6">
        <v>4</v>
      </c>
      <c r="F4184" s="6">
        <v>1</v>
      </c>
      <c r="G4184" s="6" t="s">
        <v>10</v>
      </c>
      <c r="H4184" s="6" t="s">
        <v>13</v>
      </c>
      <c r="I4184" s="6">
        <f>TabJogos[[#This Row],[PontosTime1]]-TabJogos[[#This Row],[PontosTime2]]</f>
        <v>3</v>
      </c>
    </row>
    <row r="4185" spans="1:9" ht="15" customHeight="1" x14ac:dyDescent="0.25">
      <c r="A4185" s="7">
        <v>4184</v>
      </c>
      <c r="B4185" s="1">
        <v>43698</v>
      </c>
      <c r="C4185" s="6" t="s">
        <v>13</v>
      </c>
      <c r="D4185" s="6" t="s">
        <v>11</v>
      </c>
      <c r="E4185" s="6">
        <v>1</v>
      </c>
      <c r="F4185" s="6">
        <v>4</v>
      </c>
      <c r="G4185" s="6" t="s">
        <v>10</v>
      </c>
      <c r="H4185" s="6" t="s">
        <v>18</v>
      </c>
      <c r="I4185" s="6">
        <f>TabJogos[[#This Row],[PontosTime1]]-TabJogos[[#This Row],[PontosTime2]]</f>
        <v>-3</v>
      </c>
    </row>
    <row r="4186" spans="1:9" ht="15" customHeight="1" x14ac:dyDescent="0.25">
      <c r="A4186" s="7">
        <v>4185</v>
      </c>
      <c r="B4186" s="1">
        <v>43698</v>
      </c>
      <c r="C4186" s="6" t="s">
        <v>13</v>
      </c>
      <c r="D4186" s="6" t="s">
        <v>18</v>
      </c>
      <c r="E4186" s="6">
        <v>3</v>
      </c>
      <c r="F4186" s="6">
        <v>2</v>
      </c>
      <c r="G4186" s="6" t="s">
        <v>10</v>
      </c>
      <c r="H4186" s="6" t="s">
        <v>11</v>
      </c>
      <c r="I4186" s="6">
        <f>TabJogos[[#This Row],[PontosTime1]]-TabJogos[[#This Row],[PontosTime2]]</f>
        <v>1</v>
      </c>
    </row>
    <row r="4187" spans="1:9" ht="15" customHeight="1" x14ac:dyDescent="0.25">
      <c r="A4187" s="7">
        <v>4186</v>
      </c>
      <c r="B4187" s="1">
        <v>43698</v>
      </c>
      <c r="C4187" s="6" t="s">
        <v>11</v>
      </c>
      <c r="D4187" s="6" t="s">
        <v>18</v>
      </c>
      <c r="E4187" s="6">
        <v>1</v>
      </c>
      <c r="F4187" s="6">
        <v>3</v>
      </c>
      <c r="G4187" s="6" t="s">
        <v>13</v>
      </c>
      <c r="H4187" s="6" t="s">
        <v>10</v>
      </c>
      <c r="I4187" s="6">
        <f>TabJogos[[#This Row],[PontosTime1]]-TabJogos[[#This Row],[PontosTime2]]</f>
        <v>-2</v>
      </c>
    </row>
    <row r="4188" spans="1:9" ht="15" customHeight="1" x14ac:dyDescent="0.25">
      <c r="A4188" s="7">
        <v>4187</v>
      </c>
      <c r="B4188" s="1">
        <v>43698</v>
      </c>
      <c r="C4188" s="6" t="s">
        <v>18</v>
      </c>
      <c r="D4188" s="6" t="s">
        <v>10</v>
      </c>
      <c r="E4188" s="6">
        <v>3</v>
      </c>
      <c r="F4188" s="6">
        <v>2</v>
      </c>
      <c r="G4188" s="6" t="s">
        <v>11</v>
      </c>
      <c r="H4188" s="6" t="s">
        <v>13</v>
      </c>
      <c r="I4188" s="6">
        <f>TabJogos[[#This Row],[PontosTime1]]-TabJogos[[#This Row],[PontosTime2]]</f>
        <v>1</v>
      </c>
    </row>
    <row r="4189" spans="1:9" ht="15" customHeight="1" x14ac:dyDescent="0.25">
      <c r="A4189" s="7">
        <v>4188</v>
      </c>
      <c r="B4189" s="1">
        <v>43698</v>
      </c>
      <c r="C4189" s="6" t="s">
        <v>11</v>
      </c>
      <c r="D4189" s="6" t="s">
        <v>41</v>
      </c>
      <c r="E4189" s="6">
        <v>4</v>
      </c>
      <c r="F4189" s="6">
        <v>0</v>
      </c>
      <c r="G4189" s="6" t="s">
        <v>13</v>
      </c>
      <c r="H4189" s="6" t="s">
        <v>18</v>
      </c>
      <c r="I4189" s="6">
        <f>TabJogos[[#This Row],[PontosTime1]]-TabJogos[[#This Row],[PontosTime2]]</f>
        <v>4</v>
      </c>
    </row>
    <row r="4190" spans="1:9" ht="15" customHeight="1" x14ac:dyDescent="0.25">
      <c r="A4190" s="7">
        <v>4189</v>
      </c>
      <c r="B4190" s="1">
        <v>43698</v>
      </c>
      <c r="C4190" s="6" t="s">
        <v>41</v>
      </c>
      <c r="D4190" s="6" t="s">
        <v>13</v>
      </c>
      <c r="E4190" s="6">
        <v>3</v>
      </c>
      <c r="F4190" s="6">
        <v>1</v>
      </c>
      <c r="G4190" s="6" t="s">
        <v>11</v>
      </c>
      <c r="H4190" s="6" t="s">
        <v>18</v>
      </c>
      <c r="I4190" s="6">
        <f>TabJogos[[#This Row],[PontosTime1]]-TabJogos[[#This Row],[PontosTime2]]</f>
        <v>2</v>
      </c>
    </row>
    <row r="4191" spans="1:9" ht="15" customHeight="1" x14ac:dyDescent="0.25">
      <c r="A4191" s="7">
        <v>4190</v>
      </c>
      <c r="B4191" s="1">
        <v>43698</v>
      </c>
      <c r="C4191" s="6" t="s">
        <v>11</v>
      </c>
      <c r="D4191" s="6" t="s">
        <v>13</v>
      </c>
      <c r="E4191" s="6">
        <v>3</v>
      </c>
      <c r="F4191" s="6">
        <v>0</v>
      </c>
      <c r="G4191" s="6" t="s">
        <v>18</v>
      </c>
      <c r="H4191" s="6" t="s">
        <v>41</v>
      </c>
      <c r="I4191" s="6">
        <f>TabJogos[[#This Row],[PontosTime1]]-TabJogos[[#This Row],[PontosTime2]]</f>
        <v>3</v>
      </c>
    </row>
    <row r="4192" spans="1:9" ht="15" customHeight="1" x14ac:dyDescent="0.25">
      <c r="A4192" s="7">
        <v>4191</v>
      </c>
      <c r="B4192" s="1">
        <v>43699</v>
      </c>
      <c r="C4192" s="6" t="s">
        <v>10</v>
      </c>
      <c r="D4192" s="6" t="s">
        <v>12</v>
      </c>
      <c r="E4192" s="6">
        <v>2</v>
      </c>
      <c r="F4192" s="6">
        <v>3</v>
      </c>
      <c r="G4192" s="6" t="s">
        <v>11</v>
      </c>
      <c r="H4192" s="6" t="s">
        <v>13</v>
      </c>
      <c r="I4192" s="6">
        <f>TabJogos[[#This Row],[PontosTime1]]-TabJogos[[#This Row],[PontosTime2]]</f>
        <v>-1</v>
      </c>
    </row>
    <row r="4193" spans="1:9" ht="15" customHeight="1" x14ac:dyDescent="0.25">
      <c r="A4193" s="7">
        <v>4192</v>
      </c>
      <c r="B4193" s="1">
        <v>43699</v>
      </c>
      <c r="C4193" s="6" t="s">
        <v>10</v>
      </c>
      <c r="D4193" s="6" t="s">
        <v>13</v>
      </c>
      <c r="E4193" s="6">
        <v>1</v>
      </c>
      <c r="F4193" s="6">
        <v>3</v>
      </c>
      <c r="G4193" s="6" t="s">
        <v>11</v>
      </c>
      <c r="H4193" s="6" t="s">
        <v>12</v>
      </c>
      <c r="I4193" s="6">
        <f>TabJogos[[#This Row],[PontosTime1]]-TabJogos[[#This Row],[PontosTime2]]</f>
        <v>-2</v>
      </c>
    </row>
    <row r="4194" spans="1:9" ht="15" customHeight="1" x14ac:dyDescent="0.25">
      <c r="A4194" s="7">
        <v>4193</v>
      </c>
      <c r="B4194" s="1">
        <v>43699</v>
      </c>
      <c r="C4194" s="6" t="s">
        <v>11</v>
      </c>
      <c r="D4194" s="6" t="s">
        <v>10</v>
      </c>
      <c r="E4194" s="6">
        <v>1</v>
      </c>
      <c r="F4194" s="6">
        <v>6</v>
      </c>
      <c r="G4194" s="6" t="s">
        <v>12</v>
      </c>
      <c r="H4194" s="6" t="s">
        <v>27</v>
      </c>
      <c r="I4194" s="6">
        <f>TabJogos[[#This Row],[PontosTime1]]-TabJogos[[#This Row],[PontosTime2]]</f>
        <v>-5</v>
      </c>
    </row>
    <row r="4195" spans="1:9" ht="15" customHeight="1" x14ac:dyDescent="0.25">
      <c r="A4195" s="7">
        <v>4194</v>
      </c>
      <c r="B4195" s="1">
        <v>43699</v>
      </c>
      <c r="C4195" s="6" t="s">
        <v>12</v>
      </c>
      <c r="D4195" s="6" t="s">
        <v>13</v>
      </c>
      <c r="E4195" s="6">
        <v>2</v>
      </c>
      <c r="F4195" s="6">
        <v>3</v>
      </c>
      <c r="G4195" s="6" t="s">
        <v>27</v>
      </c>
      <c r="H4195" s="6" t="s">
        <v>41</v>
      </c>
      <c r="I4195" s="6">
        <f>TabJogos[[#This Row],[PontosTime1]]-TabJogos[[#This Row],[PontosTime2]]</f>
        <v>-1</v>
      </c>
    </row>
    <row r="4196" spans="1:9" ht="15" customHeight="1" x14ac:dyDescent="0.25">
      <c r="A4196" s="7">
        <v>4195</v>
      </c>
      <c r="B4196" s="1">
        <v>43699</v>
      </c>
      <c r="C4196" s="6" t="s">
        <v>10</v>
      </c>
      <c r="D4196" s="6" t="s">
        <v>41</v>
      </c>
      <c r="E4196" s="6">
        <v>4</v>
      </c>
      <c r="F4196" s="6">
        <v>1</v>
      </c>
      <c r="G4196" s="6" t="s">
        <v>27</v>
      </c>
      <c r="H4196" s="6" t="s">
        <v>11</v>
      </c>
      <c r="I4196" s="6">
        <f>TabJogos[[#This Row],[PontosTime1]]-TabJogos[[#This Row],[PontosTime2]]</f>
        <v>3</v>
      </c>
    </row>
    <row r="4197" spans="1:9" ht="15" customHeight="1" x14ac:dyDescent="0.25">
      <c r="A4197" s="7">
        <v>4196</v>
      </c>
      <c r="B4197" s="1">
        <v>43699</v>
      </c>
      <c r="C4197" s="6" t="s">
        <v>10</v>
      </c>
      <c r="D4197" s="6" t="s">
        <v>13</v>
      </c>
      <c r="E4197" s="6">
        <v>3</v>
      </c>
      <c r="F4197" s="6">
        <v>0</v>
      </c>
      <c r="G4197" s="6" t="s">
        <v>11</v>
      </c>
      <c r="H4197" s="6" t="s">
        <v>41</v>
      </c>
      <c r="I4197" s="6">
        <f>TabJogos[[#This Row],[PontosTime1]]-TabJogos[[#This Row],[PontosTime2]]</f>
        <v>3</v>
      </c>
    </row>
    <row r="4198" spans="1:9" ht="15" customHeight="1" x14ac:dyDescent="0.25">
      <c r="A4198" s="7">
        <v>4197</v>
      </c>
      <c r="B4198" s="1">
        <v>43699</v>
      </c>
      <c r="C4198" s="6" t="s">
        <v>10</v>
      </c>
      <c r="D4198" s="6" t="s">
        <v>27</v>
      </c>
      <c r="E4198" s="6">
        <v>1</v>
      </c>
      <c r="F4198" s="6">
        <v>4</v>
      </c>
      <c r="G4198" s="6" t="s">
        <v>11</v>
      </c>
      <c r="H4198" s="6" t="s">
        <v>13</v>
      </c>
      <c r="I4198" s="6">
        <f>TabJogos[[#This Row],[PontosTime1]]-TabJogos[[#This Row],[PontosTime2]]</f>
        <v>-3</v>
      </c>
    </row>
    <row r="4199" spans="1:9" ht="15" customHeight="1" x14ac:dyDescent="0.25">
      <c r="A4199" s="7">
        <v>4198</v>
      </c>
      <c r="B4199" s="1">
        <v>43699</v>
      </c>
      <c r="C4199" s="6" t="s">
        <v>11</v>
      </c>
      <c r="D4199" s="6" t="s">
        <v>32</v>
      </c>
      <c r="E4199" s="6">
        <v>3</v>
      </c>
      <c r="F4199" s="6">
        <v>2</v>
      </c>
      <c r="G4199" s="6" t="s">
        <v>13</v>
      </c>
      <c r="H4199" s="6" t="s">
        <v>41</v>
      </c>
      <c r="I4199" s="6">
        <f>TabJogos[[#This Row],[PontosTime1]]-TabJogos[[#This Row],[PontosTime2]]</f>
        <v>1</v>
      </c>
    </row>
    <row r="4200" spans="1:9" ht="15" customHeight="1" x14ac:dyDescent="0.25">
      <c r="A4200" s="7">
        <v>4199</v>
      </c>
      <c r="B4200" s="1">
        <v>43699</v>
      </c>
      <c r="C4200" s="6" t="s">
        <v>32</v>
      </c>
      <c r="D4200" s="6" t="s">
        <v>10</v>
      </c>
      <c r="E4200" s="6">
        <v>3</v>
      </c>
      <c r="F4200" s="6">
        <v>0</v>
      </c>
      <c r="G4200" s="6" t="s">
        <v>27</v>
      </c>
      <c r="H4200" s="6" t="s">
        <v>11</v>
      </c>
      <c r="I4200" s="6">
        <f>TabJogos[[#This Row],[PontosTime1]]-TabJogos[[#This Row],[PontosTime2]]</f>
        <v>3</v>
      </c>
    </row>
    <row r="4201" spans="1:9" ht="15" customHeight="1" x14ac:dyDescent="0.25">
      <c r="A4201" s="7">
        <v>4200</v>
      </c>
      <c r="B4201" s="1">
        <v>43699</v>
      </c>
      <c r="C4201" s="6" t="s">
        <v>32</v>
      </c>
      <c r="D4201" s="6" t="s">
        <v>41</v>
      </c>
      <c r="E4201" s="6">
        <v>3</v>
      </c>
      <c r="F4201" s="6">
        <v>1</v>
      </c>
      <c r="G4201" s="6" t="s">
        <v>10</v>
      </c>
      <c r="H4201" s="6" t="s">
        <v>13</v>
      </c>
      <c r="I4201" s="6">
        <f>TabJogos[[#This Row],[PontosTime1]]-TabJogos[[#This Row],[PontosTime2]]</f>
        <v>2</v>
      </c>
    </row>
    <row r="4202" spans="1:9" ht="15" customHeight="1" x14ac:dyDescent="0.25">
      <c r="A4202" s="7">
        <v>4201</v>
      </c>
      <c r="B4202" s="1">
        <v>43699</v>
      </c>
      <c r="C4202" s="6" t="s">
        <v>11</v>
      </c>
      <c r="D4202" s="6" t="s">
        <v>41</v>
      </c>
      <c r="E4202" s="6">
        <v>3</v>
      </c>
      <c r="F4202" s="6">
        <v>0</v>
      </c>
      <c r="G4202" s="6" t="s">
        <v>13</v>
      </c>
      <c r="H4202" s="6" t="s">
        <v>32</v>
      </c>
      <c r="I4202" s="6">
        <f>TabJogos[[#This Row],[PontosTime1]]-TabJogos[[#This Row],[PontosTime2]]</f>
        <v>3</v>
      </c>
    </row>
    <row r="4203" spans="1:9" ht="15" customHeight="1" x14ac:dyDescent="0.25">
      <c r="A4203" s="7">
        <v>4202</v>
      </c>
      <c r="B4203" s="1">
        <v>43699</v>
      </c>
      <c r="C4203" s="6" t="s">
        <v>11</v>
      </c>
      <c r="D4203" s="6" t="s">
        <v>32</v>
      </c>
      <c r="E4203" s="6">
        <v>5</v>
      </c>
      <c r="F4203" s="6">
        <v>1</v>
      </c>
      <c r="G4203" s="6" t="s">
        <v>13</v>
      </c>
      <c r="H4203" s="6" t="s">
        <v>41</v>
      </c>
      <c r="I4203" s="6">
        <f>TabJogos[[#This Row],[PontosTime1]]-TabJogos[[#This Row],[PontosTime2]]</f>
        <v>4</v>
      </c>
    </row>
    <row r="4204" spans="1:9" ht="15" customHeight="1" x14ac:dyDescent="0.25">
      <c r="A4204" s="7">
        <v>4203</v>
      </c>
      <c r="B4204" s="1">
        <v>43700</v>
      </c>
      <c r="C4204" s="6" t="s">
        <v>18</v>
      </c>
      <c r="D4204" s="6" t="s">
        <v>10</v>
      </c>
      <c r="E4204" s="6">
        <v>1</v>
      </c>
      <c r="F4204" s="6">
        <v>3</v>
      </c>
      <c r="G4204" s="6" t="s">
        <v>11</v>
      </c>
      <c r="H4204" s="6" t="s">
        <v>12</v>
      </c>
      <c r="I4204" s="6">
        <f>TabJogos[[#This Row],[PontosTime1]]-TabJogos[[#This Row],[PontosTime2]]</f>
        <v>-2</v>
      </c>
    </row>
    <row r="4205" spans="1:9" ht="15" customHeight="1" x14ac:dyDescent="0.25">
      <c r="A4205" s="7">
        <v>4204</v>
      </c>
      <c r="B4205" s="1">
        <v>43700</v>
      </c>
      <c r="C4205" s="6" t="s">
        <v>11</v>
      </c>
      <c r="D4205" s="6" t="s">
        <v>10</v>
      </c>
      <c r="E4205" s="6">
        <v>1</v>
      </c>
      <c r="F4205" s="6">
        <v>4</v>
      </c>
      <c r="G4205" s="6" t="s">
        <v>18</v>
      </c>
      <c r="H4205" s="6" t="s">
        <v>12</v>
      </c>
      <c r="I4205" s="6">
        <f>TabJogos[[#This Row],[PontosTime1]]-TabJogos[[#This Row],[PontosTime2]]</f>
        <v>-3</v>
      </c>
    </row>
    <row r="4206" spans="1:9" ht="15" customHeight="1" x14ac:dyDescent="0.25">
      <c r="A4206" s="7">
        <v>4205</v>
      </c>
      <c r="B4206" s="1">
        <v>43700</v>
      </c>
      <c r="C4206" s="6" t="s">
        <v>12</v>
      </c>
      <c r="D4206" s="6" t="s">
        <v>10</v>
      </c>
      <c r="E4206" s="6">
        <v>1</v>
      </c>
      <c r="F4206" s="6">
        <v>4</v>
      </c>
      <c r="G4206" s="6" t="s">
        <v>13</v>
      </c>
      <c r="H4206" s="6" t="s">
        <v>18</v>
      </c>
      <c r="I4206" s="6">
        <f>TabJogos[[#This Row],[PontosTime1]]-TabJogos[[#This Row],[PontosTime2]]</f>
        <v>-3</v>
      </c>
    </row>
    <row r="4207" spans="1:9" ht="15" customHeight="1" x14ac:dyDescent="0.25">
      <c r="A4207" s="7">
        <v>4206</v>
      </c>
      <c r="B4207" s="1">
        <v>43700</v>
      </c>
      <c r="C4207" s="6" t="s">
        <v>11</v>
      </c>
      <c r="D4207" s="6" t="s">
        <v>18</v>
      </c>
      <c r="E4207" s="6">
        <v>0</v>
      </c>
      <c r="F4207" s="6">
        <v>3</v>
      </c>
      <c r="G4207" s="6" t="s">
        <v>13</v>
      </c>
      <c r="H4207" s="6" t="s">
        <v>10</v>
      </c>
      <c r="I4207" s="6">
        <f>TabJogos[[#This Row],[PontosTime1]]-TabJogos[[#This Row],[PontosTime2]]</f>
        <v>-3</v>
      </c>
    </row>
    <row r="4208" spans="1:9" ht="15" customHeight="1" x14ac:dyDescent="0.25">
      <c r="A4208" s="7">
        <v>4207</v>
      </c>
      <c r="B4208" s="1">
        <v>43700</v>
      </c>
      <c r="C4208" s="6" t="s">
        <v>11</v>
      </c>
      <c r="D4208" s="6" t="s">
        <v>13</v>
      </c>
      <c r="E4208" s="6">
        <v>2</v>
      </c>
      <c r="F4208" s="6">
        <v>3</v>
      </c>
      <c r="G4208" s="6" t="s">
        <v>10</v>
      </c>
      <c r="H4208" s="6" t="s">
        <v>18</v>
      </c>
      <c r="I4208" s="6">
        <f>TabJogos[[#This Row],[PontosTime1]]-TabJogos[[#This Row],[PontosTime2]]</f>
        <v>-1</v>
      </c>
    </row>
    <row r="4209" spans="1:9" ht="15" customHeight="1" x14ac:dyDescent="0.25">
      <c r="A4209" s="7">
        <v>4208</v>
      </c>
      <c r="B4209" s="1">
        <v>43700</v>
      </c>
      <c r="C4209" s="6" t="s">
        <v>18</v>
      </c>
      <c r="D4209" s="6" t="s">
        <v>41</v>
      </c>
      <c r="E4209" s="6">
        <v>6</v>
      </c>
      <c r="F4209" s="6">
        <v>1</v>
      </c>
      <c r="G4209" s="6" t="s">
        <v>10</v>
      </c>
      <c r="H4209" s="6" t="s">
        <v>11</v>
      </c>
      <c r="I4209" s="6">
        <f>TabJogos[[#This Row],[PontosTime1]]-TabJogos[[#This Row],[PontosTime2]]</f>
        <v>5</v>
      </c>
    </row>
    <row r="4210" spans="1:9" ht="15" customHeight="1" x14ac:dyDescent="0.25">
      <c r="A4210" s="7">
        <v>4209</v>
      </c>
      <c r="B4210" s="1">
        <v>43700</v>
      </c>
      <c r="C4210" s="6" t="s">
        <v>13</v>
      </c>
      <c r="D4210" s="6" t="s">
        <v>41</v>
      </c>
      <c r="E4210" s="6">
        <v>3</v>
      </c>
      <c r="F4210" s="6">
        <v>0</v>
      </c>
      <c r="G4210" s="6" t="s">
        <v>11</v>
      </c>
      <c r="H4210" s="6" t="s">
        <v>18</v>
      </c>
      <c r="I4210" s="6">
        <f>TabJogos[[#This Row],[PontosTime1]]-TabJogos[[#This Row],[PontosTime2]]</f>
        <v>3</v>
      </c>
    </row>
    <row r="4211" spans="1:9" ht="15" customHeight="1" x14ac:dyDescent="0.25">
      <c r="A4211" s="7">
        <v>4210</v>
      </c>
      <c r="B4211" s="1">
        <v>43700</v>
      </c>
      <c r="C4211" s="6" t="s">
        <v>10</v>
      </c>
      <c r="D4211" s="6" t="s">
        <v>13</v>
      </c>
      <c r="E4211" s="6">
        <v>5</v>
      </c>
      <c r="F4211" s="6">
        <v>2</v>
      </c>
      <c r="G4211" s="6" t="s">
        <v>11</v>
      </c>
      <c r="H4211" s="6" t="s">
        <v>41</v>
      </c>
      <c r="I4211" s="6">
        <f>TabJogos[[#This Row],[PontosTime1]]-TabJogos[[#This Row],[PontosTime2]]</f>
        <v>3</v>
      </c>
    </row>
    <row r="4212" spans="1:9" ht="15" customHeight="1" x14ac:dyDescent="0.25">
      <c r="A4212" s="7">
        <v>4211</v>
      </c>
      <c r="B4212" s="1">
        <v>43700</v>
      </c>
      <c r="C4212" s="6" t="s">
        <v>13</v>
      </c>
      <c r="D4212" s="6" t="s">
        <v>18</v>
      </c>
      <c r="E4212" s="6">
        <v>3</v>
      </c>
      <c r="F4212" s="6">
        <v>2</v>
      </c>
      <c r="G4212" s="6" t="s">
        <v>11</v>
      </c>
      <c r="H4212" s="6" t="s">
        <v>10</v>
      </c>
      <c r="I4212" s="6">
        <f>TabJogos[[#This Row],[PontosTime1]]-TabJogos[[#This Row],[PontosTime2]]</f>
        <v>1</v>
      </c>
    </row>
    <row r="4213" spans="1:9" ht="15" customHeight="1" x14ac:dyDescent="0.25">
      <c r="A4213" s="7">
        <v>4212</v>
      </c>
      <c r="B4213" s="1">
        <v>43700</v>
      </c>
      <c r="C4213" s="6" t="s">
        <v>11</v>
      </c>
      <c r="D4213" s="6" t="s">
        <v>13</v>
      </c>
      <c r="E4213" s="6">
        <v>1</v>
      </c>
      <c r="F4213" s="6">
        <v>4</v>
      </c>
      <c r="G4213" s="6" t="s">
        <v>10</v>
      </c>
      <c r="H4213" s="6" t="s">
        <v>18</v>
      </c>
      <c r="I4213" s="6">
        <f>TabJogos[[#This Row],[PontosTime1]]-TabJogos[[#This Row],[PontosTime2]]</f>
        <v>-3</v>
      </c>
    </row>
    <row r="4214" spans="1:9" ht="15" customHeight="1" x14ac:dyDescent="0.25">
      <c r="A4214" s="7">
        <v>4213</v>
      </c>
      <c r="B4214" s="1">
        <v>43700</v>
      </c>
      <c r="C4214" s="6" t="s">
        <v>41</v>
      </c>
      <c r="D4214" s="6" t="s">
        <v>13</v>
      </c>
      <c r="E4214" s="6">
        <v>3</v>
      </c>
      <c r="F4214" s="6">
        <v>2</v>
      </c>
      <c r="G4214" s="6" t="s">
        <v>11</v>
      </c>
      <c r="H4214" s="6" t="s">
        <v>18</v>
      </c>
      <c r="I4214" s="6">
        <f>TabJogos[[#This Row],[PontosTime1]]-TabJogos[[#This Row],[PontosTime2]]</f>
        <v>1</v>
      </c>
    </row>
    <row r="4215" spans="1:9" ht="15" customHeight="1" x14ac:dyDescent="0.25">
      <c r="A4215" s="7">
        <v>4214</v>
      </c>
      <c r="B4215" s="1">
        <v>43703</v>
      </c>
      <c r="C4215" s="6" t="s">
        <v>32</v>
      </c>
      <c r="D4215" s="6" t="s">
        <v>11</v>
      </c>
      <c r="E4215" s="6">
        <v>3</v>
      </c>
      <c r="F4215" s="6">
        <v>1</v>
      </c>
      <c r="G4215" s="6" t="s">
        <v>13</v>
      </c>
      <c r="H4215" s="6" t="s">
        <v>18</v>
      </c>
      <c r="I4215" s="6">
        <f>TabJogos[[#This Row],[PontosTime1]]-TabJogos[[#This Row],[PontosTime2]]</f>
        <v>2</v>
      </c>
    </row>
    <row r="4216" spans="1:9" ht="15" customHeight="1" x14ac:dyDescent="0.25">
      <c r="A4216" s="7">
        <v>4215</v>
      </c>
      <c r="B4216" s="1">
        <v>43703</v>
      </c>
      <c r="C4216" s="6" t="s">
        <v>11</v>
      </c>
      <c r="D4216" s="6" t="s">
        <v>18</v>
      </c>
      <c r="E4216" s="6">
        <v>3</v>
      </c>
      <c r="F4216" s="6">
        <v>1</v>
      </c>
      <c r="G4216" s="6" t="s">
        <v>13</v>
      </c>
      <c r="H4216" s="6" t="s">
        <v>32</v>
      </c>
      <c r="I4216" s="6">
        <f>TabJogos[[#This Row],[PontosTime1]]-TabJogos[[#This Row],[PontosTime2]]</f>
        <v>2</v>
      </c>
    </row>
    <row r="4217" spans="1:9" ht="15" customHeight="1" x14ac:dyDescent="0.25">
      <c r="A4217" s="7">
        <v>4216</v>
      </c>
      <c r="B4217" s="1">
        <v>43703</v>
      </c>
      <c r="C4217" s="6" t="s">
        <v>11</v>
      </c>
      <c r="D4217" s="6" t="s">
        <v>41</v>
      </c>
      <c r="E4217" s="6">
        <v>1</v>
      </c>
      <c r="F4217" s="6">
        <v>3</v>
      </c>
      <c r="G4217" s="6" t="s">
        <v>32</v>
      </c>
      <c r="H4217" s="6" t="s">
        <v>18</v>
      </c>
      <c r="I4217" s="6">
        <f>TabJogos[[#This Row],[PontosTime1]]-TabJogos[[#This Row],[PontosTime2]]</f>
        <v>-2</v>
      </c>
    </row>
    <row r="4218" spans="1:9" ht="15" customHeight="1" x14ac:dyDescent="0.25">
      <c r="A4218" s="7">
        <v>4217</v>
      </c>
      <c r="B4218" s="1">
        <v>43703</v>
      </c>
      <c r="C4218" s="6" t="s">
        <v>16</v>
      </c>
      <c r="D4218" s="6" t="s">
        <v>32</v>
      </c>
      <c r="E4218" s="6">
        <v>5</v>
      </c>
      <c r="F4218" s="6">
        <v>1</v>
      </c>
      <c r="G4218" s="6" t="s">
        <v>13</v>
      </c>
      <c r="H4218" s="6" t="s">
        <v>18</v>
      </c>
      <c r="I4218" s="6">
        <f>TabJogos[[#This Row],[PontosTime1]]-TabJogos[[#This Row],[PontosTime2]]</f>
        <v>4</v>
      </c>
    </row>
    <row r="4219" spans="1:9" ht="15" customHeight="1" x14ac:dyDescent="0.25">
      <c r="A4219" s="7">
        <v>4218</v>
      </c>
      <c r="B4219" s="1">
        <v>43703</v>
      </c>
      <c r="C4219" s="6" t="s">
        <v>16</v>
      </c>
      <c r="D4219" s="6" t="s">
        <v>11</v>
      </c>
      <c r="E4219" s="6">
        <v>3</v>
      </c>
      <c r="F4219" s="6">
        <v>0</v>
      </c>
      <c r="G4219" s="6" t="s">
        <v>41</v>
      </c>
      <c r="H4219" s="6" t="s">
        <v>32</v>
      </c>
      <c r="I4219" s="6">
        <f>TabJogos[[#This Row],[PontosTime1]]-TabJogos[[#This Row],[PontosTime2]]</f>
        <v>3</v>
      </c>
    </row>
    <row r="4220" spans="1:9" ht="15" customHeight="1" x14ac:dyDescent="0.25">
      <c r="A4220" s="7">
        <v>4219</v>
      </c>
      <c r="B4220" s="1">
        <v>43703</v>
      </c>
      <c r="C4220" s="6" t="s">
        <v>16</v>
      </c>
      <c r="D4220" s="6" t="s">
        <v>18</v>
      </c>
      <c r="E4220" s="6">
        <v>3</v>
      </c>
      <c r="F4220" s="6">
        <v>2</v>
      </c>
      <c r="G4220" s="6" t="s">
        <v>11</v>
      </c>
      <c r="H4220" s="6" t="s">
        <v>13</v>
      </c>
      <c r="I4220" s="6">
        <f>TabJogos[[#This Row],[PontosTime1]]-TabJogos[[#This Row],[PontosTime2]]</f>
        <v>1</v>
      </c>
    </row>
    <row r="4221" spans="1:9" ht="15" customHeight="1" x14ac:dyDescent="0.25">
      <c r="A4221" s="7">
        <v>4220</v>
      </c>
      <c r="B4221" s="1">
        <v>43703</v>
      </c>
      <c r="C4221" s="6" t="s">
        <v>16</v>
      </c>
      <c r="D4221" s="6" t="s">
        <v>41</v>
      </c>
      <c r="E4221" s="6">
        <v>0</v>
      </c>
      <c r="F4221" s="6">
        <v>3</v>
      </c>
      <c r="G4221" s="6" t="s">
        <v>32</v>
      </c>
      <c r="H4221" s="6" t="s">
        <v>18</v>
      </c>
      <c r="I4221" s="6">
        <f>TabJogos[[#This Row],[PontosTime1]]-TabJogos[[#This Row],[PontosTime2]]</f>
        <v>-3</v>
      </c>
    </row>
    <row r="4222" spans="1:9" ht="15" customHeight="1" x14ac:dyDescent="0.25">
      <c r="A4222" s="7">
        <v>4221</v>
      </c>
      <c r="B4222" s="1">
        <v>43703</v>
      </c>
      <c r="C4222" s="6" t="s">
        <v>11</v>
      </c>
      <c r="D4222" s="6" t="s">
        <v>32</v>
      </c>
      <c r="E4222" s="6">
        <v>1</v>
      </c>
      <c r="F4222" s="6">
        <v>3</v>
      </c>
      <c r="G4222" s="6" t="s">
        <v>13</v>
      </c>
      <c r="H4222" s="6" t="s">
        <v>11</v>
      </c>
      <c r="I4222" s="6">
        <f>TabJogos[[#This Row],[PontosTime1]]-TabJogos[[#This Row],[PontosTime2]]</f>
        <v>-2</v>
      </c>
    </row>
    <row r="4223" spans="1:9" ht="15" customHeight="1" x14ac:dyDescent="0.25">
      <c r="A4223" s="7">
        <v>4222</v>
      </c>
      <c r="B4223" s="1">
        <v>43703</v>
      </c>
      <c r="C4223" s="6" t="s">
        <v>32</v>
      </c>
      <c r="D4223" s="6" t="s">
        <v>13</v>
      </c>
      <c r="E4223" s="6">
        <v>3</v>
      </c>
      <c r="F4223" s="6">
        <v>2</v>
      </c>
      <c r="G4223" s="6" t="s">
        <v>18</v>
      </c>
      <c r="H4223" s="6" t="s">
        <v>41</v>
      </c>
      <c r="I4223" s="6">
        <f>TabJogos[[#This Row],[PontosTime1]]-TabJogos[[#This Row],[PontosTime2]]</f>
        <v>1</v>
      </c>
    </row>
    <row r="4224" spans="1:9" ht="15" customHeight="1" x14ac:dyDescent="0.25">
      <c r="A4224" s="7">
        <v>4223</v>
      </c>
      <c r="B4224" s="1">
        <v>43703</v>
      </c>
      <c r="C4224" s="6" t="s">
        <v>11</v>
      </c>
      <c r="D4224" s="6" t="s">
        <v>13</v>
      </c>
      <c r="E4224" s="6">
        <v>1</v>
      </c>
      <c r="F4224" s="6">
        <v>5</v>
      </c>
      <c r="G4224" s="6" t="s">
        <v>18</v>
      </c>
      <c r="H4224" s="6" t="s">
        <v>32</v>
      </c>
      <c r="I4224" s="6">
        <f>TabJogos[[#This Row],[PontosTime1]]-TabJogos[[#This Row],[PontosTime2]]</f>
        <v>-4</v>
      </c>
    </row>
    <row r="4225" spans="1:9" ht="15" customHeight="1" x14ac:dyDescent="0.25">
      <c r="A4225" s="7">
        <v>4224</v>
      </c>
      <c r="B4225" s="1">
        <v>43704</v>
      </c>
      <c r="C4225" s="6" t="s">
        <v>11</v>
      </c>
      <c r="D4225" s="6" t="s">
        <v>18</v>
      </c>
      <c r="E4225" s="6">
        <v>3</v>
      </c>
      <c r="F4225" s="6">
        <v>0</v>
      </c>
      <c r="G4225" s="6" t="s">
        <v>13</v>
      </c>
      <c r="H4225" s="6" t="s">
        <v>12</v>
      </c>
      <c r="I4225" s="6">
        <f>TabJogos[[#This Row],[PontosTime1]]-TabJogos[[#This Row],[PontosTime2]]</f>
        <v>3</v>
      </c>
    </row>
    <row r="4226" spans="1:9" ht="15" customHeight="1" x14ac:dyDescent="0.25">
      <c r="A4226" s="7">
        <v>4225</v>
      </c>
      <c r="B4226" s="1">
        <v>43704</v>
      </c>
      <c r="C4226" s="6" t="s">
        <v>18</v>
      </c>
      <c r="D4226" s="6" t="s">
        <v>12</v>
      </c>
      <c r="E4226" s="6">
        <v>3</v>
      </c>
      <c r="F4226" s="6">
        <v>1</v>
      </c>
      <c r="G4226" s="6" t="s">
        <v>11</v>
      </c>
      <c r="H4226" s="6" t="s">
        <v>27</v>
      </c>
      <c r="I4226" s="6">
        <f>TabJogos[[#This Row],[PontosTime1]]-TabJogos[[#This Row],[PontosTime2]]</f>
        <v>2</v>
      </c>
    </row>
    <row r="4227" spans="1:9" ht="15" customHeight="1" x14ac:dyDescent="0.25">
      <c r="A4227" s="7">
        <v>4226</v>
      </c>
      <c r="B4227" s="1">
        <v>43704</v>
      </c>
      <c r="C4227" s="6" t="s">
        <v>18</v>
      </c>
      <c r="D4227" s="6" t="s">
        <v>13</v>
      </c>
      <c r="E4227" s="6">
        <v>3</v>
      </c>
      <c r="F4227" s="6">
        <v>2</v>
      </c>
      <c r="G4227" s="6" t="s">
        <v>41</v>
      </c>
      <c r="H4227" s="6" t="s">
        <v>12</v>
      </c>
      <c r="I4227" s="6">
        <f>TabJogos[[#This Row],[PontosTime1]]-TabJogos[[#This Row],[PontosTime2]]</f>
        <v>1</v>
      </c>
    </row>
    <row r="4228" spans="1:9" ht="15" customHeight="1" x14ac:dyDescent="0.25">
      <c r="A4228" s="7">
        <v>4227</v>
      </c>
      <c r="B4228" s="1">
        <v>43704</v>
      </c>
      <c r="C4228" s="6" t="s">
        <v>11</v>
      </c>
      <c r="D4228" s="6" t="s">
        <v>13</v>
      </c>
      <c r="E4228" s="6">
        <v>3</v>
      </c>
      <c r="F4228" s="6">
        <v>1</v>
      </c>
      <c r="G4228" s="6" t="s">
        <v>18</v>
      </c>
      <c r="H4228" s="6" t="s">
        <v>27</v>
      </c>
      <c r="I4228" s="6">
        <f>TabJogos[[#This Row],[PontosTime1]]-TabJogos[[#This Row],[PontosTime2]]</f>
        <v>2</v>
      </c>
    </row>
    <row r="4229" spans="1:9" ht="15" customHeight="1" x14ac:dyDescent="0.25">
      <c r="A4229" s="7">
        <v>4228</v>
      </c>
      <c r="B4229" s="1">
        <v>43704</v>
      </c>
      <c r="C4229" s="6" t="s">
        <v>11</v>
      </c>
      <c r="D4229" s="6" t="s">
        <v>32</v>
      </c>
      <c r="E4229" s="6">
        <v>3</v>
      </c>
      <c r="F4229" s="6">
        <v>2</v>
      </c>
      <c r="G4229" s="6" t="s">
        <v>13</v>
      </c>
      <c r="H4229" s="6" t="s">
        <v>41</v>
      </c>
      <c r="I4229" s="6">
        <f>TabJogos[[#This Row],[PontosTime1]]-TabJogos[[#This Row],[PontosTime2]]</f>
        <v>1</v>
      </c>
    </row>
    <row r="4230" spans="1:9" ht="15" customHeight="1" x14ac:dyDescent="0.25">
      <c r="A4230" s="7">
        <v>4229</v>
      </c>
      <c r="B4230" s="1">
        <v>43704</v>
      </c>
      <c r="C4230" s="6" t="s">
        <v>11</v>
      </c>
      <c r="D4230" s="6" t="s">
        <v>27</v>
      </c>
      <c r="E4230" s="6">
        <v>0</v>
      </c>
      <c r="F4230" s="6">
        <v>4</v>
      </c>
      <c r="G4230" s="6" t="s">
        <v>18</v>
      </c>
      <c r="H4230" s="6" t="s">
        <v>32</v>
      </c>
      <c r="I4230" s="6">
        <f>TabJogos[[#This Row],[PontosTime1]]-TabJogos[[#This Row],[PontosTime2]]</f>
        <v>-4</v>
      </c>
    </row>
    <row r="4231" spans="1:9" ht="15" customHeight="1" x14ac:dyDescent="0.25">
      <c r="A4231" s="7">
        <v>4230</v>
      </c>
      <c r="B4231" s="1">
        <v>43704</v>
      </c>
      <c r="C4231" s="6" t="s">
        <v>41</v>
      </c>
      <c r="D4231" s="6" t="s">
        <v>18</v>
      </c>
      <c r="E4231" s="6">
        <v>1</v>
      </c>
      <c r="F4231" s="6">
        <v>3</v>
      </c>
      <c r="G4231" s="6" t="s">
        <v>32</v>
      </c>
      <c r="H4231" s="6" t="s">
        <v>13</v>
      </c>
      <c r="I4231" s="6">
        <f>TabJogos[[#This Row],[PontosTime1]]-TabJogos[[#This Row],[PontosTime2]]</f>
        <v>-2</v>
      </c>
    </row>
    <row r="4232" spans="1:9" ht="15" customHeight="1" x14ac:dyDescent="0.25">
      <c r="A4232" s="7">
        <v>4231</v>
      </c>
      <c r="B4232" s="1">
        <v>43704</v>
      </c>
      <c r="C4232" s="6" t="s">
        <v>13</v>
      </c>
      <c r="D4232" s="6" t="s">
        <v>11</v>
      </c>
      <c r="E4232" s="6">
        <v>1</v>
      </c>
      <c r="F4232" s="6">
        <v>6</v>
      </c>
      <c r="G4232" s="6" t="s">
        <v>32</v>
      </c>
      <c r="H4232" s="6" t="s">
        <v>13</v>
      </c>
      <c r="I4232" s="6">
        <f>TabJogos[[#This Row],[PontosTime1]]-TabJogos[[#This Row],[PontosTime2]]</f>
        <v>-5</v>
      </c>
    </row>
    <row r="4233" spans="1:9" ht="15" customHeight="1" x14ac:dyDescent="0.25">
      <c r="A4233" s="7">
        <v>4232</v>
      </c>
      <c r="B4233" s="1">
        <v>43704</v>
      </c>
      <c r="C4233" s="6" t="s">
        <v>27</v>
      </c>
      <c r="D4233" s="6" t="s">
        <v>18</v>
      </c>
      <c r="E4233" s="6">
        <v>6</v>
      </c>
      <c r="F4233" s="6">
        <v>0</v>
      </c>
      <c r="G4233" s="6" t="s">
        <v>41</v>
      </c>
      <c r="H4233" s="6" t="s">
        <v>32</v>
      </c>
      <c r="I4233" s="6">
        <f>TabJogos[[#This Row],[PontosTime1]]-TabJogos[[#This Row],[PontosTime2]]</f>
        <v>6</v>
      </c>
    </row>
    <row r="4234" spans="1:9" ht="15" customHeight="1" x14ac:dyDescent="0.25">
      <c r="A4234" s="7">
        <v>4233</v>
      </c>
      <c r="B4234" s="1">
        <v>43704</v>
      </c>
      <c r="C4234" s="6" t="s">
        <v>27</v>
      </c>
      <c r="D4234" s="6" t="s">
        <v>13</v>
      </c>
      <c r="E4234" s="6">
        <v>3</v>
      </c>
      <c r="F4234" s="6">
        <v>2</v>
      </c>
      <c r="G4234" s="6" t="s">
        <v>18</v>
      </c>
      <c r="H4234" s="6" t="s">
        <v>11</v>
      </c>
      <c r="I4234" s="6">
        <f>TabJogos[[#This Row],[PontosTime1]]-TabJogos[[#This Row],[PontosTime2]]</f>
        <v>1</v>
      </c>
    </row>
    <row r="4235" spans="1:9" ht="15" customHeight="1" x14ac:dyDescent="0.25">
      <c r="A4235" s="7">
        <v>4234</v>
      </c>
      <c r="B4235" s="1">
        <v>43704</v>
      </c>
      <c r="C4235" s="6" t="s">
        <v>32</v>
      </c>
      <c r="D4235" s="6" t="s">
        <v>13</v>
      </c>
      <c r="E4235" s="6">
        <v>3</v>
      </c>
      <c r="F4235" s="6">
        <v>0</v>
      </c>
      <c r="G4235" s="6" t="s">
        <v>41</v>
      </c>
      <c r="H4235" s="6" t="s">
        <v>27</v>
      </c>
      <c r="I4235" s="6">
        <f>TabJogos[[#This Row],[PontosTime1]]-TabJogos[[#This Row],[PontosTime2]]</f>
        <v>3</v>
      </c>
    </row>
    <row r="4236" spans="1:9" ht="15" customHeight="1" x14ac:dyDescent="0.25">
      <c r="A4236" s="7">
        <v>4235</v>
      </c>
      <c r="B4236" s="1">
        <v>43704</v>
      </c>
      <c r="C4236" s="6" t="s">
        <v>11</v>
      </c>
      <c r="D4236" s="6" t="s">
        <v>32</v>
      </c>
      <c r="E4236" s="6">
        <v>4</v>
      </c>
      <c r="F4236" s="6">
        <v>2</v>
      </c>
      <c r="G4236" s="6" t="s">
        <v>18</v>
      </c>
      <c r="H4236" s="6" t="s">
        <v>13</v>
      </c>
      <c r="I4236" s="6">
        <f>TabJogos[[#This Row],[PontosTime1]]-TabJogos[[#This Row],[PontosTime2]]</f>
        <v>2</v>
      </c>
    </row>
    <row r="4237" spans="1:9" ht="15" customHeight="1" x14ac:dyDescent="0.25">
      <c r="A4237" s="7">
        <v>4236</v>
      </c>
      <c r="B4237" s="1">
        <v>43705</v>
      </c>
      <c r="C4237" s="6" t="s">
        <v>10</v>
      </c>
      <c r="D4237" s="6" t="s">
        <v>12</v>
      </c>
      <c r="E4237" s="6">
        <v>3</v>
      </c>
      <c r="F4237" s="6">
        <v>1</v>
      </c>
      <c r="G4237" s="6" t="s">
        <v>27</v>
      </c>
      <c r="H4237" s="6" t="s">
        <v>11</v>
      </c>
      <c r="I4237" s="6">
        <f>TabJogos[[#This Row],[PontosTime1]]-TabJogos[[#This Row],[PontosTime2]]</f>
        <v>2</v>
      </c>
    </row>
    <row r="4238" spans="1:9" ht="15" customHeight="1" x14ac:dyDescent="0.25">
      <c r="A4238" s="7">
        <v>4237</v>
      </c>
      <c r="B4238" s="1">
        <v>43705</v>
      </c>
      <c r="C4238" s="6" t="s">
        <v>10</v>
      </c>
      <c r="D4238" s="6" t="s">
        <v>13</v>
      </c>
      <c r="E4238" s="6">
        <v>2</v>
      </c>
      <c r="F4238" s="6">
        <v>3</v>
      </c>
      <c r="G4238" s="6" t="s">
        <v>12</v>
      </c>
      <c r="H4238" s="6" t="s">
        <v>11</v>
      </c>
      <c r="I4238" s="6">
        <f>TabJogos[[#This Row],[PontosTime1]]-TabJogos[[#This Row],[PontosTime2]]</f>
        <v>-1</v>
      </c>
    </row>
    <row r="4239" spans="1:9" ht="15" customHeight="1" x14ac:dyDescent="0.25">
      <c r="A4239" s="7">
        <v>4238</v>
      </c>
      <c r="B4239" s="1">
        <v>43705</v>
      </c>
      <c r="C4239" s="6" t="s">
        <v>11</v>
      </c>
      <c r="D4239" s="6" t="s">
        <v>13</v>
      </c>
      <c r="E4239" s="6">
        <v>3</v>
      </c>
      <c r="F4239" s="6">
        <v>1</v>
      </c>
      <c r="G4239" s="6" t="s">
        <v>27</v>
      </c>
      <c r="H4239" s="6" t="s">
        <v>12</v>
      </c>
      <c r="I4239" s="6">
        <f>TabJogos[[#This Row],[PontosTime1]]-TabJogos[[#This Row],[PontosTime2]]</f>
        <v>2</v>
      </c>
    </row>
    <row r="4240" spans="1:9" ht="15" customHeight="1" x14ac:dyDescent="0.25">
      <c r="A4240" s="7">
        <v>4239</v>
      </c>
      <c r="B4240" s="1">
        <v>43705</v>
      </c>
      <c r="C4240" s="6" t="s">
        <v>10</v>
      </c>
      <c r="D4240" s="6" t="s">
        <v>11</v>
      </c>
      <c r="E4240" s="6">
        <v>1</v>
      </c>
      <c r="F4240" s="6">
        <v>3</v>
      </c>
      <c r="G4240" s="6" t="s">
        <v>13</v>
      </c>
      <c r="H4240" s="6" t="s">
        <v>12</v>
      </c>
      <c r="I4240" s="6">
        <f>TabJogos[[#This Row],[PontosTime1]]-TabJogos[[#This Row],[PontosTime2]]</f>
        <v>-2</v>
      </c>
    </row>
    <row r="4241" spans="1:9" ht="15" customHeight="1" x14ac:dyDescent="0.25">
      <c r="A4241" s="7">
        <v>4240</v>
      </c>
      <c r="B4241" s="1">
        <v>43705</v>
      </c>
      <c r="C4241" s="6" t="s">
        <v>27</v>
      </c>
      <c r="D4241" s="6" t="s">
        <v>32</v>
      </c>
      <c r="E4241" s="6">
        <v>3</v>
      </c>
      <c r="F4241" s="6">
        <v>0</v>
      </c>
      <c r="G4241" s="6" t="s">
        <v>13</v>
      </c>
      <c r="H4241" s="6" t="s">
        <v>41</v>
      </c>
      <c r="I4241" s="6">
        <f>TabJogos[[#This Row],[PontosTime1]]-TabJogos[[#This Row],[PontosTime2]]</f>
        <v>3</v>
      </c>
    </row>
    <row r="4242" spans="1:9" ht="15" customHeight="1" x14ac:dyDescent="0.25">
      <c r="A4242" s="7">
        <v>4241</v>
      </c>
      <c r="B4242" s="1">
        <v>43705</v>
      </c>
      <c r="C4242" s="6" t="s">
        <v>11</v>
      </c>
      <c r="D4242" s="6" t="s">
        <v>32</v>
      </c>
      <c r="E4242" s="6">
        <v>1</v>
      </c>
      <c r="F4242" s="6">
        <v>5</v>
      </c>
      <c r="G4242" s="6" t="s">
        <v>27</v>
      </c>
      <c r="H4242" s="6" t="s">
        <v>10</v>
      </c>
      <c r="I4242" s="6">
        <f>TabJogos[[#This Row],[PontosTime1]]-TabJogos[[#This Row],[PontosTime2]]</f>
        <v>-4</v>
      </c>
    </row>
    <row r="4243" spans="1:9" ht="15" customHeight="1" x14ac:dyDescent="0.25">
      <c r="A4243" s="7">
        <v>4242</v>
      </c>
      <c r="B4243" s="1">
        <v>43705</v>
      </c>
      <c r="C4243" s="6" t="s">
        <v>10</v>
      </c>
      <c r="D4243" s="6" t="s">
        <v>41</v>
      </c>
      <c r="E4243" s="6">
        <v>4</v>
      </c>
      <c r="F4243" s="6">
        <v>1</v>
      </c>
      <c r="G4243" s="6" t="s">
        <v>27</v>
      </c>
      <c r="H4243" s="6" t="s">
        <v>11</v>
      </c>
      <c r="I4243" s="6">
        <f>TabJogos[[#This Row],[PontosTime1]]-TabJogos[[#This Row],[PontosTime2]]</f>
        <v>3</v>
      </c>
    </row>
    <row r="4244" spans="1:9" ht="15" customHeight="1" x14ac:dyDescent="0.25">
      <c r="A4244" s="7">
        <v>4243</v>
      </c>
      <c r="B4244" s="1">
        <v>43705</v>
      </c>
      <c r="C4244" s="6" t="s">
        <v>27</v>
      </c>
      <c r="D4244" s="6" t="s">
        <v>10</v>
      </c>
      <c r="E4244" s="6">
        <v>2</v>
      </c>
      <c r="F4244" s="6">
        <v>3</v>
      </c>
      <c r="G4244" s="6" t="s">
        <v>41</v>
      </c>
      <c r="H4244" s="6" t="s">
        <v>32</v>
      </c>
      <c r="I4244" s="6">
        <f>TabJogos[[#This Row],[PontosTime1]]-TabJogos[[#This Row],[PontosTime2]]</f>
        <v>-1</v>
      </c>
    </row>
    <row r="4245" spans="1:9" ht="15" customHeight="1" x14ac:dyDescent="0.25">
      <c r="A4245" s="7">
        <v>4244</v>
      </c>
      <c r="B4245" s="1">
        <v>43705</v>
      </c>
      <c r="C4245" s="6" t="s">
        <v>32</v>
      </c>
      <c r="D4245" s="6" t="s">
        <v>13</v>
      </c>
      <c r="E4245" s="6">
        <v>1</v>
      </c>
      <c r="F4245" s="6">
        <v>3</v>
      </c>
      <c r="G4245" s="6" t="s">
        <v>11</v>
      </c>
      <c r="H4245" s="6" t="s">
        <v>41</v>
      </c>
      <c r="I4245" s="6">
        <f>TabJogos[[#This Row],[PontosTime1]]-TabJogos[[#This Row],[PontosTime2]]</f>
        <v>-2</v>
      </c>
    </row>
    <row r="4246" spans="1:9" ht="15" customHeight="1" x14ac:dyDescent="0.25">
      <c r="A4246" s="7">
        <v>4245</v>
      </c>
      <c r="B4246" s="1">
        <v>43705</v>
      </c>
      <c r="C4246" s="6" t="s">
        <v>10</v>
      </c>
      <c r="D4246" s="6" t="s">
        <v>11</v>
      </c>
      <c r="E4246" s="6">
        <v>3</v>
      </c>
      <c r="F4246" s="6">
        <v>2</v>
      </c>
      <c r="G4246" s="6" t="s">
        <v>27</v>
      </c>
      <c r="H4246" s="6" t="s">
        <v>41</v>
      </c>
      <c r="I4246" s="6">
        <f>TabJogos[[#This Row],[PontosTime1]]-TabJogos[[#This Row],[PontosTime2]]</f>
        <v>1</v>
      </c>
    </row>
    <row r="4247" spans="1:9" ht="15" customHeight="1" x14ac:dyDescent="0.25">
      <c r="A4247" s="7">
        <v>4246</v>
      </c>
      <c r="B4247" s="1">
        <v>43705</v>
      </c>
      <c r="C4247" s="6" t="s">
        <v>10</v>
      </c>
      <c r="D4247" s="6" t="s">
        <v>13</v>
      </c>
      <c r="E4247" s="6">
        <v>0</v>
      </c>
      <c r="F4247" s="6">
        <v>3</v>
      </c>
      <c r="G4247" s="6" t="s">
        <v>11</v>
      </c>
      <c r="H4247" s="6" t="s">
        <v>18</v>
      </c>
      <c r="I4247" s="6">
        <f>TabJogos[[#This Row],[PontosTime1]]-TabJogos[[#This Row],[PontosTime2]]</f>
        <v>-3</v>
      </c>
    </row>
    <row r="4248" spans="1:9" ht="15" customHeight="1" x14ac:dyDescent="0.25">
      <c r="A4248" s="7">
        <v>4247</v>
      </c>
      <c r="B4248" s="1">
        <v>43705</v>
      </c>
      <c r="C4248" s="6" t="s">
        <v>10</v>
      </c>
      <c r="D4248" s="6" t="s">
        <v>18</v>
      </c>
      <c r="E4248" s="6">
        <v>3</v>
      </c>
      <c r="F4248" s="6">
        <v>2</v>
      </c>
      <c r="G4248" s="6" t="s">
        <v>11</v>
      </c>
      <c r="H4248" s="6" t="s">
        <v>13</v>
      </c>
      <c r="I4248" s="6">
        <f>TabJogos[[#This Row],[PontosTime1]]-TabJogos[[#This Row],[PontosTime2]]</f>
        <v>1</v>
      </c>
    </row>
    <row r="4249" spans="1:9" ht="15" customHeight="1" x14ac:dyDescent="0.25">
      <c r="A4249" s="7">
        <v>4248</v>
      </c>
      <c r="B4249" s="1">
        <v>43705</v>
      </c>
      <c r="C4249" s="6" t="s">
        <v>10</v>
      </c>
      <c r="D4249" s="6" t="s">
        <v>11</v>
      </c>
      <c r="E4249" s="6">
        <v>0</v>
      </c>
      <c r="F4249" s="6">
        <v>4</v>
      </c>
      <c r="G4249" s="6" t="s">
        <v>13</v>
      </c>
      <c r="H4249" s="6" t="s">
        <v>18</v>
      </c>
      <c r="I4249" s="6">
        <f>TabJogos[[#This Row],[PontosTime1]]-TabJogos[[#This Row],[PontosTime2]]</f>
        <v>-4</v>
      </c>
    </row>
    <row r="4250" spans="1:9" ht="15" customHeight="1" x14ac:dyDescent="0.25">
      <c r="A4250" s="7">
        <v>4249</v>
      </c>
      <c r="B4250" s="1">
        <v>43705</v>
      </c>
      <c r="C4250" s="6" t="s">
        <v>10</v>
      </c>
      <c r="D4250" s="6" t="s">
        <v>13</v>
      </c>
      <c r="E4250" s="6">
        <v>2</v>
      </c>
      <c r="F4250" s="6">
        <v>3</v>
      </c>
      <c r="G4250" s="6" t="s">
        <v>18</v>
      </c>
      <c r="H4250" s="6" t="s">
        <v>11</v>
      </c>
      <c r="I4250" s="6">
        <f>TabJogos[[#This Row],[PontosTime1]]-TabJogos[[#This Row],[PontosTime2]]</f>
        <v>-1</v>
      </c>
    </row>
    <row r="4251" spans="1:9" ht="15" customHeight="1" x14ac:dyDescent="0.25">
      <c r="A4251" s="7">
        <v>4250</v>
      </c>
      <c r="B4251" s="1">
        <v>43705</v>
      </c>
      <c r="C4251" s="6" t="s">
        <v>10</v>
      </c>
      <c r="D4251" s="6" t="s">
        <v>18</v>
      </c>
      <c r="E4251" s="6">
        <v>3</v>
      </c>
      <c r="F4251" s="6">
        <v>1</v>
      </c>
      <c r="G4251" s="6" t="s">
        <v>11</v>
      </c>
      <c r="H4251" s="6" t="s">
        <v>13</v>
      </c>
      <c r="I4251" s="6">
        <f>TabJogos[[#This Row],[PontosTime1]]-TabJogos[[#This Row],[PontosTime2]]</f>
        <v>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796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430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366</v>
      </c>
      <c r="E3" s="3">
        <f t="shared" ca="1" si="0"/>
        <v>64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70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151</v>
      </c>
      <c r="H3" s="4">
        <f t="shared" ca="1" si="1"/>
        <v>0.54020100502512558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54.020100502512555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743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407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336</v>
      </c>
      <c r="E4" s="3">
        <f t="shared" ca="1" si="0"/>
        <v>71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97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194</v>
      </c>
      <c r="H4" s="4">
        <f t="shared" ca="1" si="1"/>
        <v>0.54777927321668907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54.777927321668905</v>
      </c>
      <c r="L4" s="12" t="s">
        <v>54</v>
      </c>
      <c r="M4" s="14">
        <f ca="1">EOMONTH(TODAY(),0)</f>
        <v>43708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1362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737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625</v>
      </c>
      <c r="E5" s="3">
        <f t="shared" ca="1" si="0"/>
        <v>112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111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403</v>
      </c>
      <c r="H5" s="4">
        <f t="shared" ca="1" si="1"/>
        <v>0.54111600587371511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54.111600587371512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1338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700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638</v>
      </c>
      <c r="E6" s="3">
        <f t="shared" ca="1" si="0"/>
        <v>62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129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128</v>
      </c>
      <c r="H6" s="4">
        <f t="shared" ca="1" si="1"/>
        <v>0.52316890881913303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52.316890881913302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393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199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194</v>
      </c>
      <c r="E7" s="3">
        <f t="shared" ca="1" si="0"/>
        <v>5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38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22</v>
      </c>
      <c r="H7" s="4">
        <f t="shared" ca="1" si="1"/>
        <v>0.50636132315521631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50.636132315521628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2688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1412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1276</v>
      </c>
      <c r="E8" s="3">
        <f t="shared" ca="1" si="0"/>
        <v>136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264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464</v>
      </c>
      <c r="H8" s="4">
        <f t="shared" ca="1" si="1"/>
        <v>0.52529761904761907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52.529761904761905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2268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1154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1114</v>
      </c>
      <c r="E9" s="3">
        <f t="shared" ca="1" si="0"/>
        <v>40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221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140</v>
      </c>
      <c r="H9" s="4">
        <f t="shared" ca="1" si="1"/>
        <v>0.50881834215167554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50.881834215167551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990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486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504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79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-66</v>
      </c>
      <c r="H10" s="4">
        <f t="shared" ca="1" si="1"/>
        <v>0.49090909090909091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49.090909090909093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1152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569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583</v>
      </c>
      <c r="E12" s="3">
        <f t="shared" ca="1" si="0"/>
        <v>-14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119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0.4939236111111111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49.392361111111107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750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364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386</v>
      </c>
      <c r="E14" s="3">
        <f t="shared" ca="1" si="0"/>
        <v>-22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92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-57</v>
      </c>
      <c r="H14" s="4">
        <f t="shared" ca="1" si="1"/>
        <v>0.48533333333333334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48.533333333333331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2436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1063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1373</v>
      </c>
      <c r="E17" s="3">
        <f t="shared" ca="1" si="0"/>
        <v>-310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210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-1048</v>
      </c>
      <c r="H17" s="4">
        <f t="shared" ca="1" si="1"/>
        <v>0.43637110016420361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43.637110016420358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523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228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295</v>
      </c>
      <c r="E18" s="3">
        <f t="shared" ca="1" si="0"/>
        <v>-67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-204</v>
      </c>
      <c r="H18" s="4">
        <f t="shared" ca="1" si="1"/>
        <v>0.43594646271510518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43.59464627151052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29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13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-3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-16</v>
      </c>
      <c r="H26" s="4">
        <f t="shared" ca="1" si="1"/>
        <v>0.44827586206896552</v>
      </c>
      <c r="I26" s="27">
        <f ca="1">IF(TabResultados3[[#This Row],[Jogos]]&lt;20,0,IF(TabResultados3[[#This Row],[Jogos]]&lt;=40,0.9+0.1*(TabResultados3[[#This Row],[Jogos]]-20)/20,1))</f>
        <v>0.94500000000000006</v>
      </c>
      <c r="J26" s="22">
        <f ca="1">100*TabResultados3[[#This Row],[Aprov]]*TabResultados3[[#This Row],[KJogos]]</f>
        <v>42.362068965517246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2019-08-28T18:23:01Z</dcterms:modified>
  <cp:category/>
  <cp:contentStatus/>
</cp:coreProperties>
</file>
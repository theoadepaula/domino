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A93E668E-0ACC-4940-A9AE-99BA87D21D59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12" i="3" l="1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<sst xmlns="http://schemas.openxmlformats.org/spreadsheetml/2006/main" count="8556" uniqueCount="56">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</sst>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12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128"/>
  <sheetViews>
    <sheetView tabSelected="1" zoomScale="80" zoomScaleNormal="80" workbookViewId="0">
      <pane ySplit="1" topLeftCell="A2084" activePane="bottomLeft" state="frozenSplit"/>
      <selection activeCell="D1" sqref="D1 D1"/>
      <selection pane="bottomLeft" activeCell="A2128" sqref="A212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119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65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54</v>
      </c>
      <c r="E2" s="3">
        <f t="shared" ref="E2:E28" ca="1" si="0">C2-D2</f>
        <v>11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10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52</v>
      </c>
      <c r="H2" s="4">
        <f t="shared" ref="H2:H28" ca="1" si="1">IFERROR(C2/B2,-0.000001)</f>
        <v>0.54621848739495793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54.621848739495796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122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54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68</v>
      </c>
      <c r="E3" s="3">
        <f t="shared" ca="1" si="0"/>
        <v>-14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-72</v>
      </c>
      <c r="H3" s="4">
        <f t="shared" ca="1" si="1"/>
        <v>0.44262295081967212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44.26229508196721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111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</v>
      </c>
      <c r="E5" s="3">
        <f t="shared" ca="1" si="0"/>
        <v>-7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-40</v>
      </c>
      <c r="H5" s="4">
        <f t="shared" ca="1" si="1"/>
        <v>0.46846846846846846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46.846846846846844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45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25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-3</v>
      </c>
      <c r="H6" s="4">
        <f t="shared" ca="1" si="1"/>
        <v>0.44444444444444442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44.444444444444443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115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54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61</v>
      </c>
      <c r="E7" s="3">
        <f t="shared" ca="1" si="0"/>
        <v>-7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-38</v>
      </c>
      <c r="H7" s="4">
        <f t="shared" ca="1" si="1"/>
        <v>0.46956521739130436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46.956521739130437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23</v>
      </c>
      <c r="E8" s="3">
        <f t="shared" ca="1" si="0"/>
        <v>11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25</v>
      </c>
      <c r="H8" s="4">
        <f t="shared" ca="1" si="1"/>
        <v>0.59649122807017541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59.649122807017541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51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24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27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5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16</v>
      </c>
      <c r="H11" s="4">
        <f t="shared" ca="1" si="1"/>
        <v>0.47058823529411764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47.058823529411761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13</v>
      </c>
      <c r="E13" s="3">
        <f t="shared" ca="1" si="0"/>
        <v>-5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-11</v>
      </c>
      <c r="H13" s="4">
        <f t="shared" ca="1" si="1"/>
        <v>0.38095238095238093</v>
      </c>
      <c r="I13" s="29">
        <f ca="1">IF(TabResultados3[[#This Row],[Jogos]]&lt;20,0,IF(TabResultados3[[#This Row],[Jogos]]&lt;=40,0.9+0.1*(TabResultados3[[#This Row],[Jogos]]-20)/20,1))</f>
        <v>0.90500000000000003</v>
      </c>
      <c r="J13" s="22">
        <f ca="1">100*TabResultados3[[#This Row],[Aprov]]*TabResultados3[[#This Row],[KJogos]]</f>
        <v>34.476190476190474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21</v>
      </c>
      <c r="E14" s="3">
        <f t="shared" ca="1" si="0"/>
        <v>14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56</v>
      </c>
      <c r="H14" s="4">
        <f t="shared" ca="1" si="1"/>
        <v>0.625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62.5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98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52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46</v>
      </c>
      <c r="E19" s="3">
        <f t="shared" ca="1" si="0"/>
        <v>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8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24</v>
      </c>
      <c r="H19" s="4">
        <f t="shared" ca="1" si="1"/>
        <v>0.53061224489795922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53.061224489795919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2018-10-18T18:10:06Z</dcterms:modified>
</cp:coreProperties>
</file>
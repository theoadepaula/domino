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69376BE5-BFDA-4DE2-9733-D767B8C30358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<sst xmlns="http://schemas.openxmlformats.org/spreadsheetml/2006/main" count="7660" uniqueCount="56">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</sst>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904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904"/>
  <sheetViews>
    <sheetView tabSelected="1" zoomScale="80" zoomScaleNormal="80" workbookViewId="0">
      <pane ySplit="1" topLeftCell="A1864" activePane="bottomLeft" state="frozenSplit"/>
      <selection activeCell="D1" sqref="D1 D1"/>
      <selection pane="bottomLeft" activeCell="A1904" sqref="A1904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91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39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52</v>
      </c>
      <c r="E2" s="3">
        <f t="shared" ref="E2:E28" ca="1" si="0">C2-D2</f>
        <v>-13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2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-51</v>
      </c>
      <c r="H2" s="4">
        <f t="shared" ref="H2:H28" ca="1" si="1">IFERROR(C2/B2,-0.000001)</f>
        <v>0.42857142857142855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42.857142857142854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155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91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64</v>
      </c>
      <c r="E3" s="3">
        <f t="shared" ca="1" si="0"/>
        <v>27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12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67</v>
      </c>
      <c r="H3" s="4">
        <f t="shared" ca="1" si="1"/>
        <v>0.58709677419354833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58.709677419354833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43373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129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70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</v>
      </c>
      <c r="E5" s="3">
        <f t="shared" ca="1" si="0"/>
        <v>11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37</v>
      </c>
      <c r="H5" s="4">
        <f t="shared" ca="1" si="1"/>
        <v>0.54263565891472865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54.263565891472865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15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10</v>
      </c>
      <c r="E6" s="3">
        <f t="shared" ca="1" si="0"/>
        <v>-5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-8</v>
      </c>
      <c r="H6" s="4">
        <f t="shared" ca="1" si="1"/>
        <v>0.33333333333333331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119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51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68</v>
      </c>
      <c r="E7" s="3">
        <f t="shared" ca="1" si="0"/>
        <v>-17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7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-60</v>
      </c>
      <c r="H7" s="4">
        <f t="shared" ca="1" si="1"/>
        <v>0.42857142857142855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42.857142857142854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55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28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27</v>
      </c>
      <c r="E8" s="3">
        <f t="shared" ca="1" si="0"/>
        <v>1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4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15</v>
      </c>
      <c r="H8" s="4">
        <f t="shared" ca="1" si="1"/>
        <v>0.50909090909090904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50.909090909090907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</v>
      </c>
      <c r="E10" s="3">
        <f t="shared" ca="1" si="0"/>
        <v>-1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</v>
      </c>
      <c r="H10" s="4">
        <f t="shared" ca="1" si="1"/>
        <v>0.4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25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8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17</v>
      </c>
      <c r="E11" s="3">
        <f t="shared" ca="1" si="0"/>
        <v>-9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2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-26</v>
      </c>
      <c r="H11" s="4">
        <f t="shared" ca="1" si="1"/>
        <v>0.32</v>
      </c>
      <c r="I11" s="29">
        <f ca="1">IF(TabResultados3[[#This Row],[Jogos]]&lt;20,0,IF(TabResultados3[[#This Row],[Jogos]]&lt;=40,0.9+0.1*(TabResultados3[[#This Row],[Jogos]]-20)/20,1))</f>
        <v>0.92500000000000004</v>
      </c>
      <c r="J11" s="22">
        <f ca="1">100*TabResultados3[[#This Row],[Aprov]]*TabResultados3[[#This Row],[KJogos]]</f>
        <v>29.6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36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17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19</v>
      </c>
      <c r="E13" s="3">
        <f t="shared" ca="1" si="0"/>
        <v>-2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3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5</v>
      </c>
      <c r="H13" s="4">
        <f t="shared" ca="1" si="1"/>
        <v>0.47222222222222221</v>
      </c>
      <c r="I13" s="29">
        <f ca="1">IF(TabResultados3[[#This Row],[Jogos]]&lt;20,0,IF(TabResultados3[[#This Row],[Jogos]]&lt;=40,0.9+0.1*(TabResultados3[[#This Row],[Jogos]]-20)/20,1))</f>
        <v>0.98</v>
      </c>
      <c r="J13" s="22">
        <f ca="1">100*TabResultados3[[#This Row],[Aprov]]*TabResultados3[[#This Row],[KJogos]]</f>
        <v>46.277777777777779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62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39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23</v>
      </c>
      <c r="E14" s="3">
        <f t="shared" ca="1" si="0"/>
        <v>16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8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50</v>
      </c>
      <c r="H14" s="4">
        <f t="shared" ca="1" si="1"/>
        <v>0.62903225806451613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62.903225806451616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89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47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42</v>
      </c>
      <c r="E19" s="3">
        <f t="shared" ca="1" si="0"/>
        <v>5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8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1</v>
      </c>
      <c r="H19" s="4">
        <f t="shared" ca="1" si="1"/>
        <v>0.5280898876404494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52.80898876404494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2018-09-26T18:34:04Z</dcterms:modified>
</cp:coreProperties>
</file>
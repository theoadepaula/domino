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2A142BCC-4907-43CB-BBF0-20E93608E24A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<sst xmlns="http://schemas.openxmlformats.org/spreadsheetml/2006/main" count="7736" uniqueCount="56">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</sst>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923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923"/>
  <sheetViews>
    <sheetView tabSelected="1" zoomScale="80" zoomScaleNormal="80" workbookViewId="0">
      <pane ySplit="1" topLeftCell="A1901" activePane="bottomLeft" state="frozenSplit"/>
      <selection activeCell="D1" sqref="D1 D1"/>
      <selection pane="bottomLeft" activeCell="A1923" sqref="A1923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104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49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55</v>
      </c>
      <c r="E2" s="3">
        <f t="shared" ref="E2:E28" ca="1" si="0">C2-D2</f>
        <v>-6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3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-24</v>
      </c>
      <c r="H2" s="4">
        <f t="shared" ref="H2:H28" ca="1" si="1">IFERROR(C2/B2,-0.000001)</f>
        <v>0.47115384615384615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47.115384615384613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95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68</v>
      </c>
      <c r="E3" s="3">
        <f t="shared" ca="1" si="0"/>
        <v>27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12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70</v>
      </c>
      <c r="H3" s="4">
        <f t="shared" ca="1" si="1"/>
        <v>0.58282208588957052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58.282208588957054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142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78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64</v>
      </c>
      <c r="E5" s="3">
        <f t="shared" ca="1" si="0"/>
        <v>14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43</v>
      </c>
      <c r="H5" s="4">
        <f t="shared" ca="1" si="1"/>
        <v>0.54929577464788737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54.929577464788736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134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57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77</v>
      </c>
      <c r="E7" s="3">
        <f t="shared" ca="1" si="0"/>
        <v>-20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-75</v>
      </c>
      <c r="H7" s="4">
        <f t="shared" ca="1" si="1"/>
        <v>0.42537313432835822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42.537313432835823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60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29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31</v>
      </c>
      <c r="E8" s="3">
        <f t="shared" ca="1" si="0"/>
        <v>-2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6</v>
      </c>
      <c r="H8" s="4">
        <f t="shared" ca="1" si="1"/>
        <v>0.48333333333333334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48.333333333333336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25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8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17</v>
      </c>
      <c r="E11" s="3">
        <f t="shared" ca="1" si="0"/>
        <v>-9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-26</v>
      </c>
      <c r="H11" s="4">
        <f t="shared" ca="1" si="1"/>
        <v>0.32</v>
      </c>
      <c r="I11" s="29">
        <f ca="1">IF(TabResultados3[[#This Row],[Jogos]]&lt;20,0,IF(TabResultados3[[#This Row],[Jogos]]&lt;=40,0.9+0.1*(TabResultados3[[#This Row],[Jogos]]-20)/20,1))</f>
        <v>0.92500000000000004</v>
      </c>
      <c r="J11" s="22">
        <f ca="1">100*TabResultados3[[#This Row],[Aprov]]*TabResultados3[[#This Row],[KJogos]]</f>
        <v>29.6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42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20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22</v>
      </c>
      <c r="E13" s="3">
        <f t="shared" ca="1" si="0"/>
        <v>-2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3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5</v>
      </c>
      <c r="H13" s="4">
        <f t="shared" ca="1" si="1"/>
        <v>0.47619047619047616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47.619047619047613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39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26</v>
      </c>
      <c r="E14" s="3">
        <f t="shared" ca="1" si="0"/>
        <v>13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42</v>
      </c>
      <c r="H14" s="4">
        <f t="shared" ca="1" si="1"/>
        <v>0.6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60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98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52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46</v>
      </c>
      <c r="E19" s="3">
        <f t="shared" ca="1" si="0"/>
        <v>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9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5</v>
      </c>
      <c r="H19" s="4">
        <f t="shared" ca="1" si="1"/>
        <v>0.53061224489795922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53.061224489795919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2018-09-28T17:37:26Z</dcterms:modified>
</cp:coreProperties>
</file>
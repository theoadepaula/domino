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8_{0D722741-8D40-4F2A-ADCD-2A59620A07B4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<sst xmlns="http://schemas.openxmlformats.org/spreadsheetml/2006/main" count="7372" uniqueCount="55">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</sst>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ill>
        <patternFill patternType="solid">
          <bgColor theme="2"/>
        </patternFill>
      </fill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1832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2">
      <calculatedColumnFormula>IFERROR(C2/B2,-0.000001)</calculatedColumnFormula>
    </tableColumn>
    <tableColumn id="15" xr3:uid="{00000000-0010-0000-0100-00000F000000}" name="KJogos" dataDxfId="1">
      <calculatedColumnFormula>_xlfn.FORECAST.LINEAR(TabResultados3[[#This Row],[Jogos]],$N$10:$N$11,$M$9:$M$11)</calculatedColumnFormula>
    </tableColumn>
    <tableColumn id="9" xr3:uid="{00000000-0010-0000-0100-000009000000}" name="Pontuação" dataDxfId="0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832"/>
  <sheetViews>
    <sheetView tabSelected="1" zoomScale="80" zoomScaleNormal="80" workbookViewId="0">
      <pane ySplit="1" topLeftCell="A1787" activePane="bottomLeft" state="frozenSplit"/>
      <selection activeCell="D1" sqref="D1 D1"/>
      <selection pane="bottomLeft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73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32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41</v>
      </c>
      <c r="E2" s="3">
        <f t="shared" ref="E2:E28" ca="1" si="0">C2-D2</f>
        <v>-9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2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-38</v>
      </c>
      <c r="H2" s="4">
        <f t="shared" ref="H2:H28" ca="1" si="1">IFERROR(C2/B2,-0.000001)</f>
        <v>0.43835616438356162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43.835616438356162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114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63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51</v>
      </c>
      <c r="E3" s="3">
        <f t="shared" ca="1" si="0"/>
        <v>12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9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26</v>
      </c>
      <c r="H3" s="4">
        <f t="shared" ca="1" si="1"/>
        <v>0.55263157894736847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55.26315789473685</v>
      </c>
      <c r="L3" s="12" t="s">
        <v>36</v>
      </c>
      <c r="M3" s="14">
        <f ca="1">IF(DAY(TODAY())&lt;=3,DATE(YEAR(TODAY()),MONTH(TODAY())-1,1),DATE(YEAR(TODAY()),MONTH(TODAY()),1))</f>
        <v>43344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43373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84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48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36</v>
      </c>
      <c r="E5" s="3">
        <f t="shared" ca="1" si="0"/>
        <v>12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7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31</v>
      </c>
      <c r="H5" s="4">
        <f t="shared" ca="1" si="1"/>
        <v>0.5714285714285714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57.142857142857139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11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4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7</v>
      </c>
      <c r="E6" s="3">
        <f t="shared" ca="1" si="0"/>
        <v>-3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2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-2</v>
      </c>
      <c r="H6" s="4">
        <f t="shared" ca="1" si="1"/>
        <v>0.36363636363636365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75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33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42</v>
      </c>
      <c r="E7" s="3">
        <f t="shared" ca="1" si="0"/>
        <v>-9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-37</v>
      </c>
      <c r="H7" s="4">
        <f t="shared" ca="1" si="1"/>
        <v>0.44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44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34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15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19</v>
      </c>
      <c r="E8" s="3">
        <f t="shared" ca="1" si="0"/>
        <v>-4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0</v>
      </c>
      <c r="H8" s="4">
        <f t="shared" ca="1" si="1"/>
        <v>0.44117647058823528</v>
      </c>
      <c r="I8" s="29">
        <f ca="1">IF(TabResultados3[[#This Row],[Jogos]]&lt;20,0,IF(TabResultados3[[#This Row],[Jogos]]&lt;=40,0.9+0.1*(TabResultados3[[#This Row],[Jogos]]-20)/20,1))</f>
        <v>0.97</v>
      </c>
      <c r="J8" s="22">
        <f ca="1">100*TabResultados3[[#This Row],[Aprov]]*TabResultados3[[#This Row],[KJogos]]</f>
        <v>42.794117647058819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5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2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3</v>
      </c>
      <c r="E10" s="3">
        <f t="shared" ca="1" si="0"/>
        <v>-1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-3</v>
      </c>
      <c r="H10" s="4">
        <f t="shared" ca="1" si="1"/>
        <v>0.4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16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5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11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1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-17</v>
      </c>
      <c r="H11" s="4">
        <f t="shared" ca="1" si="1"/>
        <v>0.3125</v>
      </c>
      <c r="I11" s="29">
        <f ca="1">IF(TabResultados3[[#This Row],[Jogos]]&lt;20,0,IF(TabResultados3[[#This Row],[Jogos]]&lt;=40,0.9+0.1*(TabResultados3[[#This Row],[Jogos]]-20)/20,1))</f>
        <v>0</v>
      </c>
      <c r="J11" s="22">
        <f ca="1">100*TabResultados3[[#This Row],[Aprov]]*TabResultados3[[#This Row],[KJogos]]</f>
        <v>0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0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0</v>
      </c>
      <c r="E12" s="3">
        <f t="shared" ca="1" si="0"/>
        <v>0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0</v>
      </c>
      <c r="H12" s="4">
        <f t="shared" ca="1" si="1"/>
        <v>-9.9999999999999995E-7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20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12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8</v>
      </c>
      <c r="E13" s="3">
        <f t="shared" ca="1" si="0"/>
        <v>4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2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21</v>
      </c>
      <c r="H13" s="4">
        <f t="shared" ca="1" si="1"/>
        <v>0.6</v>
      </c>
      <c r="I13" s="29">
        <f ca="1">IF(TabResultados3[[#This Row],[Jogos]]&lt;20,0,IF(TabResultados3[[#This Row],[Jogos]]&lt;=40,0.9+0.1*(TabResultados3[[#This Row],[Jogos]]-20)/20,1))</f>
        <v>0.9</v>
      </c>
      <c r="J13" s="22">
        <f ca="1">100*TabResultados3[[#This Row],[Aprov]]*TabResultados3[[#This Row],[KJogos]]</f>
        <v>54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31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16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15</v>
      </c>
      <c r="E14" s="3">
        <f t="shared" ca="1" si="0"/>
        <v>1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-4</v>
      </c>
      <c r="H14" s="4">
        <f t="shared" ca="1" si="1"/>
        <v>0.5161290322580645</v>
      </c>
      <c r="I14" s="29">
        <f ca="1">IF(TabResultados3[[#This Row],[Jogos]]&lt;20,0,IF(TabResultados3[[#This Row],[Jogos]]&lt;=40,0.9+0.1*(TabResultados3[[#This Row],[Jogos]]-20)/20,1))</f>
        <v>0.95500000000000007</v>
      </c>
      <c r="J14" s="22">
        <f ca="1">100*TabResultados3[[#This Row],[Aprov]]*TabResultados3[[#This Row],[KJogos]]</f>
        <v>49.29032258064516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56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33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23</v>
      </c>
      <c r="E19" s="3">
        <f t="shared" ca="1" si="0"/>
        <v>10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6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34</v>
      </c>
      <c r="H19" s="4">
        <f t="shared" ca="1" si="1"/>
        <v>0.5892857142857143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58.928571428571431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3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2018-09-19T20:30:32Z</dcterms:modified>
</cp:coreProperties>
</file>
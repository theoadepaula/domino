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AD465525-F7F3-4F76-B700-63B010BDBBDC}" xr6:coauthVersionLast="44" xr6:coauthVersionMax="44" xr10:uidLastSave="{00000000-0000-0000-0000-000000000000}"/>
  <bookViews>
    <workbookView xWindow="1080" yWindow="1080" windowWidth="21600" windowHeight="11385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324" i="3" l="1"/>
  <c r="I432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273" i="3" l="1"/>
  <c r="I4262" i="3"/>
  <c r="I4263" i="3"/>
  <c r="I4264" i="3"/>
  <c r="I4265" i="3"/>
  <c r="I4266" i="3"/>
  <c r="I4267" i="3"/>
  <c r="I4268" i="3"/>
  <c r="I4269" i="3"/>
  <c r="I4270" i="3"/>
  <c r="I4271" i="3"/>
  <c r="I4272" i="3"/>
  <c r="I4274" i="3"/>
  <c r="I4252" i="3"/>
  <c r="I4253" i="3"/>
  <c r="I4254" i="3"/>
  <c r="I4255" i="3"/>
  <c r="I4256" i="3"/>
  <c r="I4257" i="3"/>
  <c r="I4258" i="3"/>
  <c r="I4259" i="3"/>
  <c r="I4260" i="3"/>
  <c r="I4261" i="3"/>
  <c r="I4237" i="3" l="1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25" i="3" l="1"/>
  <c r="I4226" i="3"/>
  <c r="I4227" i="3"/>
  <c r="I4228" i="3"/>
  <c r="I4229" i="3"/>
  <c r="I4230" i="3"/>
  <c r="I4231" i="3"/>
  <c r="I4232" i="3"/>
  <c r="I4233" i="3"/>
  <c r="I4234" i="3"/>
  <c r="I4235" i="3"/>
  <c r="I4236" i="3"/>
  <c r="I4215" i="3" l="1"/>
  <c r="I4216" i="3"/>
  <c r="I4217" i="3"/>
  <c r="I4218" i="3"/>
  <c r="I4219" i="3"/>
  <c r="I4220" i="3"/>
  <c r="I4221" i="3"/>
  <c r="I4222" i="3"/>
  <c r="I4223" i="3"/>
  <c r="I4224" i="3"/>
  <c r="I4204" i="3" l="1"/>
  <c r="I4205" i="3"/>
  <c r="I4206" i="3"/>
  <c r="I4207" i="3"/>
  <c r="I4208" i="3"/>
  <c r="I4209" i="3"/>
  <c r="I4210" i="3"/>
  <c r="I4211" i="3"/>
  <c r="I4212" i="3"/>
  <c r="I4213" i="3"/>
  <c r="I4214" i="3"/>
  <c r="I4192" i="3" l="1"/>
  <c r="I4193" i="3"/>
  <c r="I4194" i="3"/>
  <c r="I4195" i="3"/>
  <c r="I4196" i="3"/>
  <c r="I4197" i="3"/>
  <c r="I4198" i="3"/>
  <c r="I4199" i="3"/>
  <c r="I4200" i="3"/>
  <c r="I4201" i="3"/>
  <c r="I4202" i="3"/>
  <c r="I4203" i="3"/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<sst xmlns="http://schemas.openxmlformats.org/spreadsheetml/2006/main" count="17346" uniqueCount="64">
  <si>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</si>
  <si>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</si>
  <si>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</si>
  <si>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</si>
  <si>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</si>
  <si>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</si>
  <si>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</si>
  <si>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</si>
  <si>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</si>
  <si>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</si>
  <si>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</si>
  <si>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</si>
  <si>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</si>
  <si>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</si>
  <si>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</si>
  <si>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</si>
  <si>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</si>
  <si>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</si>
  <si>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</si>
  <si>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</si>
  <si>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</si>
  <si>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</si>
  <si>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</si>
  <si>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</si>
  <si>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</si>
  <si>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</si>
  <si>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</si>
  <si>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</si>
  <si>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</si>
  <si>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</si>
  <si>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</si>
  <si>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</si>
  <si>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</si>
  <si>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</si>
  <si>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</si>
  <si>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</si>
  <si>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</si>
  <si>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</si>
  <si>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</si>
  <si>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</si>
  <si>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</si>
  <si>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</si>
  <si>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</si>
  <si>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</si>
  <si>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</si>
  <si>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</si>
  <si>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</si>
  <si>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</si>
  <si>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</si>
  <si>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</si>
  <si>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</si>
  <si>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</si>
  <si>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</si>
  <si>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</si>
  <si>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</si>
  <si>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</si>
  <si>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</si>
  <si>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</si>
  <si>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</si>
  <si>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</si>
  <si>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</si>
  <si>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</si>
  <si>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</si>
  <si>
    <t xml:space="preserve"> Fabiana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</si>
</sst>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325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325"/>
  <sheetViews>
    <sheetView tabSelected="1" topLeftCell="C1" zoomScaleNormal="100" workbookViewId="0">
      <pane ySplit="1" topLeftCell="A4297" activePane="bottomLeft" state="frozenSplit"/>
      <selection activeCell="D1" sqref="D1 D1"/>
      <selection pane="bottomLeft" activeCell="C4325" sqref="C4325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A4192" s="7">
        <v>4191</v>
      </c>
      <c r="B4192" s="1">
        <v>43699</v>
      </c>
      <c r="C4192" s="6" t="s">
        <v>10</v>
      </c>
      <c r="D4192" s="6" t="s">
        <v>12</v>
      </c>
      <c r="E4192" s="6">
        <v>2</v>
      </c>
      <c r="F4192" s="6">
        <v>3</v>
      </c>
      <c r="G4192" s="6" t="s">
        <v>11</v>
      </c>
      <c r="H4192" s="6" t="s">
        <v>13</v>
      </c>
      <c r="I4192" s="6">
        <f>TabJogos[[#This Row],[PontosTime1]]-TabJogos[[#This Row],[PontosTime2]]</f>
        <v>-1</v>
      </c>
    </row>
    <row r="4193" spans="1:9" ht="15" customHeight="1" x14ac:dyDescent="0.25">
      <c r="A4193" s="7">
        <v>4192</v>
      </c>
      <c r="B4193" s="1">
        <v>43699</v>
      </c>
      <c r="C4193" s="6" t="s">
        <v>10</v>
      </c>
      <c r="D4193" s="6" t="s">
        <v>13</v>
      </c>
      <c r="E4193" s="6">
        <v>1</v>
      </c>
      <c r="F4193" s="6">
        <v>3</v>
      </c>
      <c r="G4193" s="6" t="s">
        <v>11</v>
      </c>
      <c r="H4193" s="6" t="s">
        <v>12</v>
      </c>
      <c r="I4193" s="6">
        <f>TabJogos[[#This Row],[PontosTime1]]-TabJogos[[#This Row],[PontosTime2]]</f>
        <v>-2</v>
      </c>
    </row>
    <row r="4194" spans="1:9" ht="15" customHeight="1" x14ac:dyDescent="0.25">
      <c r="A4194" s="7">
        <v>4193</v>
      </c>
      <c r="B4194" s="1">
        <v>43699</v>
      </c>
      <c r="C4194" s="6" t="s">
        <v>11</v>
      </c>
      <c r="D4194" s="6" t="s">
        <v>10</v>
      </c>
      <c r="E4194" s="6">
        <v>1</v>
      </c>
      <c r="F4194" s="6">
        <v>6</v>
      </c>
      <c r="G4194" s="6" t="s">
        <v>12</v>
      </c>
      <c r="H4194" s="6" t="s">
        <v>27</v>
      </c>
      <c r="I4194" s="6">
        <f>TabJogos[[#This Row],[PontosTime1]]-TabJogos[[#This Row],[PontosTime2]]</f>
        <v>-5</v>
      </c>
    </row>
    <row r="4195" spans="1:9" ht="15" customHeight="1" x14ac:dyDescent="0.25">
      <c r="A4195" s="7">
        <v>4194</v>
      </c>
      <c r="B4195" s="1">
        <v>43699</v>
      </c>
      <c r="C4195" s="6" t="s">
        <v>12</v>
      </c>
      <c r="D4195" s="6" t="s">
        <v>13</v>
      </c>
      <c r="E4195" s="6">
        <v>2</v>
      </c>
      <c r="F4195" s="6">
        <v>3</v>
      </c>
      <c r="G4195" s="6" t="s">
        <v>27</v>
      </c>
      <c r="H4195" s="6" t="s">
        <v>41</v>
      </c>
      <c r="I4195" s="6">
        <f>TabJogos[[#This Row],[PontosTime1]]-TabJogos[[#This Row],[PontosTime2]]</f>
        <v>-1</v>
      </c>
    </row>
    <row r="4196" spans="1:9" ht="15" customHeight="1" x14ac:dyDescent="0.25">
      <c r="A4196" s="7">
        <v>4195</v>
      </c>
      <c r="B4196" s="1">
        <v>43699</v>
      </c>
      <c r="C4196" s="6" t="s">
        <v>10</v>
      </c>
      <c r="D4196" s="6" t="s">
        <v>41</v>
      </c>
      <c r="E4196" s="6">
        <v>4</v>
      </c>
      <c r="F4196" s="6">
        <v>1</v>
      </c>
      <c r="G4196" s="6" t="s">
        <v>27</v>
      </c>
      <c r="H4196" s="6" t="s">
        <v>11</v>
      </c>
      <c r="I4196" s="6">
        <f>TabJogos[[#This Row],[PontosTime1]]-TabJogos[[#This Row],[PontosTime2]]</f>
        <v>3</v>
      </c>
    </row>
    <row r="4197" spans="1:9" ht="15" customHeight="1" x14ac:dyDescent="0.25">
      <c r="A4197" s="7">
        <v>4196</v>
      </c>
      <c r="B4197" s="1">
        <v>43699</v>
      </c>
      <c r="C4197" s="6" t="s">
        <v>10</v>
      </c>
      <c r="D4197" s="6" t="s">
        <v>13</v>
      </c>
      <c r="E4197" s="6">
        <v>3</v>
      </c>
      <c r="F4197" s="6">
        <v>0</v>
      </c>
      <c r="G4197" s="6" t="s">
        <v>11</v>
      </c>
      <c r="H4197" s="6" t="s">
        <v>41</v>
      </c>
      <c r="I4197" s="6">
        <f>TabJogos[[#This Row],[PontosTime1]]-TabJogos[[#This Row],[PontosTime2]]</f>
        <v>3</v>
      </c>
    </row>
    <row r="4198" spans="1:9" ht="15" customHeight="1" x14ac:dyDescent="0.25">
      <c r="A4198" s="7">
        <v>4197</v>
      </c>
      <c r="B4198" s="1">
        <v>43699</v>
      </c>
      <c r="C4198" s="6" t="s">
        <v>10</v>
      </c>
      <c r="D4198" s="6" t="s">
        <v>27</v>
      </c>
      <c r="E4198" s="6">
        <v>1</v>
      </c>
      <c r="F4198" s="6">
        <v>4</v>
      </c>
      <c r="G4198" s="6" t="s">
        <v>11</v>
      </c>
      <c r="H4198" s="6" t="s">
        <v>13</v>
      </c>
      <c r="I4198" s="6">
        <f>TabJogos[[#This Row],[PontosTime1]]-TabJogos[[#This Row],[PontosTime2]]</f>
        <v>-3</v>
      </c>
    </row>
    <row r="4199" spans="1:9" ht="15" customHeight="1" x14ac:dyDescent="0.25">
      <c r="A4199" s="7">
        <v>4198</v>
      </c>
      <c r="B4199" s="1">
        <v>43699</v>
      </c>
      <c r="C4199" s="6" t="s">
        <v>11</v>
      </c>
      <c r="D4199" s="6" t="s">
        <v>32</v>
      </c>
      <c r="E4199" s="6">
        <v>3</v>
      </c>
      <c r="F4199" s="6">
        <v>2</v>
      </c>
      <c r="G4199" s="6" t="s">
        <v>13</v>
      </c>
      <c r="H4199" s="6" t="s">
        <v>41</v>
      </c>
      <c r="I4199" s="6">
        <f>TabJogos[[#This Row],[PontosTime1]]-TabJogos[[#This Row],[PontosTime2]]</f>
        <v>1</v>
      </c>
    </row>
    <row r="4200" spans="1:9" ht="15" customHeight="1" x14ac:dyDescent="0.25">
      <c r="A4200" s="7">
        <v>4199</v>
      </c>
      <c r="B4200" s="1">
        <v>43699</v>
      </c>
      <c r="C4200" s="6" t="s">
        <v>32</v>
      </c>
      <c r="D4200" s="6" t="s">
        <v>10</v>
      </c>
      <c r="E4200" s="6">
        <v>3</v>
      </c>
      <c r="F4200" s="6">
        <v>0</v>
      </c>
      <c r="G4200" s="6" t="s">
        <v>27</v>
      </c>
      <c r="H4200" s="6" t="s">
        <v>11</v>
      </c>
      <c r="I4200" s="6">
        <f>TabJogos[[#This Row],[PontosTime1]]-TabJogos[[#This Row],[PontosTime2]]</f>
        <v>3</v>
      </c>
    </row>
    <row r="4201" spans="1:9" ht="15" customHeight="1" x14ac:dyDescent="0.25">
      <c r="A4201" s="7">
        <v>4200</v>
      </c>
      <c r="B4201" s="1">
        <v>43699</v>
      </c>
      <c r="C4201" s="6" t="s">
        <v>32</v>
      </c>
      <c r="D4201" s="6" t="s">
        <v>41</v>
      </c>
      <c r="E4201" s="6">
        <v>3</v>
      </c>
      <c r="F4201" s="6">
        <v>1</v>
      </c>
      <c r="G4201" s="6" t="s">
        <v>10</v>
      </c>
      <c r="H4201" s="6" t="s">
        <v>13</v>
      </c>
      <c r="I4201" s="6">
        <f>TabJogos[[#This Row],[PontosTime1]]-TabJogos[[#This Row],[PontosTime2]]</f>
        <v>2</v>
      </c>
    </row>
    <row r="4202" spans="1:9" ht="15" customHeight="1" x14ac:dyDescent="0.25">
      <c r="A4202" s="7">
        <v>4201</v>
      </c>
      <c r="B4202" s="1">
        <v>43699</v>
      </c>
      <c r="C4202" s="6" t="s">
        <v>11</v>
      </c>
      <c r="D4202" s="6" t="s">
        <v>41</v>
      </c>
      <c r="E4202" s="6">
        <v>3</v>
      </c>
      <c r="F4202" s="6">
        <v>0</v>
      </c>
      <c r="G4202" s="6" t="s">
        <v>13</v>
      </c>
      <c r="H4202" s="6" t="s">
        <v>32</v>
      </c>
      <c r="I4202" s="6">
        <f>TabJogos[[#This Row],[PontosTime1]]-TabJogos[[#This Row],[PontosTime2]]</f>
        <v>3</v>
      </c>
    </row>
    <row r="4203" spans="1:9" ht="15" customHeight="1" x14ac:dyDescent="0.25">
      <c r="A4203" s="7">
        <v>4202</v>
      </c>
      <c r="B4203" s="1">
        <v>43699</v>
      </c>
      <c r="C4203" s="6" t="s">
        <v>11</v>
      </c>
      <c r="D4203" s="6" t="s">
        <v>32</v>
      </c>
      <c r="E4203" s="6">
        <v>5</v>
      </c>
      <c r="F4203" s="6">
        <v>1</v>
      </c>
      <c r="G4203" s="6" t="s">
        <v>13</v>
      </c>
      <c r="H4203" s="6" t="s">
        <v>41</v>
      </c>
      <c r="I4203" s="6">
        <f>TabJogos[[#This Row],[PontosTime1]]-TabJogos[[#This Row],[PontosTime2]]</f>
        <v>4</v>
      </c>
    </row>
    <row r="4204" spans="1:9" ht="15" customHeight="1" x14ac:dyDescent="0.25">
      <c r="A4204" s="7">
        <v>4203</v>
      </c>
      <c r="B4204" s="1">
        <v>43700</v>
      </c>
      <c r="C4204" s="6" t="s">
        <v>18</v>
      </c>
      <c r="D4204" s="6" t="s">
        <v>10</v>
      </c>
      <c r="E4204" s="6">
        <v>1</v>
      </c>
      <c r="F4204" s="6">
        <v>3</v>
      </c>
      <c r="G4204" s="6" t="s">
        <v>11</v>
      </c>
      <c r="H4204" s="6" t="s">
        <v>12</v>
      </c>
      <c r="I4204" s="6">
        <f>TabJogos[[#This Row],[PontosTime1]]-TabJogos[[#This Row],[PontosTime2]]</f>
        <v>-2</v>
      </c>
    </row>
    <row r="4205" spans="1:9" ht="15" customHeight="1" x14ac:dyDescent="0.25">
      <c r="A4205" s="7">
        <v>4204</v>
      </c>
      <c r="B4205" s="1">
        <v>43700</v>
      </c>
      <c r="C4205" s="6" t="s">
        <v>11</v>
      </c>
      <c r="D4205" s="6" t="s">
        <v>10</v>
      </c>
      <c r="E4205" s="6">
        <v>1</v>
      </c>
      <c r="F4205" s="6">
        <v>4</v>
      </c>
      <c r="G4205" s="6" t="s">
        <v>18</v>
      </c>
      <c r="H4205" s="6" t="s">
        <v>12</v>
      </c>
      <c r="I4205" s="6">
        <f>TabJogos[[#This Row],[PontosTime1]]-TabJogos[[#This Row],[PontosTime2]]</f>
        <v>-3</v>
      </c>
    </row>
    <row r="4206" spans="1:9" ht="15" customHeight="1" x14ac:dyDescent="0.25">
      <c r="A4206" s="7">
        <v>4205</v>
      </c>
      <c r="B4206" s="1">
        <v>43700</v>
      </c>
      <c r="C4206" s="6" t="s">
        <v>12</v>
      </c>
      <c r="D4206" s="6" t="s">
        <v>10</v>
      </c>
      <c r="E4206" s="6">
        <v>1</v>
      </c>
      <c r="F4206" s="6">
        <v>4</v>
      </c>
      <c r="G4206" s="6" t="s">
        <v>13</v>
      </c>
      <c r="H4206" s="6" t="s">
        <v>18</v>
      </c>
      <c r="I4206" s="6">
        <f>TabJogos[[#This Row],[PontosTime1]]-TabJogos[[#This Row],[PontosTime2]]</f>
        <v>-3</v>
      </c>
    </row>
    <row r="4207" spans="1:9" ht="15" customHeight="1" x14ac:dyDescent="0.25">
      <c r="A4207" s="7">
        <v>4206</v>
      </c>
      <c r="B4207" s="1">
        <v>43700</v>
      </c>
      <c r="C4207" s="6" t="s">
        <v>11</v>
      </c>
      <c r="D4207" s="6" t="s">
        <v>18</v>
      </c>
      <c r="E4207" s="6">
        <v>0</v>
      </c>
      <c r="F4207" s="6">
        <v>3</v>
      </c>
      <c r="G4207" s="6" t="s">
        <v>13</v>
      </c>
      <c r="H4207" s="6" t="s">
        <v>10</v>
      </c>
      <c r="I4207" s="6">
        <f>TabJogos[[#This Row],[PontosTime1]]-TabJogos[[#This Row],[PontosTime2]]</f>
        <v>-3</v>
      </c>
    </row>
    <row r="4208" spans="1:9" ht="15" customHeight="1" x14ac:dyDescent="0.25">
      <c r="A4208" s="7">
        <v>4207</v>
      </c>
      <c r="B4208" s="1">
        <v>43700</v>
      </c>
      <c r="C4208" s="6" t="s">
        <v>11</v>
      </c>
      <c r="D4208" s="6" t="s">
        <v>13</v>
      </c>
      <c r="E4208" s="6">
        <v>2</v>
      </c>
      <c r="F4208" s="6">
        <v>3</v>
      </c>
      <c r="G4208" s="6" t="s">
        <v>10</v>
      </c>
      <c r="H4208" s="6" t="s">
        <v>18</v>
      </c>
      <c r="I4208" s="6">
        <f>TabJogos[[#This Row],[PontosTime1]]-TabJogos[[#This Row],[PontosTime2]]</f>
        <v>-1</v>
      </c>
    </row>
    <row r="4209" spans="1:9" ht="15" customHeight="1" x14ac:dyDescent="0.25">
      <c r="A4209" s="7">
        <v>4208</v>
      </c>
      <c r="B4209" s="1">
        <v>43700</v>
      </c>
      <c r="C4209" s="6" t="s">
        <v>18</v>
      </c>
      <c r="D4209" s="6" t="s">
        <v>41</v>
      </c>
      <c r="E4209" s="6">
        <v>6</v>
      </c>
      <c r="F4209" s="6">
        <v>1</v>
      </c>
      <c r="G4209" s="6" t="s">
        <v>10</v>
      </c>
      <c r="H4209" s="6" t="s">
        <v>11</v>
      </c>
      <c r="I4209" s="6">
        <f>TabJogos[[#This Row],[PontosTime1]]-TabJogos[[#This Row],[PontosTime2]]</f>
        <v>5</v>
      </c>
    </row>
    <row r="4210" spans="1:9" ht="15" customHeight="1" x14ac:dyDescent="0.25">
      <c r="A4210" s="7">
        <v>4209</v>
      </c>
      <c r="B4210" s="1">
        <v>43700</v>
      </c>
      <c r="C4210" s="6" t="s">
        <v>13</v>
      </c>
      <c r="D4210" s="6" t="s">
        <v>41</v>
      </c>
      <c r="E4210" s="6">
        <v>3</v>
      </c>
      <c r="F4210" s="6">
        <v>0</v>
      </c>
      <c r="G4210" s="6" t="s">
        <v>11</v>
      </c>
      <c r="H4210" s="6" t="s">
        <v>18</v>
      </c>
      <c r="I4210" s="6">
        <f>TabJogos[[#This Row],[PontosTime1]]-TabJogos[[#This Row],[PontosTime2]]</f>
        <v>3</v>
      </c>
    </row>
    <row r="4211" spans="1:9" ht="15" customHeight="1" x14ac:dyDescent="0.25">
      <c r="A4211" s="7">
        <v>4210</v>
      </c>
      <c r="B4211" s="1">
        <v>43700</v>
      </c>
      <c r="C4211" s="6" t="s">
        <v>10</v>
      </c>
      <c r="D4211" s="6" t="s">
        <v>13</v>
      </c>
      <c r="E4211" s="6">
        <v>5</v>
      </c>
      <c r="F4211" s="6">
        <v>2</v>
      </c>
      <c r="G4211" s="6" t="s">
        <v>11</v>
      </c>
      <c r="H4211" s="6" t="s">
        <v>41</v>
      </c>
      <c r="I4211" s="6">
        <f>TabJogos[[#This Row],[PontosTime1]]-TabJogos[[#This Row],[PontosTime2]]</f>
        <v>3</v>
      </c>
    </row>
    <row r="4212" spans="1:9" ht="15" customHeight="1" x14ac:dyDescent="0.25">
      <c r="A4212" s="7">
        <v>4211</v>
      </c>
      <c r="B4212" s="1">
        <v>43700</v>
      </c>
      <c r="C4212" s="6" t="s">
        <v>13</v>
      </c>
      <c r="D4212" s="6" t="s">
        <v>18</v>
      </c>
      <c r="E4212" s="6">
        <v>3</v>
      </c>
      <c r="F4212" s="6">
        <v>2</v>
      </c>
      <c r="G4212" s="6" t="s">
        <v>11</v>
      </c>
      <c r="H4212" s="6" t="s">
        <v>10</v>
      </c>
      <c r="I4212" s="6">
        <f>TabJogos[[#This Row],[PontosTime1]]-TabJogos[[#This Row],[PontosTime2]]</f>
        <v>1</v>
      </c>
    </row>
    <row r="4213" spans="1:9" ht="15" customHeight="1" x14ac:dyDescent="0.25">
      <c r="A4213" s="7">
        <v>4212</v>
      </c>
      <c r="B4213" s="1">
        <v>43700</v>
      </c>
      <c r="C4213" s="6" t="s">
        <v>11</v>
      </c>
      <c r="D4213" s="6" t="s">
        <v>13</v>
      </c>
      <c r="E4213" s="6">
        <v>1</v>
      </c>
      <c r="F4213" s="6">
        <v>4</v>
      </c>
      <c r="G4213" s="6" t="s">
        <v>10</v>
      </c>
      <c r="H4213" s="6" t="s">
        <v>18</v>
      </c>
      <c r="I4213" s="6">
        <f>TabJogos[[#This Row],[PontosTime1]]-TabJogos[[#This Row],[PontosTime2]]</f>
        <v>-3</v>
      </c>
    </row>
    <row r="4214" spans="1:9" ht="15" customHeight="1" x14ac:dyDescent="0.25">
      <c r="A4214" s="7">
        <v>4213</v>
      </c>
      <c r="B4214" s="1">
        <v>43700</v>
      </c>
      <c r="C4214" s="6" t="s">
        <v>41</v>
      </c>
      <c r="D4214" s="6" t="s">
        <v>13</v>
      </c>
      <c r="E4214" s="6">
        <v>3</v>
      </c>
      <c r="F4214" s="6">
        <v>2</v>
      </c>
      <c r="G4214" s="6" t="s">
        <v>11</v>
      </c>
      <c r="H4214" s="6" t="s">
        <v>18</v>
      </c>
      <c r="I4214" s="6">
        <f>TabJogos[[#This Row],[PontosTime1]]-TabJogos[[#This Row],[PontosTime2]]</f>
        <v>1</v>
      </c>
    </row>
    <row r="4215" spans="1:9" ht="15" customHeight="1" x14ac:dyDescent="0.25">
      <c r="A4215" s="7">
        <v>4214</v>
      </c>
      <c r="B4215" s="1">
        <v>43703</v>
      </c>
      <c r="C4215" s="6" t="s">
        <v>32</v>
      </c>
      <c r="D4215" s="6" t="s">
        <v>11</v>
      </c>
      <c r="E4215" s="6">
        <v>3</v>
      </c>
      <c r="F4215" s="6">
        <v>1</v>
      </c>
      <c r="G4215" s="6" t="s">
        <v>13</v>
      </c>
      <c r="H4215" s="6" t="s">
        <v>18</v>
      </c>
      <c r="I4215" s="6">
        <f>TabJogos[[#This Row],[PontosTime1]]-TabJogos[[#This Row],[PontosTime2]]</f>
        <v>2</v>
      </c>
    </row>
    <row r="4216" spans="1:9" ht="15" customHeight="1" x14ac:dyDescent="0.25">
      <c r="A4216" s="7">
        <v>4215</v>
      </c>
      <c r="B4216" s="1">
        <v>43703</v>
      </c>
      <c r="C4216" s="6" t="s">
        <v>11</v>
      </c>
      <c r="D4216" s="6" t="s">
        <v>18</v>
      </c>
      <c r="E4216" s="6">
        <v>3</v>
      </c>
      <c r="F4216" s="6">
        <v>1</v>
      </c>
      <c r="G4216" s="6" t="s">
        <v>13</v>
      </c>
      <c r="H4216" s="6" t="s">
        <v>32</v>
      </c>
      <c r="I4216" s="6">
        <f>TabJogos[[#This Row],[PontosTime1]]-TabJogos[[#This Row],[PontosTime2]]</f>
        <v>2</v>
      </c>
    </row>
    <row r="4217" spans="1:9" ht="15" customHeight="1" x14ac:dyDescent="0.25">
      <c r="A4217" s="7">
        <v>4216</v>
      </c>
      <c r="B4217" s="1">
        <v>43703</v>
      </c>
      <c r="C4217" s="6" t="s">
        <v>11</v>
      </c>
      <c r="D4217" s="6" t="s">
        <v>41</v>
      </c>
      <c r="E4217" s="6">
        <v>1</v>
      </c>
      <c r="F4217" s="6">
        <v>3</v>
      </c>
      <c r="G4217" s="6" t="s">
        <v>32</v>
      </c>
      <c r="H4217" s="6" t="s">
        <v>18</v>
      </c>
      <c r="I4217" s="6">
        <f>TabJogos[[#This Row],[PontosTime1]]-TabJogos[[#This Row],[PontosTime2]]</f>
        <v>-2</v>
      </c>
    </row>
    <row r="4218" spans="1:9" ht="15" customHeight="1" x14ac:dyDescent="0.25">
      <c r="A4218" s="7">
        <v>4217</v>
      </c>
      <c r="B4218" s="1">
        <v>43703</v>
      </c>
      <c r="C4218" s="6" t="s">
        <v>16</v>
      </c>
      <c r="D4218" s="6" t="s">
        <v>32</v>
      </c>
      <c r="E4218" s="6">
        <v>5</v>
      </c>
      <c r="F4218" s="6">
        <v>1</v>
      </c>
      <c r="G4218" s="6" t="s">
        <v>13</v>
      </c>
      <c r="H4218" s="6" t="s">
        <v>18</v>
      </c>
      <c r="I4218" s="6">
        <f>TabJogos[[#This Row],[PontosTime1]]-TabJogos[[#This Row],[PontosTime2]]</f>
        <v>4</v>
      </c>
    </row>
    <row r="4219" spans="1:9" ht="15" customHeight="1" x14ac:dyDescent="0.25">
      <c r="A4219" s="7">
        <v>4218</v>
      </c>
      <c r="B4219" s="1">
        <v>43703</v>
      </c>
      <c r="C4219" s="6" t="s">
        <v>16</v>
      </c>
      <c r="D4219" s="6" t="s">
        <v>11</v>
      </c>
      <c r="E4219" s="6">
        <v>3</v>
      </c>
      <c r="F4219" s="6">
        <v>0</v>
      </c>
      <c r="G4219" s="6" t="s">
        <v>41</v>
      </c>
      <c r="H4219" s="6" t="s">
        <v>32</v>
      </c>
      <c r="I4219" s="6">
        <f>TabJogos[[#This Row],[PontosTime1]]-TabJogos[[#This Row],[PontosTime2]]</f>
        <v>3</v>
      </c>
    </row>
    <row r="4220" spans="1:9" ht="15" customHeight="1" x14ac:dyDescent="0.25">
      <c r="A4220" s="7">
        <v>4219</v>
      </c>
      <c r="B4220" s="1">
        <v>43703</v>
      </c>
      <c r="C4220" s="6" t="s">
        <v>16</v>
      </c>
      <c r="D4220" s="6" t="s">
        <v>18</v>
      </c>
      <c r="E4220" s="6">
        <v>3</v>
      </c>
      <c r="F4220" s="6">
        <v>2</v>
      </c>
      <c r="G4220" s="6" t="s">
        <v>11</v>
      </c>
      <c r="H4220" s="6" t="s">
        <v>13</v>
      </c>
      <c r="I4220" s="6">
        <f>TabJogos[[#This Row],[PontosTime1]]-TabJogos[[#This Row],[PontosTime2]]</f>
        <v>1</v>
      </c>
    </row>
    <row r="4221" spans="1:9" ht="15" customHeight="1" x14ac:dyDescent="0.25">
      <c r="A4221" s="7">
        <v>4220</v>
      </c>
      <c r="B4221" s="1">
        <v>43703</v>
      </c>
      <c r="C4221" s="6" t="s">
        <v>16</v>
      </c>
      <c r="D4221" s="6" t="s">
        <v>41</v>
      </c>
      <c r="E4221" s="6">
        <v>0</v>
      </c>
      <c r="F4221" s="6">
        <v>3</v>
      </c>
      <c r="G4221" s="6" t="s">
        <v>32</v>
      </c>
      <c r="H4221" s="6" t="s">
        <v>18</v>
      </c>
      <c r="I4221" s="6">
        <f>TabJogos[[#This Row],[PontosTime1]]-TabJogos[[#This Row],[PontosTime2]]</f>
        <v>-3</v>
      </c>
    </row>
    <row r="4222" spans="1:9" ht="15" customHeight="1" x14ac:dyDescent="0.25">
      <c r="A4222" s="7">
        <v>4221</v>
      </c>
      <c r="B4222" s="1">
        <v>43703</v>
      </c>
      <c r="C4222" s="6" t="s">
        <v>11</v>
      </c>
      <c r="D4222" s="6" t="s">
        <v>32</v>
      </c>
      <c r="E4222" s="6">
        <v>1</v>
      </c>
      <c r="F4222" s="6">
        <v>3</v>
      </c>
      <c r="G4222" s="6" t="s">
        <v>13</v>
      </c>
      <c r="H4222" s="6" t="s">
        <v>11</v>
      </c>
      <c r="I4222" s="6">
        <f>TabJogos[[#This Row],[PontosTime1]]-TabJogos[[#This Row],[PontosTime2]]</f>
        <v>-2</v>
      </c>
    </row>
    <row r="4223" spans="1:9" ht="15" customHeight="1" x14ac:dyDescent="0.25">
      <c r="A4223" s="7">
        <v>4222</v>
      </c>
      <c r="B4223" s="1">
        <v>43703</v>
      </c>
      <c r="C4223" s="6" t="s">
        <v>32</v>
      </c>
      <c r="D4223" s="6" t="s">
        <v>13</v>
      </c>
      <c r="E4223" s="6">
        <v>3</v>
      </c>
      <c r="F4223" s="6">
        <v>2</v>
      </c>
      <c r="G4223" s="6" t="s">
        <v>18</v>
      </c>
      <c r="H4223" s="6" t="s">
        <v>41</v>
      </c>
      <c r="I4223" s="6">
        <f>TabJogos[[#This Row],[PontosTime1]]-TabJogos[[#This Row],[PontosTime2]]</f>
        <v>1</v>
      </c>
    </row>
    <row r="4224" spans="1:9" ht="15" customHeight="1" x14ac:dyDescent="0.25">
      <c r="A4224" s="7">
        <v>4223</v>
      </c>
      <c r="B4224" s="1">
        <v>43703</v>
      </c>
      <c r="C4224" s="6" t="s">
        <v>11</v>
      </c>
      <c r="D4224" s="6" t="s">
        <v>13</v>
      </c>
      <c r="E4224" s="6">
        <v>1</v>
      </c>
      <c r="F4224" s="6">
        <v>5</v>
      </c>
      <c r="G4224" s="6" t="s">
        <v>18</v>
      </c>
      <c r="H4224" s="6" t="s">
        <v>32</v>
      </c>
      <c r="I4224" s="6">
        <f>TabJogos[[#This Row],[PontosTime1]]-TabJogos[[#This Row],[PontosTime2]]</f>
        <v>-4</v>
      </c>
    </row>
    <row r="4225" spans="1:9" ht="15" customHeight="1" x14ac:dyDescent="0.25">
      <c r="A4225" s="7">
        <v>4224</v>
      </c>
      <c r="B4225" s="1">
        <v>43704</v>
      </c>
      <c r="C4225" s="6" t="s">
        <v>11</v>
      </c>
      <c r="D4225" s="6" t="s">
        <v>18</v>
      </c>
      <c r="E4225" s="6">
        <v>3</v>
      </c>
      <c r="F4225" s="6">
        <v>0</v>
      </c>
      <c r="G4225" s="6" t="s">
        <v>13</v>
      </c>
      <c r="H4225" s="6" t="s">
        <v>12</v>
      </c>
      <c r="I4225" s="6">
        <f>TabJogos[[#This Row],[PontosTime1]]-TabJogos[[#This Row],[PontosTime2]]</f>
        <v>3</v>
      </c>
    </row>
    <row r="4226" spans="1:9" ht="15" customHeight="1" x14ac:dyDescent="0.25">
      <c r="A4226" s="7">
        <v>4225</v>
      </c>
      <c r="B4226" s="1">
        <v>43704</v>
      </c>
      <c r="C4226" s="6" t="s">
        <v>18</v>
      </c>
      <c r="D4226" s="6" t="s">
        <v>12</v>
      </c>
      <c r="E4226" s="6">
        <v>3</v>
      </c>
      <c r="F4226" s="6">
        <v>1</v>
      </c>
      <c r="G4226" s="6" t="s">
        <v>11</v>
      </c>
      <c r="H4226" s="6" t="s">
        <v>27</v>
      </c>
      <c r="I4226" s="6">
        <f>TabJogos[[#This Row],[PontosTime1]]-TabJogos[[#This Row],[PontosTime2]]</f>
        <v>2</v>
      </c>
    </row>
    <row r="4227" spans="1:9" ht="15" customHeight="1" x14ac:dyDescent="0.25">
      <c r="A4227" s="7">
        <v>4226</v>
      </c>
      <c r="B4227" s="1">
        <v>43704</v>
      </c>
      <c r="C4227" s="6" t="s">
        <v>18</v>
      </c>
      <c r="D4227" s="6" t="s">
        <v>13</v>
      </c>
      <c r="E4227" s="6">
        <v>3</v>
      </c>
      <c r="F4227" s="6">
        <v>2</v>
      </c>
      <c r="G4227" s="6" t="s">
        <v>41</v>
      </c>
      <c r="H4227" s="6" t="s">
        <v>12</v>
      </c>
      <c r="I4227" s="6">
        <f>TabJogos[[#This Row],[PontosTime1]]-TabJogos[[#This Row],[PontosTime2]]</f>
        <v>1</v>
      </c>
    </row>
    <row r="4228" spans="1:9" ht="15" customHeight="1" x14ac:dyDescent="0.25">
      <c r="A4228" s="7">
        <v>4227</v>
      </c>
      <c r="B4228" s="1">
        <v>43704</v>
      </c>
      <c r="C4228" s="6" t="s">
        <v>11</v>
      </c>
      <c r="D4228" s="6" t="s">
        <v>13</v>
      </c>
      <c r="E4228" s="6">
        <v>3</v>
      </c>
      <c r="F4228" s="6">
        <v>1</v>
      </c>
      <c r="G4228" s="6" t="s">
        <v>18</v>
      </c>
      <c r="H4228" s="6" t="s">
        <v>27</v>
      </c>
      <c r="I4228" s="6">
        <f>TabJogos[[#This Row],[PontosTime1]]-TabJogos[[#This Row],[PontosTime2]]</f>
        <v>2</v>
      </c>
    </row>
    <row r="4229" spans="1:9" ht="15" customHeight="1" x14ac:dyDescent="0.25">
      <c r="A4229" s="7">
        <v>4228</v>
      </c>
      <c r="B4229" s="1">
        <v>43704</v>
      </c>
      <c r="C4229" s="6" t="s">
        <v>11</v>
      </c>
      <c r="D4229" s="6" t="s">
        <v>32</v>
      </c>
      <c r="E4229" s="6">
        <v>3</v>
      </c>
      <c r="F4229" s="6">
        <v>2</v>
      </c>
      <c r="G4229" s="6" t="s">
        <v>13</v>
      </c>
      <c r="H4229" s="6" t="s">
        <v>41</v>
      </c>
      <c r="I4229" s="6">
        <f>TabJogos[[#This Row],[PontosTime1]]-TabJogos[[#This Row],[PontosTime2]]</f>
        <v>1</v>
      </c>
    </row>
    <row r="4230" spans="1:9" ht="15" customHeight="1" x14ac:dyDescent="0.25">
      <c r="A4230" s="7">
        <v>4229</v>
      </c>
      <c r="B4230" s="1">
        <v>43704</v>
      </c>
      <c r="C4230" s="6" t="s">
        <v>11</v>
      </c>
      <c r="D4230" s="6" t="s">
        <v>27</v>
      </c>
      <c r="E4230" s="6">
        <v>0</v>
      </c>
      <c r="F4230" s="6">
        <v>4</v>
      </c>
      <c r="G4230" s="6" t="s">
        <v>18</v>
      </c>
      <c r="H4230" s="6" t="s">
        <v>32</v>
      </c>
      <c r="I4230" s="6">
        <f>TabJogos[[#This Row],[PontosTime1]]-TabJogos[[#This Row],[PontosTime2]]</f>
        <v>-4</v>
      </c>
    </row>
    <row r="4231" spans="1:9" ht="15" customHeight="1" x14ac:dyDescent="0.25">
      <c r="A4231" s="7">
        <v>4230</v>
      </c>
      <c r="B4231" s="1">
        <v>43704</v>
      </c>
      <c r="C4231" s="6" t="s">
        <v>41</v>
      </c>
      <c r="D4231" s="6" t="s">
        <v>18</v>
      </c>
      <c r="E4231" s="6">
        <v>1</v>
      </c>
      <c r="F4231" s="6">
        <v>3</v>
      </c>
      <c r="G4231" s="6" t="s">
        <v>32</v>
      </c>
      <c r="H4231" s="6" t="s">
        <v>13</v>
      </c>
      <c r="I4231" s="6">
        <f>TabJogos[[#This Row],[PontosTime1]]-TabJogos[[#This Row],[PontosTime2]]</f>
        <v>-2</v>
      </c>
    </row>
    <row r="4232" spans="1:9" ht="15" customHeight="1" x14ac:dyDescent="0.25">
      <c r="A4232" s="7">
        <v>4231</v>
      </c>
      <c r="B4232" s="1">
        <v>43704</v>
      </c>
      <c r="C4232" s="6" t="s">
        <v>13</v>
      </c>
      <c r="D4232" s="6" t="s">
        <v>11</v>
      </c>
      <c r="E4232" s="6">
        <v>1</v>
      </c>
      <c r="F4232" s="6">
        <v>6</v>
      </c>
      <c r="G4232" s="6" t="s">
        <v>32</v>
      </c>
      <c r="H4232" s="6" t="s">
        <v>13</v>
      </c>
      <c r="I4232" s="6">
        <f>TabJogos[[#This Row],[PontosTime1]]-TabJogos[[#This Row],[PontosTime2]]</f>
        <v>-5</v>
      </c>
    </row>
    <row r="4233" spans="1:9" ht="15" customHeight="1" x14ac:dyDescent="0.25">
      <c r="A4233" s="7">
        <v>4232</v>
      </c>
      <c r="B4233" s="1">
        <v>43704</v>
      </c>
      <c r="C4233" s="6" t="s">
        <v>27</v>
      </c>
      <c r="D4233" s="6" t="s">
        <v>18</v>
      </c>
      <c r="E4233" s="6">
        <v>6</v>
      </c>
      <c r="F4233" s="6">
        <v>0</v>
      </c>
      <c r="G4233" s="6" t="s">
        <v>41</v>
      </c>
      <c r="H4233" s="6" t="s">
        <v>32</v>
      </c>
      <c r="I4233" s="6">
        <f>TabJogos[[#This Row],[PontosTime1]]-TabJogos[[#This Row],[PontosTime2]]</f>
        <v>6</v>
      </c>
    </row>
    <row r="4234" spans="1:9" ht="15" customHeight="1" x14ac:dyDescent="0.25">
      <c r="A4234" s="7">
        <v>4233</v>
      </c>
      <c r="B4234" s="1">
        <v>43704</v>
      </c>
      <c r="C4234" s="6" t="s">
        <v>27</v>
      </c>
      <c r="D4234" s="6" t="s">
        <v>13</v>
      </c>
      <c r="E4234" s="6">
        <v>3</v>
      </c>
      <c r="F4234" s="6">
        <v>2</v>
      </c>
      <c r="G4234" s="6" t="s">
        <v>18</v>
      </c>
      <c r="H4234" s="6" t="s">
        <v>11</v>
      </c>
      <c r="I4234" s="6">
        <f>TabJogos[[#This Row],[PontosTime1]]-TabJogos[[#This Row],[PontosTime2]]</f>
        <v>1</v>
      </c>
    </row>
    <row r="4235" spans="1:9" ht="15" customHeight="1" x14ac:dyDescent="0.25">
      <c r="A4235" s="7">
        <v>4234</v>
      </c>
      <c r="B4235" s="1">
        <v>43704</v>
      </c>
      <c r="C4235" s="6" t="s">
        <v>32</v>
      </c>
      <c r="D4235" s="6" t="s">
        <v>13</v>
      </c>
      <c r="E4235" s="6">
        <v>3</v>
      </c>
      <c r="F4235" s="6">
        <v>0</v>
      </c>
      <c r="G4235" s="6" t="s">
        <v>41</v>
      </c>
      <c r="H4235" s="6" t="s">
        <v>27</v>
      </c>
      <c r="I4235" s="6">
        <f>TabJogos[[#This Row],[PontosTime1]]-TabJogos[[#This Row],[PontosTime2]]</f>
        <v>3</v>
      </c>
    </row>
    <row r="4236" spans="1:9" ht="15" customHeight="1" x14ac:dyDescent="0.25">
      <c r="A4236" s="7">
        <v>4235</v>
      </c>
      <c r="B4236" s="1">
        <v>43704</v>
      </c>
      <c r="C4236" s="6" t="s">
        <v>11</v>
      </c>
      <c r="D4236" s="6" t="s">
        <v>32</v>
      </c>
      <c r="E4236" s="6">
        <v>4</v>
      </c>
      <c r="F4236" s="6">
        <v>2</v>
      </c>
      <c r="G4236" s="6" t="s">
        <v>18</v>
      </c>
      <c r="H4236" s="6" t="s">
        <v>13</v>
      </c>
      <c r="I4236" s="6">
        <f>TabJogos[[#This Row],[PontosTime1]]-TabJogos[[#This Row],[PontosTime2]]</f>
        <v>2</v>
      </c>
    </row>
    <row r="4237" spans="1:9" ht="15" customHeight="1" x14ac:dyDescent="0.25">
      <c r="A4237" s="7">
        <v>4236</v>
      </c>
      <c r="B4237" s="1">
        <v>43705</v>
      </c>
      <c r="C4237" s="6" t="s">
        <v>10</v>
      </c>
      <c r="D4237" s="6" t="s">
        <v>12</v>
      </c>
      <c r="E4237" s="6">
        <v>3</v>
      </c>
      <c r="F4237" s="6">
        <v>1</v>
      </c>
      <c r="G4237" s="6" t="s">
        <v>27</v>
      </c>
      <c r="H4237" s="6" t="s">
        <v>11</v>
      </c>
      <c r="I4237" s="6">
        <f>TabJogos[[#This Row],[PontosTime1]]-TabJogos[[#This Row],[PontosTime2]]</f>
        <v>2</v>
      </c>
    </row>
    <row r="4238" spans="1:9" ht="15" customHeight="1" x14ac:dyDescent="0.25">
      <c r="A4238" s="7">
        <v>4237</v>
      </c>
      <c r="B4238" s="1">
        <v>43705</v>
      </c>
      <c r="C4238" s="6" t="s">
        <v>10</v>
      </c>
      <c r="D4238" s="6" t="s">
        <v>13</v>
      </c>
      <c r="E4238" s="6">
        <v>2</v>
      </c>
      <c r="F4238" s="6">
        <v>3</v>
      </c>
      <c r="G4238" s="6" t="s">
        <v>12</v>
      </c>
      <c r="H4238" s="6" t="s">
        <v>11</v>
      </c>
      <c r="I4238" s="6">
        <f>TabJogos[[#This Row],[PontosTime1]]-TabJogos[[#This Row],[PontosTime2]]</f>
        <v>-1</v>
      </c>
    </row>
    <row r="4239" spans="1:9" ht="15" customHeight="1" x14ac:dyDescent="0.25">
      <c r="A4239" s="7">
        <v>4238</v>
      </c>
      <c r="B4239" s="1">
        <v>43705</v>
      </c>
      <c r="C4239" s="6" t="s">
        <v>11</v>
      </c>
      <c r="D4239" s="6" t="s">
        <v>13</v>
      </c>
      <c r="E4239" s="6">
        <v>3</v>
      </c>
      <c r="F4239" s="6">
        <v>1</v>
      </c>
      <c r="G4239" s="6" t="s">
        <v>27</v>
      </c>
      <c r="H4239" s="6" t="s">
        <v>12</v>
      </c>
      <c r="I4239" s="6">
        <f>TabJogos[[#This Row],[PontosTime1]]-TabJogos[[#This Row],[PontosTime2]]</f>
        <v>2</v>
      </c>
    </row>
    <row r="4240" spans="1:9" ht="15" customHeight="1" x14ac:dyDescent="0.25">
      <c r="A4240" s="7">
        <v>4239</v>
      </c>
      <c r="B4240" s="1">
        <v>43705</v>
      </c>
      <c r="C4240" s="6" t="s">
        <v>10</v>
      </c>
      <c r="D4240" s="6" t="s">
        <v>11</v>
      </c>
      <c r="E4240" s="6">
        <v>1</v>
      </c>
      <c r="F4240" s="6">
        <v>3</v>
      </c>
      <c r="G4240" s="6" t="s">
        <v>13</v>
      </c>
      <c r="H4240" s="6" t="s">
        <v>12</v>
      </c>
      <c r="I4240" s="6">
        <f>TabJogos[[#This Row],[PontosTime1]]-TabJogos[[#This Row],[PontosTime2]]</f>
        <v>-2</v>
      </c>
    </row>
    <row r="4241" spans="1:9" ht="15" customHeight="1" x14ac:dyDescent="0.25">
      <c r="A4241" s="7">
        <v>4240</v>
      </c>
      <c r="B4241" s="1">
        <v>43705</v>
      </c>
      <c r="C4241" s="6" t="s">
        <v>27</v>
      </c>
      <c r="D4241" s="6" t="s">
        <v>32</v>
      </c>
      <c r="E4241" s="6">
        <v>3</v>
      </c>
      <c r="F4241" s="6">
        <v>0</v>
      </c>
      <c r="G4241" s="6" t="s">
        <v>13</v>
      </c>
      <c r="H4241" s="6" t="s">
        <v>41</v>
      </c>
      <c r="I4241" s="6">
        <f>TabJogos[[#This Row],[PontosTime1]]-TabJogos[[#This Row],[PontosTime2]]</f>
        <v>3</v>
      </c>
    </row>
    <row r="4242" spans="1:9" ht="15" customHeight="1" x14ac:dyDescent="0.25">
      <c r="A4242" s="7">
        <v>4241</v>
      </c>
      <c r="B4242" s="1">
        <v>43705</v>
      </c>
      <c r="C4242" s="6" t="s">
        <v>11</v>
      </c>
      <c r="D4242" s="6" t="s">
        <v>32</v>
      </c>
      <c r="E4242" s="6">
        <v>1</v>
      </c>
      <c r="F4242" s="6">
        <v>5</v>
      </c>
      <c r="G4242" s="6" t="s">
        <v>27</v>
      </c>
      <c r="H4242" s="6" t="s">
        <v>10</v>
      </c>
      <c r="I4242" s="6">
        <f>TabJogos[[#This Row],[PontosTime1]]-TabJogos[[#This Row],[PontosTime2]]</f>
        <v>-4</v>
      </c>
    </row>
    <row r="4243" spans="1:9" ht="15" customHeight="1" x14ac:dyDescent="0.25">
      <c r="A4243" s="7">
        <v>4242</v>
      </c>
      <c r="B4243" s="1">
        <v>43705</v>
      </c>
      <c r="C4243" s="6" t="s">
        <v>10</v>
      </c>
      <c r="D4243" s="6" t="s">
        <v>41</v>
      </c>
      <c r="E4243" s="6">
        <v>4</v>
      </c>
      <c r="F4243" s="6">
        <v>1</v>
      </c>
      <c r="G4243" s="6" t="s">
        <v>27</v>
      </c>
      <c r="H4243" s="6" t="s">
        <v>11</v>
      </c>
      <c r="I4243" s="6">
        <f>TabJogos[[#This Row],[PontosTime1]]-TabJogos[[#This Row],[PontosTime2]]</f>
        <v>3</v>
      </c>
    </row>
    <row r="4244" spans="1:9" ht="15" customHeight="1" x14ac:dyDescent="0.25">
      <c r="A4244" s="7">
        <v>4243</v>
      </c>
      <c r="B4244" s="1">
        <v>43705</v>
      </c>
      <c r="C4244" s="6" t="s">
        <v>27</v>
      </c>
      <c r="D4244" s="6" t="s">
        <v>10</v>
      </c>
      <c r="E4244" s="6">
        <v>2</v>
      </c>
      <c r="F4244" s="6">
        <v>3</v>
      </c>
      <c r="G4244" s="6" t="s">
        <v>41</v>
      </c>
      <c r="H4244" s="6" t="s">
        <v>32</v>
      </c>
      <c r="I4244" s="6">
        <f>TabJogos[[#This Row],[PontosTime1]]-TabJogos[[#This Row],[PontosTime2]]</f>
        <v>-1</v>
      </c>
    </row>
    <row r="4245" spans="1:9" ht="15" customHeight="1" x14ac:dyDescent="0.25">
      <c r="A4245" s="7">
        <v>4244</v>
      </c>
      <c r="B4245" s="1">
        <v>43705</v>
      </c>
      <c r="C4245" s="6" t="s">
        <v>32</v>
      </c>
      <c r="D4245" s="6" t="s">
        <v>13</v>
      </c>
      <c r="E4245" s="6">
        <v>1</v>
      </c>
      <c r="F4245" s="6">
        <v>3</v>
      </c>
      <c r="G4245" s="6" t="s">
        <v>11</v>
      </c>
      <c r="H4245" s="6" t="s">
        <v>41</v>
      </c>
      <c r="I4245" s="6">
        <f>TabJogos[[#This Row],[PontosTime1]]-TabJogos[[#This Row],[PontosTime2]]</f>
        <v>-2</v>
      </c>
    </row>
    <row r="4246" spans="1:9" ht="15" customHeight="1" x14ac:dyDescent="0.25">
      <c r="A4246" s="7">
        <v>4245</v>
      </c>
      <c r="B4246" s="1">
        <v>43705</v>
      </c>
      <c r="C4246" s="6" t="s">
        <v>10</v>
      </c>
      <c r="D4246" s="6" t="s">
        <v>11</v>
      </c>
      <c r="E4246" s="6">
        <v>3</v>
      </c>
      <c r="F4246" s="6">
        <v>2</v>
      </c>
      <c r="G4246" s="6" t="s">
        <v>27</v>
      </c>
      <c r="H4246" s="6" t="s">
        <v>41</v>
      </c>
      <c r="I4246" s="6">
        <f>TabJogos[[#This Row],[PontosTime1]]-TabJogos[[#This Row],[PontosTime2]]</f>
        <v>1</v>
      </c>
    </row>
    <row r="4247" spans="1:9" ht="15" customHeight="1" x14ac:dyDescent="0.25">
      <c r="A4247" s="7">
        <v>4246</v>
      </c>
      <c r="B4247" s="1">
        <v>43705</v>
      </c>
      <c r="C4247" s="6" t="s">
        <v>10</v>
      </c>
      <c r="D4247" s="6" t="s">
        <v>13</v>
      </c>
      <c r="E4247" s="6">
        <v>0</v>
      </c>
      <c r="F4247" s="6">
        <v>3</v>
      </c>
      <c r="G4247" s="6" t="s">
        <v>11</v>
      </c>
      <c r="H4247" s="6" t="s">
        <v>18</v>
      </c>
      <c r="I4247" s="6">
        <f>TabJogos[[#This Row],[PontosTime1]]-TabJogos[[#This Row],[PontosTime2]]</f>
        <v>-3</v>
      </c>
    </row>
    <row r="4248" spans="1:9" ht="15" customHeight="1" x14ac:dyDescent="0.25">
      <c r="A4248" s="7">
        <v>4247</v>
      </c>
      <c r="B4248" s="1">
        <v>43705</v>
      </c>
      <c r="C4248" s="6" t="s">
        <v>10</v>
      </c>
      <c r="D4248" s="6" t="s">
        <v>18</v>
      </c>
      <c r="E4248" s="6">
        <v>3</v>
      </c>
      <c r="F4248" s="6">
        <v>2</v>
      </c>
      <c r="G4248" s="6" t="s">
        <v>11</v>
      </c>
      <c r="H4248" s="6" t="s">
        <v>13</v>
      </c>
      <c r="I4248" s="6">
        <f>TabJogos[[#This Row],[PontosTime1]]-TabJogos[[#This Row],[PontosTime2]]</f>
        <v>1</v>
      </c>
    </row>
    <row r="4249" spans="1:9" ht="15" customHeight="1" x14ac:dyDescent="0.25">
      <c r="A4249" s="7">
        <v>4248</v>
      </c>
      <c r="B4249" s="1">
        <v>43705</v>
      </c>
      <c r="C4249" s="6" t="s">
        <v>10</v>
      </c>
      <c r="D4249" s="6" t="s">
        <v>11</v>
      </c>
      <c r="E4249" s="6">
        <v>0</v>
      </c>
      <c r="F4249" s="6">
        <v>4</v>
      </c>
      <c r="G4249" s="6" t="s">
        <v>13</v>
      </c>
      <c r="H4249" s="6" t="s">
        <v>18</v>
      </c>
      <c r="I4249" s="6">
        <f>TabJogos[[#This Row],[PontosTime1]]-TabJogos[[#This Row],[PontosTime2]]</f>
        <v>-4</v>
      </c>
    </row>
    <row r="4250" spans="1:9" ht="15" customHeight="1" x14ac:dyDescent="0.25">
      <c r="A4250" s="7">
        <v>4249</v>
      </c>
      <c r="B4250" s="1">
        <v>43705</v>
      </c>
      <c r="C4250" s="6" t="s">
        <v>10</v>
      </c>
      <c r="D4250" s="6" t="s">
        <v>13</v>
      </c>
      <c r="E4250" s="6">
        <v>2</v>
      </c>
      <c r="F4250" s="6">
        <v>3</v>
      </c>
      <c r="G4250" s="6" t="s">
        <v>18</v>
      </c>
      <c r="H4250" s="6" t="s">
        <v>11</v>
      </c>
      <c r="I4250" s="6">
        <f>TabJogos[[#This Row],[PontosTime1]]-TabJogos[[#This Row],[PontosTime2]]</f>
        <v>-1</v>
      </c>
    </row>
    <row r="4251" spans="1:9" ht="15" customHeight="1" x14ac:dyDescent="0.25">
      <c r="A4251" s="7">
        <v>4250</v>
      </c>
      <c r="B4251" s="1">
        <v>43705</v>
      </c>
      <c r="C4251" s="6" t="s">
        <v>10</v>
      </c>
      <c r="D4251" s="6" t="s">
        <v>18</v>
      </c>
      <c r="E4251" s="6">
        <v>3</v>
      </c>
      <c r="F4251" s="6">
        <v>1</v>
      </c>
      <c r="G4251" s="6" t="s">
        <v>11</v>
      </c>
      <c r="H4251" s="6" t="s">
        <v>13</v>
      </c>
      <c r="I4251" s="6">
        <f>TabJogos[[#This Row],[PontosTime1]]-TabJogos[[#This Row],[PontosTime2]]</f>
        <v>2</v>
      </c>
    </row>
    <row r="4252" spans="1:9" ht="15" customHeight="1" x14ac:dyDescent="0.25">
      <c r="A4252" s="7">
        <v>4251</v>
      </c>
      <c r="B4252" s="1">
        <v>43706</v>
      </c>
      <c r="C4252" s="6" t="s">
        <v>11</v>
      </c>
      <c r="D4252" s="6" t="s">
        <v>12</v>
      </c>
      <c r="E4252" s="6">
        <v>4</v>
      </c>
      <c r="F4252" s="6">
        <v>0</v>
      </c>
      <c r="G4252" s="6" t="s">
        <v>27</v>
      </c>
      <c r="H4252" s="6" t="s">
        <v>13</v>
      </c>
      <c r="I4252" s="6">
        <f>TabJogos[[#This Row],[PontosTime1]]-TabJogos[[#This Row],[PontosTime2]]</f>
        <v>4</v>
      </c>
    </row>
    <row r="4253" spans="1:9" ht="15" customHeight="1" x14ac:dyDescent="0.25">
      <c r="A4253" s="7">
        <v>4252</v>
      </c>
      <c r="B4253" s="1">
        <v>43706</v>
      </c>
      <c r="C4253" s="6" t="s">
        <v>11</v>
      </c>
      <c r="D4253" s="6" t="s">
        <v>27</v>
      </c>
      <c r="E4253" s="6">
        <v>3</v>
      </c>
      <c r="F4253" s="6">
        <v>1</v>
      </c>
      <c r="G4253" s="6" t="s">
        <v>13</v>
      </c>
      <c r="H4253" s="6" t="s">
        <v>12</v>
      </c>
      <c r="I4253" s="6">
        <f>TabJogos[[#This Row],[PontosTime1]]-TabJogos[[#This Row],[PontosTime2]]</f>
        <v>2</v>
      </c>
    </row>
    <row r="4254" spans="1:9" ht="15" customHeight="1" x14ac:dyDescent="0.25">
      <c r="A4254" s="7">
        <v>4253</v>
      </c>
      <c r="B4254" s="1">
        <v>43706</v>
      </c>
      <c r="C4254" s="6" t="s">
        <v>11</v>
      </c>
      <c r="D4254" s="6" t="s">
        <v>13</v>
      </c>
      <c r="E4254" s="6">
        <v>4</v>
      </c>
      <c r="F4254" s="6">
        <v>0</v>
      </c>
      <c r="G4254" s="6" t="s">
        <v>27</v>
      </c>
      <c r="H4254" s="6" t="s">
        <v>41</v>
      </c>
      <c r="I4254" s="6">
        <f>TabJogos[[#This Row],[PontosTime1]]-TabJogos[[#This Row],[PontosTime2]]</f>
        <v>4</v>
      </c>
    </row>
    <row r="4255" spans="1:9" ht="15" customHeight="1" x14ac:dyDescent="0.25">
      <c r="A4255" s="7">
        <v>4254</v>
      </c>
      <c r="B4255" s="1">
        <v>43706</v>
      </c>
      <c r="C4255" s="6" t="s">
        <v>11</v>
      </c>
      <c r="D4255" s="6" t="s">
        <v>41</v>
      </c>
      <c r="E4255" s="6">
        <v>3</v>
      </c>
      <c r="F4255" s="6">
        <v>0</v>
      </c>
      <c r="G4255" s="6" t="s">
        <v>27</v>
      </c>
      <c r="H4255" s="6" t="s">
        <v>13</v>
      </c>
      <c r="I4255" s="6">
        <f>TabJogos[[#This Row],[PontosTime1]]-TabJogos[[#This Row],[PontosTime2]]</f>
        <v>3</v>
      </c>
    </row>
    <row r="4256" spans="1:9" ht="15" customHeight="1" x14ac:dyDescent="0.25">
      <c r="A4256" s="7">
        <v>4255</v>
      </c>
      <c r="B4256" s="1">
        <v>43706</v>
      </c>
      <c r="C4256" s="6" t="s">
        <v>11</v>
      </c>
      <c r="D4256" s="6" t="s">
        <v>27</v>
      </c>
      <c r="E4256" s="6">
        <v>3</v>
      </c>
      <c r="F4256" s="6">
        <v>0</v>
      </c>
      <c r="G4256" s="6" t="s">
        <v>13</v>
      </c>
      <c r="H4256" s="6" t="s">
        <v>41</v>
      </c>
      <c r="I4256" s="6">
        <f>TabJogos[[#This Row],[PontosTime1]]-TabJogos[[#This Row],[PontosTime2]]</f>
        <v>3</v>
      </c>
    </row>
    <row r="4257" spans="1:9" ht="15" customHeight="1" x14ac:dyDescent="0.25">
      <c r="A4257" s="7">
        <v>4256</v>
      </c>
      <c r="B4257" s="1">
        <v>43706</v>
      </c>
      <c r="C4257" s="6" t="s">
        <v>11</v>
      </c>
      <c r="D4257" s="6" t="s">
        <v>13</v>
      </c>
      <c r="E4257" s="6">
        <v>3</v>
      </c>
      <c r="F4257" s="6">
        <v>1</v>
      </c>
      <c r="G4257" s="6" t="s">
        <v>32</v>
      </c>
      <c r="H4257" s="6" t="s">
        <v>13</v>
      </c>
      <c r="I4257" s="6">
        <f>TabJogos[[#This Row],[PontosTime1]]-TabJogos[[#This Row],[PontosTime2]]</f>
        <v>2</v>
      </c>
    </row>
    <row r="4258" spans="1:9" ht="15" customHeight="1" x14ac:dyDescent="0.25">
      <c r="A4258" s="7">
        <v>4257</v>
      </c>
      <c r="B4258" s="1">
        <v>43706</v>
      </c>
      <c r="C4258" s="6" t="s">
        <v>11</v>
      </c>
      <c r="D4258" s="6" t="s">
        <v>41</v>
      </c>
      <c r="E4258" s="6">
        <v>3</v>
      </c>
      <c r="F4258" s="6">
        <v>0</v>
      </c>
      <c r="G4258" s="6" t="s">
        <v>27</v>
      </c>
      <c r="H4258" s="6" t="s">
        <v>13</v>
      </c>
      <c r="I4258" s="6">
        <f>TabJogos[[#This Row],[PontosTime1]]-TabJogos[[#This Row],[PontosTime2]]</f>
        <v>3</v>
      </c>
    </row>
    <row r="4259" spans="1:9" ht="15" customHeight="1" x14ac:dyDescent="0.25">
      <c r="A4259" s="7">
        <v>4258</v>
      </c>
      <c r="B4259" s="1">
        <v>43706</v>
      </c>
      <c r="C4259" s="6" t="s">
        <v>11</v>
      </c>
      <c r="D4259" s="6" t="s">
        <v>27</v>
      </c>
      <c r="E4259" s="6">
        <v>1</v>
      </c>
      <c r="F4259" s="6">
        <v>3</v>
      </c>
      <c r="G4259" s="6" t="s">
        <v>41</v>
      </c>
      <c r="H4259" s="6" t="s">
        <v>13</v>
      </c>
      <c r="I4259" s="6">
        <f>TabJogos[[#This Row],[PontosTime1]]-TabJogos[[#This Row],[PontosTime2]]</f>
        <v>-2</v>
      </c>
    </row>
    <row r="4260" spans="1:9" ht="15" customHeight="1" x14ac:dyDescent="0.25">
      <c r="A4260" s="7">
        <v>4259</v>
      </c>
      <c r="B4260" s="1">
        <v>43706</v>
      </c>
      <c r="C4260" s="6" t="s">
        <v>41</v>
      </c>
      <c r="D4260" s="6" t="s">
        <v>13</v>
      </c>
      <c r="E4260" s="6">
        <v>3</v>
      </c>
      <c r="F4260" s="6">
        <v>1</v>
      </c>
      <c r="G4260" s="6" t="s">
        <v>13</v>
      </c>
      <c r="H4260" s="6" t="s">
        <v>11</v>
      </c>
      <c r="I4260" s="6">
        <f>TabJogos[[#This Row],[PontosTime1]]-TabJogos[[#This Row],[PontosTime2]]</f>
        <v>2</v>
      </c>
    </row>
    <row r="4261" spans="1:9" ht="15" customHeight="1" x14ac:dyDescent="0.25">
      <c r="A4261" s="7">
        <v>4260</v>
      </c>
      <c r="B4261" s="1">
        <v>43706</v>
      </c>
      <c r="C4261" s="6" t="s">
        <v>11</v>
      </c>
      <c r="D4261" s="6" t="s">
        <v>13</v>
      </c>
      <c r="E4261" s="6">
        <v>3</v>
      </c>
      <c r="F4261" s="6">
        <v>1</v>
      </c>
      <c r="G4261" s="6" t="s">
        <v>41</v>
      </c>
      <c r="H4261" s="6" t="s">
        <v>27</v>
      </c>
      <c r="I4261" s="6">
        <f>TabJogos[[#This Row],[PontosTime1]]-TabJogos[[#This Row],[PontosTime2]]</f>
        <v>2</v>
      </c>
    </row>
    <row r="4262" spans="1:9" ht="15" customHeight="1" x14ac:dyDescent="0.25">
      <c r="A4262" s="7">
        <v>4261</v>
      </c>
      <c r="B4262" s="1">
        <v>43707</v>
      </c>
      <c r="C4262" s="6" t="s">
        <v>12</v>
      </c>
      <c r="D4262" s="6" t="s">
        <v>13</v>
      </c>
      <c r="E4262" s="6">
        <v>4</v>
      </c>
      <c r="F4262" s="6">
        <v>1</v>
      </c>
      <c r="G4262" s="6" t="s">
        <v>11</v>
      </c>
      <c r="H4262" s="6" t="s">
        <v>27</v>
      </c>
      <c r="I4262" s="6">
        <f>TabJogos[[#This Row],[PontosTime1]]-TabJogos[[#This Row],[PontosTime2]]</f>
        <v>3</v>
      </c>
    </row>
    <row r="4263" spans="1:9" ht="15" customHeight="1" x14ac:dyDescent="0.25">
      <c r="A4263" s="7">
        <v>4262</v>
      </c>
      <c r="B4263" s="1">
        <v>43707</v>
      </c>
      <c r="C4263" s="6" t="s">
        <v>12</v>
      </c>
      <c r="D4263" s="6" t="s">
        <v>11</v>
      </c>
      <c r="E4263" s="6">
        <v>1</v>
      </c>
      <c r="F4263" s="6">
        <v>3</v>
      </c>
      <c r="G4263" s="6" t="s">
        <v>27</v>
      </c>
      <c r="H4263" s="6" t="s">
        <v>13</v>
      </c>
      <c r="I4263" s="6">
        <f>TabJogos[[#This Row],[PontosTime1]]-TabJogos[[#This Row],[PontosTime2]]</f>
        <v>-2</v>
      </c>
    </row>
    <row r="4264" spans="1:9" ht="15" customHeight="1" x14ac:dyDescent="0.25">
      <c r="A4264" s="7">
        <v>4263</v>
      </c>
      <c r="B4264" s="1">
        <v>43707</v>
      </c>
      <c r="C4264" s="6" t="s">
        <v>41</v>
      </c>
      <c r="D4264" s="6" t="s">
        <v>13</v>
      </c>
      <c r="E4264" s="6">
        <v>4</v>
      </c>
      <c r="F4264" s="6">
        <v>1</v>
      </c>
      <c r="G4264" s="6" t="s">
        <v>18</v>
      </c>
      <c r="H4264" s="6" t="s">
        <v>11</v>
      </c>
      <c r="I4264" s="6">
        <f>TabJogos[[#This Row],[PontosTime1]]-TabJogos[[#This Row],[PontosTime2]]</f>
        <v>3</v>
      </c>
    </row>
    <row r="4265" spans="1:9" ht="15" customHeight="1" x14ac:dyDescent="0.25">
      <c r="A4265" s="7">
        <v>4264</v>
      </c>
      <c r="B4265" s="1">
        <v>43707</v>
      </c>
      <c r="C4265" s="6" t="s">
        <v>41</v>
      </c>
      <c r="D4265" s="6" t="s">
        <v>11</v>
      </c>
      <c r="E4265" s="6">
        <v>3</v>
      </c>
      <c r="F4265" s="6">
        <v>0</v>
      </c>
      <c r="G4265" s="6" t="s">
        <v>13</v>
      </c>
      <c r="H4265" s="6" t="s">
        <v>18</v>
      </c>
      <c r="I4265" s="6">
        <f>TabJogos[[#This Row],[PontosTime1]]-TabJogos[[#This Row],[PontosTime2]]</f>
        <v>3</v>
      </c>
    </row>
    <row r="4266" spans="1:9" ht="15" customHeight="1" x14ac:dyDescent="0.25">
      <c r="A4266" s="7">
        <v>4265</v>
      </c>
      <c r="B4266" s="1">
        <v>43707</v>
      </c>
      <c r="C4266" s="6" t="s">
        <v>41</v>
      </c>
      <c r="D4266" s="6" t="s">
        <v>18</v>
      </c>
      <c r="E4266" s="6">
        <v>1</v>
      </c>
      <c r="F4266" s="6">
        <v>3</v>
      </c>
      <c r="G4266" s="6" t="s">
        <v>11</v>
      </c>
      <c r="H4266" s="6" t="s">
        <v>13</v>
      </c>
      <c r="I4266" s="6">
        <f>TabJogos[[#This Row],[PontosTime1]]-TabJogos[[#This Row],[PontosTime2]]</f>
        <v>-2</v>
      </c>
    </row>
    <row r="4267" spans="1:9" ht="15" customHeight="1" x14ac:dyDescent="0.25">
      <c r="A4267" s="7">
        <v>4266</v>
      </c>
      <c r="B4267" s="1">
        <v>43707</v>
      </c>
      <c r="C4267" s="6" t="s">
        <v>11</v>
      </c>
      <c r="D4267" s="6" t="s">
        <v>18</v>
      </c>
      <c r="E4267" s="6">
        <v>3</v>
      </c>
      <c r="F4267" s="6">
        <v>1</v>
      </c>
      <c r="G4267" s="6" t="s">
        <v>27</v>
      </c>
      <c r="H4267" s="6" t="s">
        <v>13</v>
      </c>
      <c r="I4267" s="6">
        <f>TabJogos[[#This Row],[PontosTime1]]-TabJogos[[#This Row],[PontosTime2]]</f>
        <v>2</v>
      </c>
    </row>
    <row r="4268" spans="1:9" ht="15" customHeight="1" x14ac:dyDescent="0.25">
      <c r="A4268" s="7">
        <v>4267</v>
      </c>
      <c r="B4268" s="1">
        <v>43707</v>
      </c>
      <c r="C4268" s="6" t="s">
        <v>11</v>
      </c>
      <c r="D4268" s="6" t="s">
        <v>41</v>
      </c>
      <c r="E4268" s="6">
        <v>3</v>
      </c>
      <c r="F4268" s="6">
        <v>0</v>
      </c>
      <c r="G4268" s="6" t="s">
        <v>27</v>
      </c>
      <c r="H4268" s="6" t="s">
        <v>18</v>
      </c>
      <c r="I4268" s="6">
        <f>TabJogos[[#This Row],[PontosTime1]]-TabJogos[[#This Row],[PontosTime2]]</f>
        <v>3</v>
      </c>
    </row>
    <row r="4269" spans="1:9" ht="15" customHeight="1" x14ac:dyDescent="0.25">
      <c r="A4269" s="7">
        <v>4268</v>
      </c>
      <c r="B4269" s="1">
        <v>43707</v>
      </c>
      <c r="C4269" s="6" t="s">
        <v>13</v>
      </c>
      <c r="D4269" s="6" t="s">
        <v>11</v>
      </c>
      <c r="E4269" s="6">
        <v>4</v>
      </c>
      <c r="F4269" s="6">
        <v>2</v>
      </c>
      <c r="G4269" s="6" t="s">
        <v>18</v>
      </c>
      <c r="H4269" s="6" t="s">
        <v>41</v>
      </c>
      <c r="I4269" s="6">
        <f>TabJogos[[#This Row],[PontosTime1]]-TabJogos[[#This Row],[PontosTime2]]</f>
        <v>2</v>
      </c>
    </row>
    <row r="4270" spans="1:9" ht="15" customHeight="1" x14ac:dyDescent="0.25">
      <c r="A4270" s="7">
        <v>4269</v>
      </c>
      <c r="B4270" s="1">
        <v>43707</v>
      </c>
      <c r="C4270" s="6" t="s">
        <v>11</v>
      </c>
      <c r="D4270" s="6" t="s">
        <v>27</v>
      </c>
      <c r="E4270" s="6">
        <v>3</v>
      </c>
      <c r="F4270" s="6">
        <v>2</v>
      </c>
      <c r="G4270" s="6" t="s">
        <v>18</v>
      </c>
      <c r="H4270" s="6" t="s">
        <v>13</v>
      </c>
      <c r="I4270" s="6">
        <f>TabJogos[[#This Row],[PontosTime1]]-TabJogos[[#This Row],[PontosTime2]]</f>
        <v>1</v>
      </c>
    </row>
    <row r="4271" spans="1:9" ht="15" customHeight="1" x14ac:dyDescent="0.25">
      <c r="A4271" s="7">
        <v>4270</v>
      </c>
      <c r="B4271" s="1">
        <v>43707</v>
      </c>
      <c r="C4271" s="6" t="s">
        <v>11</v>
      </c>
      <c r="D4271" s="6" t="s">
        <v>13</v>
      </c>
      <c r="E4271" s="6">
        <v>2</v>
      </c>
      <c r="F4271" s="6">
        <v>3</v>
      </c>
      <c r="G4271" s="6" t="s">
        <v>27</v>
      </c>
      <c r="H4271" s="6" t="s">
        <v>41</v>
      </c>
      <c r="I4271" s="6">
        <f>TabJogos[[#This Row],[PontosTime1]]-TabJogos[[#This Row],[PontosTime2]]</f>
        <v>-1</v>
      </c>
    </row>
    <row r="4272" spans="1:9" ht="15" customHeight="1" x14ac:dyDescent="0.25">
      <c r="A4272" s="7">
        <v>4271</v>
      </c>
      <c r="B4272" s="1">
        <v>43707</v>
      </c>
      <c r="C4272" s="6" t="s">
        <v>27</v>
      </c>
      <c r="D4272" s="6" t="s">
        <v>13</v>
      </c>
      <c r="E4272" s="6">
        <v>4</v>
      </c>
      <c r="F4272" s="6">
        <v>0</v>
      </c>
      <c r="G4272" s="6" t="s">
        <v>11</v>
      </c>
      <c r="H4272" s="6" t="s">
        <v>18</v>
      </c>
      <c r="I4272" s="6">
        <f>TabJogos[[#This Row],[PontosTime1]]-TabJogos[[#This Row],[PontosTime2]]</f>
        <v>4</v>
      </c>
    </row>
    <row r="4273" spans="1:9" ht="15" customHeight="1" x14ac:dyDescent="0.25">
      <c r="A4273" s="7">
        <v>4272</v>
      </c>
      <c r="B4273" s="1">
        <v>43707</v>
      </c>
      <c r="C4273" s="6" t="s">
        <v>18</v>
      </c>
      <c r="D4273" s="6" t="s">
        <v>13</v>
      </c>
      <c r="E4273" s="6">
        <v>4</v>
      </c>
      <c r="F4273" s="6">
        <v>1</v>
      </c>
      <c r="G4273" s="6" t="s">
        <v>27</v>
      </c>
      <c r="H4273" s="6" t="s">
        <v>11</v>
      </c>
      <c r="I4273" s="6">
        <f>TabJogos[[#This Row],[PontosTime1]]-TabJogos[[#This Row],[PontosTime2]]</f>
        <v>3</v>
      </c>
    </row>
    <row r="4274" spans="1:9" ht="15" customHeight="1" x14ac:dyDescent="0.25">
      <c r="A4274" s="7">
        <v>4273</v>
      </c>
      <c r="B4274" s="1">
        <v>43707</v>
      </c>
      <c r="C4274" s="6" t="s">
        <v>11</v>
      </c>
      <c r="D4274" s="6" t="s">
        <v>13</v>
      </c>
      <c r="E4274" s="6">
        <v>3</v>
      </c>
      <c r="F4274" s="6">
        <v>2</v>
      </c>
      <c r="G4274" s="6" t="s">
        <v>18</v>
      </c>
      <c r="H4274" s="6" t="s">
        <v>27</v>
      </c>
      <c r="I4274" s="6">
        <f>TabJogos[[#This Row],[PontosTime1]]-TabJogos[[#This Row],[PontosTime2]]</f>
        <v>1</v>
      </c>
    </row>
    <row r="4275" spans="1:9" ht="15" customHeight="1" x14ac:dyDescent="0.25">
      <c r="A4275" s="7">
        <v>4274</v>
      </c>
      <c r="B4275" s="1">
        <v>43710</v>
      </c>
      <c r="C4275" s="6" t="s">
        <v>11</v>
      </c>
      <c r="D4275" s="6" t="s">
        <v>17</v>
      </c>
      <c r="E4275" s="6">
        <v>2</v>
      </c>
      <c r="F4275" s="6">
        <v>3</v>
      </c>
      <c r="G4275" s="6" t="s">
        <v>10</v>
      </c>
      <c r="H4275" s="6" t="s">
        <v>13</v>
      </c>
      <c r="I4275" s="6">
        <f>TabJogos[[#This Row],[PontosTime1]]-TabJogos[[#This Row],[PontosTime2]]</f>
        <v>-1</v>
      </c>
    </row>
    <row r="4276" spans="1:9" ht="15" customHeight="1" x14ac:dyDescent="0.25">
      <c r="A4276" s="7">
        <v>4275</v>
      </c>
      <c r="B4276" s="1">
        <v>43710</v>
      </c>
      <c r="C4276" s="6" t="s">
        <v>10</v>
      </c>
      <c r="D4276" s="6" t="s">
        <v>12</v>
      </c>
      <c r="E4276" s="6">
        <v>3</v>
      </c>
      <c r="F4276" s="6">
        <v>0</v>
      </c>
      <c r="G4276" s="6" t="s">
        <v>13</v>
      </c>
      <c r="H4276" s="6" t="s">
        <v>17</v>
      </c>
      <c r="I4276" s="6">
        <f>TabJogos[[#This Row],[PontosTime1]]-TabJogos[[#This Row],[PontosTime2]]</f>
        <v>3</v>
      </c>
    </row>
    <row r="4277" spans="1:9" ht="15" customHeight="1" x14ac:dyDescent="0.25">
      <c r="A4277" s="7">
        <v>4276</v>
      </c>
      <c r="B4277" s="1">
        <v>43710</v>
      </c>
      <c r="C4277" s="6" t="s">
        <v>11</v>
      </c>
      <c r="D4277" s="6" t="s">
        <v>13</v>
      </c>
      <c r="E4277" s="6">
        <v>3</v>
      </c>
      <c r="F4277" s="6">
        <v>1</v>
      </c>
      <c r="G4277" s="6" t="s">
        <v>17</v>
      </c>
      <c r="H4277" s="6" t="s">
        <v>10</v>
      </c>
      <c r="I4277" s="6">
        <f>TabJogos[[#This Row],[PontosTime1]]-TabJogos[[#This Row],[PontosTime2]]</f>
        <v>2</v>
      </c>
    </row>
    <row r="4278" spans="1:9" ht="15" customHeight="1" x14ac:dyDescent="0.25">
      <c r="A4278" s="7">
        <v>4277</v>
      </c>
      <c r="B4278" s="1">
        <v>43710</v>
      </c>
      <c r="C4278" s="6" t="s">
        <v>11</v>
      </c>
      <c r="D4278" s="6" t="s">
        <v>10</v>
      </c>
      <c r="E4278" s="6">
        <v>0</v>
      </c>
      <c r="F4278" s="6">
        <v>3</v>
      </c>
      <c r="G4278" s="6" t="s">
        <v>13</v>
      </c>
      <c r="H4278" s="6" t="s">
        <v>17</v>
      </c>
      <c r="I4278" s="6">
        <f>TabJogos[[#This Row],[PontosTime1]]-TabJogos[[#This Row],[PontosTime2]]</f>
        <v>-3</v>
      </c>
    </row>
    <row r="4279" spans="1:9" ht="15" customHeight="1" x14ac:dyDescent="0.25">
      <c r="A4279" s="7">
        <v>4278</v>
      </c>
      <c r="B4279" s="1">
        <v>43710</v>
      </c>
      <c r="C4279" s="6" t="s">
        <v>11</v>
      </c>
      <c r="D4279" s="6" t="s">
        <v>17</v>
      </c>
      <c r="E4279" s="6">
        <v>3</v>
      </c>
      <c r="F4279" s="6">
        <v>0</v>
      </c>
      <c r="G4279" s="6" t="s">
        <v>9</v>
      </c>
      <c r="H4279" s="6" t="s">
        <v>13</v>
      </c>
      <c r="I4279" s="6">
        <f>TabJogos[[#This Row],[PontosTime1]]-TabJogos[[#This Row],[PontosTime2]]</f>
        <v>3</v>
      </c>
    </row>
    <row r="4280" spans="1:9" ht="15" customHeight="1" x14ac:dyDescent="0.25">
      <c r="A4280" s="7">
        <v>4279</v>
      </c>
      <c r="B4280" s="1">
        <v>43710</v>
      </c>
      <c r="C4280" s="6" t="s">
        <v>11</v>
      </c>
      <c r="D4280" s="6" t="s">
        <v>9</v>
      </c>
      <c r="E4280" s="6">
        <v>3</v>
      </c>
      <c r="F4280" s="6">
        <v>1</v>
      </c>
      <c r="G4280" s="6" t="s">
        <v>17</v>
      </c>
      <c r="H4280" s="6" t="s">
        <v>41</v>
      </c>
      <c r="I4280" s="6">
        <f>TabJogos[[#This Row],[PontosTime1]]-TabJogos[[#This Row],[PontosTime2]]</f>
        <v>2</v>
      </c>
    </row>
    <row r="4281" spans="1:9" ht="15" customHeight="1" x14ac:dyDescent="0.25">
      <c r="A4281" s="7">
        <v>4280</v>
      </c>
      <c r="B4281" s="1">
        <v>43710</v>
      </c>
      <c r="C4281" s="6" t="s">
        <v>11</v>
      </c>
      <c r="D4281" s="6" t="s">
        <v>13</v>
      </c>
      <c r="E4281" s="6">
        <v>3</v>
      </c>
      <c r="F4281" s="6">
        <v>1</v>
      </c>
      <c r="G4281" s="6" t="s">
        <v>17</v>
      </c>
      <c r="H4281" s="6" t="s">
        <v>9</v>
      </c>
      <c r="I4281" s="6">
        <f>TabJogos[[#This Row],[PontosTime1]]-TabJogos[[#This Row],[PontosTime2]]</f>
        <v>2</v>
      </c>
    </row>
    <row r="4282" spans="1:9" ht="15" customHeight="1" x14ac:dyDescent="0.25">
      <c r="A4282" s="7">
        <v>4281</v>
      </c>
      <c r="B4282" s="1">
        <v>43710</v>
      </c>
      <c r="C4282" s="6" t="s">
        <v>11</v>
      </c>
      <c r="D4282" s="6" t="s">
        <v>17</v>
      </c>
      <c r="E4282" s="6">
        <v>0</v>
      </c>
      <c r="F4282" s="6">
        <v>4</v>
      </c>
      <c r="G4282" s="6" t="s">
        <v>13</v>
      </c>
      <c r="H4282" s="6" t="s">
        <v>9</v>
      </c>
      <c r="I4282" s="6">
        <f>TabJogos[[#This Row],[PontosTime1]]-TabJogos[[#This Row],[PontosTime2]]</f>
        <v>-4</v>
      </c>
    </row>
    <row r="4283" spans="1:9" ht="15" customHeight="1" x14ac:dyDescent="0.25">
      <c r="A4283" s="7">
        <v>4282</v>
      </c>
      <c r="B4283" s="1">
        <v>43710</v>
      </c>
      <c r="C4283" s="6" t="s">
        <v>11</v>
      </c>
      <c r="D4283" s="6" t="s">
        <v>9</v>
      </c>
      <c r="E4283" s="6">
        <v>1</v>
      </c>
      <c r="F4283" s="6">
        <v>3</v>
      </c>
      <c r="G4283" s="6" t="s">
        <v>17</v>
      </c>
      <c r="H4283" s="6" t="s">
        <v>41</v>
      </c>
      <c r="I4283" s="6">
        <f>TabJogos[[#This Row],[PontosTime1]]-TabJogos[[#This Row],[PontosTime2]]</f>
        <v>-2</v>
      </c>
    </row>
    <row r="4284" spans="1:9" ht="15" customHeight="1" x14ac:dyDescent="0.25">
      <c r="A4284" s="7">
        <v>4283</v>
      </c>
      <c r="B4284" s="1">
        <v>43711</v>
      </c>
      <c r="C4284" s="6" t="s">
        <v>18</v>
      </c>
      <c r="D4284" s="6" t="s">
        <v>13</v>
      </c>
      <c r="E4284" s="6">
        <v>3</v>
      </c>
      <c r="F4284" s="6">
        <v>1</v>
      </c>
      <c r="G4284" s="6" t="s">
        <v>10</v>
      </c>
      <c r="H4284" s="6" t="s">
        <v>11</v>
      </c>
      <c r="I4284" s="6">
        <f>TabJogos[[#This Row],[PontosTime1]]-TabJogos[[#This Row],[PontosTime2]]</f>
        <v>2</v>
      </c>
    </row>
    <row r="4285" spans="1:9" ht="15" customHeight="1" x14ac:dyDescent="0.25">
      <c r="A4285" s="7">
        <v>4284</v>
      </c>
      <c r="B4285" s="1">
        <v>43711</v>
      </c>
      <c r="C4285" s="6" t="s">
        <v>10</v>
      </c>
      <c r="D4285" s="6" t="s">
        <v>13</v>
      </c>
      <c r="E4285" s="6">
        <v>1</v>
      </c>
      <c r="F4285" s="6">
        <v>3</v>
      </c>
      <c r="G4285" s="6" t="s">
        <v>18</v>
      </c>
      <c r="H4285" s="6" t="s">
        <v>12</v>
      </c>
      <c r="I4285" s="6">
        <f>TabJogos[[#This Row],[PontosTime1]]-TabJogos[[#This Row],[PontosTime2]]</f>
        <v>-2</v>
      </c>
    </row>
    <row r="4286" spans="1:9" ht="15" customHeight="1" x14ac:dyDescent="0.25">
      <c r="A4286" s="7">
        <v>4285</v>
      </c>
      <c r="B4286" s="1">
        <v>43711</v>
      </c>
      <c r="C4286" s="6" t="s">
        <v>18</v>
      </c>
      <c r="D4286" s="6" t="s">
        <v>11</v>
      </c>
      <c r="E4286" s="6">
        <v>3</v>
      </c>
      <c r="F4286" s="6">
        <v>2</v>
      </c>
      <c r="G4286" s="6" t="s">
        <v>12</v>
      </c>
      <c r="H4286" s="6" t="s">
        <v>10</v>
      </c>
      <c r="I4286" s="6">
        <f>TabJogos[[#This Row],[PontosTime1]]-TabJogos[[#This Row],[PontosTime2]]</f>
        <v>1</v>
      </c>
    </row>
    <row r="4287" spans="1:9" ht="15" customHeight="1" x14ac:dyDescent="0.25">
      <c r="A4287" s="7">
        <v>4286</v>
      </c>
      <c r="B4287" s="1">
        <v>43711</v>
      </c>
      <c r="C4287" s="6" t="s">
        <v>10</v>
      </c>
      <c r="D4287" s="6" t="s">
        <v>18</v>
      </c>
      <c r="E4287" s="6">
        <v>3</v>
      </c>
      <c r="F4287" s="6">
        <v>2</v>
      </c>
      <c r="G4287" s="6" t="s">
        <v>11</v>
      </c>
      <c r="H4287" s="6" t="s">
        <v>13</v>
      </c>
      <c r="I4287" s="6">
        <f>TabJogos[[#This Row],[PontosTime1]]-TabJogos[[#This Row],[PontosTime2]]</f>
        <v>1</v>
      </c>
    </row>
    <row r="4288" spans="1:9" ht="15" customHeight="1" x14ac:dyDescent="0.25">
      <c r="A4288" s="7">
        <v>4287</v>
      </c>
      <c r="B4288" s="1">
        <v>43711</v>
      </c>
      <c r="C4288" s="6" t="s">
        <v>10</v>
      </c>
      <c r="D4288" s="6" t="s">
        <v>11</v>
      </c>
      <c r="E4288" s="6">
        <v>3</v>
      </c>
      <c r="F4288" s="6">
        <v>0</v>
      </c>
      <c r="G4288" s="6" t="s">
        <v>18</v>
      </c>
      <c r="H4288" s="6" t="s">
        <v>13</v>
      </c>
      <c r="I4288" s="6">
        <f>TabJogos[[#This Row],[PontosTime1]]-TabJogos[[#This Row],[PontosTime2]]</f>
        <v>3</v>
      </c>
    </row>
    <row r="4289" spans="1:9" ht="15" customHeight="1" x14ac:dyDescent="0.25">
      <c r="A4289" s="7">
        <v>4288</v>
      </c>
      <c r="B4289" s="1">
        <v>43711</v>
      </c>
      <c r="C4289" s="6" t="s">
        <v>10</v>
      </c>
      <c r="D4289" s="6" t="s">
        <v>13</v>
      </c>
      <c r="E4289" s="6">
        <v>3</v>
      </c>
      <c r="F4289" s="6">
        <v>1</v>
      </c>
      <c r="G4289" s="6" t="s">
        <v>18</v>
      </c>
      <c r="H4289" s="6" t="s">
        <v>11</v>
      </c>
      <c r="I4289" s="6">
        <f>TabJogos[[#This Row],[PontosTime1]]-TabJogos[[#This Row],[PontosTime2]]</f>
        <v>2</v>
      </c>
    </row>
    <row r="4290" spans="1:9" ht="15" customHeight="1" x14ac:dyDescent="0.25">
      <c r="A4290" s="7">
        <v>4289</v>
      </c>
      <c r="B4290" s="1">
        <v>43711</v>
      </c>
      <c r="C4290" s="6" t="s">
        <v>10</v>
      </c>
      <c r="D4290" s="6" t="s">
        <v>18</v>
      </c>
      <c r="E4290" s="6">
        <v>4</v>
      </c>
      <c r="F4290" s="6">
        <v>1</v>
      </c>
      <c r="G4290" s="6" t="s">
        <v>11</v>
      </c>
      <c r="H4290" s="6" t="s">
        <v>13</v>
      </c>
      <c r="I4290" s="6">
        <f>TabJogos[[#This Row],[PontosTime1]]-TabJogos[[#This Row],[PontosTime2]]</f>
        <v>3</v>
      </c>
    </row>
    <row r="4291" spans="1:9" ht="15" customHeight="1" x14ac:dyDescent="0.25">
      <c r="A4291" s="7">
        <v>4290</v>
      </c>
      <c r="B4291" s="1">
        <v>43711</v>
      </c>
      <c r="C4291" s="6" t="s">
        <v>10</v>
      </c>
      <c r="D4291" s="6" t="s">
        <v>11</v>
      </c>
      <c r="E4291" s="6">
        <v>1</v>
      </c>
      <c r="F4291" s="6">
        <v>3</v>
      </c>
      <c r="G4291" s="6" t="s">
        <v>18</v>
      </c>
      <c r="H4291" s="6" t="s">
        <v>13</v>
      </c>
      <c r="I4291" s="6">
        <f>TabJogos[[#This Row],[PontosTime1]]-TabJogos[[#This Row],[PontosTime2]]</f>
        <v>-2</v>
      </c>
    </row>
    <row r="4292" spans="1:9" ht="15" customHeight="1" x14ac:dyDescent="0.25">
      <c r="A4292" s="7">
        <v>4291</v>
      </c>
      <c r="B4292" s="1">
        <v>43711</v>
      </c>
      <c r="C4292" s="6" t="s">
        <v>10</v>
      </c>
      <c r="D4292" s="6" t="s">
        <v>13</v>
      </c>
      <c r="E4292" s="6">
        <v>3</v>
      </c>
      <c r="F4292" s="6">
        <v>1</v>
      </c>
      <c r="G4292" s="6" t="s">
        <v>18</v>
      </c>
      <c r="H4292" s="6" t="s">
        <v>11</v>
      </c>
      <c r="I4292" s="6">
        <f>TabJogos[[#This Row],[PontosTime1]]-TabJogos[[#This Row],[PontosTime2]]</f>
        <v>2</v>
      </c>
    </row>
    <row r="4293" spans="1:9" ht="15" customHeight="1" x14ac:dyDescent="0.25">
      <c r="A4293" s="7">
        <v>4292</v>
      </c>
      <c r="B4293" s="1">
        <v>43711</v>
      </c>
      <c r="C4293" s="6" t="s">
        <v>18</v>
      </c>
      <c r="D4293" s="6" t="s">
        <v>13</v>
      </c>
      <c r="E4293" s="6">
        <v>3</v>
      </c>
      <c r="F4293" s="6">
        <v>1</v>
      </c>
      <c r="G4293" s="6" t="s">
        <v>11</v>
      </c>
      <c r="H4293" s="6" t="s">
        <v>9</v>
      </c>
      <c r="I4293" s="6">
        <f>TabJogos[[#This Row],[PontosTime1]]-TabJogos[[#This Row],[PontosTime2]]</f>
        <v>2</v>
      </c>
    </row>
    <row r="4294" spans="1:9" ht="15" customHeight="1" x14ac:dyDescent="0.25">
      <c r="A4294" s="7">
        <v>4293</v>
      </c>
      <c r="B4294" s="1">
        <v>43711</v>
      </c>
      <c r="C4294" s="6" t="s">
        <v>18</v>
      </c>
      <c r="D4294" s="6" t="s">
        <v>9</v>
      </c>
      <c r="E4294" s="6">
        <v>3</v>
      </c>
      <c r="F4294" s="6">
        <v>2</v>
      </c>
      <c r="G4294" s="6" t="s">
        <v>11</v>
      </c>
      <c r="H4294" s="6" t="s">
        <v>13</v>
      </c>
      <c r="I4294" s="6">
        <f>TabJogos[[#This Row],[PontosTime1]]-TabJogos[[#This Row],[PontosTime2]]</f>
        <v>1</v>
      </c>
    </row>
    <row r="4295" spans="1:9" ht="15" customHeight="1" x14ac:dyDescent="0.25">
      <c r="A4295" s="7">
        <v>4294</v>
      </c>
      <c r="B4295" s="1">
        <v>43711</v>
      </c>
      <c r="C4295" s="6" t="s">
        <v>18</v>
      </c>
      <c r="D4295" s="6" t="s">
        <v>11</v>
      </c>
      <c r="E4295" s="6">
        <v>1</v>
      </c>
      <c r="F4295" s="6">
        <v>4</v>
      </c>
      <c r="G4295" s="6" t="s">
        <v>9</v>
      </c>
      <c r="H4295" s="6" t="s">
        <v>13</v>
      </c>
      <c r="I4295" s="6">
        <f>TabJogos[[#This Row],[PontosTime1]]-TabJogos[[#This Row],[PontosTime2]]</f>
        <v>-3</v>
      </c>
    </row>
    <row r="4296" spans="1:9" ht="15" customHeight="1" x14ac:dyDescent="0.25">
      <c r="A4296" s="7">
        <v>4295</v>
      </c>
      <c r="B4296" s="1">
        <v>43711</v>
      </c>
      <c r="C4296" s="6" t="s">
        <v>11</v>
      </c>
      <c r="D4296" s="6" t="s">
        <v>9</v>
      </c>
      <c r="E4296" s="6">
        <v>0</v>
      </c>
      <c r="F4296" s="6">
        <v>4</v>
      </c>
      <c r="G4296" s="6" t="s">
        <v>18</v>
      </c>
      <c r="H4296" s="6" t="s">
        <v>13</v>
      </c>
      <c r="I4296" s="6">
        <f>TabJogos[[#This Row],[PontosTime1]]-TabJogos[[#This Row],[PontosTime2]]</f>
        <v>-4</v>
      </c>
    </row>
    <row r="4297" spans="1:9" ht="15" customHeight="1" x14ac:dyDescent="0.25">
      <c r="A4297" s="7">
        <v>4296</v>
      </c>
      <c r="B4297" s="1">
        <v>43711</v>
      </c>
      <c r="C4297" s="6" t="s">
        <v>11</v>
      </c>
      <c r="D4297" s="6" t="s">
        <v>13</v>
      </c>
      <c r="E4297" s="6">
        <v>0</v>
      </c>
      <c r="F4297" s="6">
        <v>3</v>
      </c>
      <c r="G4297" s="6" t="s">
        <v>18</v>
      </c>
      <c r="H4297" s="6" t="s">
        <v>9</v>
      </c>
      <c r="I4297" s="6">
        <f>TabJogos[[#This Row],[PontosTime1]]-TabJogos[[#This Row],[PontosTime2]]</f>
        <v>-3</v>
      </c>
    </row>
    <row r="4298" spans="1:9" ht="15" customHeight="1" x14ac:dyDescent="0.25">
      <c r="A4298" s="7">
        <v>4297</v>
      </c>
      <c r="B4298" s="1">
        <v>43713</v>
      </c>
      <c r="C4298" s="6" t="s">
        <v>9</v>
      </c>
      <c r="D4298" s="6" t="s">
        <v>41</v>
      </c>
      <c r="E4298" s="6">
        <v>3</v>
      </c>
      <c r="F4298" s="6">
        <v>0</v>
      </c>
      <c r="G4298" s="6" t="s">
        <v>10</v>
      </c>
      <c r="H4298" s="6" t="s">
        <v>13</v>
      </c>
      <c r="I4298" s="6">
        <f>TabJogos[[#This Row],[PontosTime1]]-TabJogos[[#This Row],[PontosTime2]]</f>
        <v>3</v>
      </c>
    </row>
    <row r="4299" spans="1:9" ht="15" customHeight="1" x14ac:dyDescent="0.25">
      <c r="A4299" s="7">
        <v>4298</v>
      </c>
      <c r="B4299" s="1">
        <v>43713</v>
      </c>
      <c r="C4299" s="6" t="s">
        <v>9</v>
      </c>
      <c r="D4299" s="6" t="s">
        <v>12</v>
      </c>
      <c r="E4299" s="6">
        <v>3</v>
      </c>
      <c r="F4299" s="6">
        <v>0</v>
      </c>
      <c r="G4299" s="6" t="s">
        <v>13</v>
      </c>
      <c r="H4299" s="6" t="s">
        <v>63</v>
      </c>
      <c r="I4299" s="6">
        <f>TabJogos[[#This Row],[PontosTime1]]-TabJogos[[#This Row],[PontosTime2]]</f>
        <v>3</v>
      </c>
    </row>
    <row r="4300" spans="1:9" ht="15" customHeight="1" x14ac:dyDescent="0.25">
      <c r="A4300" s="7">
        <v>4299</v>
      </c>
      <c r="B4300" s="1">
        <v>43713</v>
      </c>
      <c r="C4300" s="6" t="s">
        <v>9</v>
      </c>
      <c r="D4300" s="6" t="s">
        <v>11</v>
      </c>
      <c r="E4300" s="6">
        <v>3</v>
      </c>
      <c r="F4300" s="6">
        <v>2</v>
      </c>
      <c r="G4300" s="6" t="s">
        <v>10</v>
      </c>
      <c r="H4300" s="6" t="s">
        <v>12</v>
      </c>
      <c r="I4300" s="6">
        <f>TabJogos[[#This Row],[PontosTime1]]-TabJogos[[#This Row],[PontosTime2]]</f>
        <v>1</v>
      </c>
    </row>
    <row r="4301" spans="1:9" ht="15" customHeight="1" x14ac:dyDescent="0.25">
      <c r="A4301" s="7">
        <v>4300</v>
      </c>
      <c r="B4301" s="1">
        <v>43713</v>
      </c>
      <c r="C4301" s="6" t="s">
        <v>11</v>
      </c>
      <c r="D4301" s="6" t="s">
        <v>18</v>
      </c>
      <c r="E4301" s="6">
        <v>3</v>
      </c>
      <c r="F4301" s="6">
        <v>0</v>
      </c>
      <c r="G4301" s="6" t="s">
        <v>9</v>
      </c>
      <c r="H4301" s="6" t="s">
        <v>27</v>
      </c>
      <c r="I4301" s="6">
        <f>TabJogos[[#This Row],[PontosTime1]]-TabJogos[[#This Row],[PontosTime2]]</f>
        <v>3</v>
      </c>
    </row>
    <row r="4302" spans="1:9" ht="15" customHeight="1" x14ac:dyDescent="0.25">
      <c r="A4302" s="7">
        <v>4301</v>
      </c>
      <c r="B4302" s="1">
        <v>43713</v>
      </c>
      <c r="C4302" s="6" t="s">
        <v>11</v>
      </c>
      <c r="D4302" s="6" t="s">
        <v>13</v>
      </c>
      <c r="E4302" s="6">
        <v>1</v>
      </c>
      <c r="F4302" s="6">
        <v>3</v>
      </c>
      <c r="G4302" s="6" t="s">
        <v>41</v>
      </c>
      <c r="H4302" s="6" t="s">
        <v>18</v>
      </c>
      <c r="I4302" s="6">
        <f>TabJogos[[#This Row],[PontosTime1]]-TabJogos[[#This Row],[PontosTime2]]</f>
        <v>-2</v>
      </c>
    </row>
    <row r="4303" spans="1:9" ht="15" customHeight="1" x14ac:dyDescent="0.25">
      <c r="A4303" s="7">
        <v>4302</v>
      </c>
      <c r="B4303" s="1">
        <v>43713</v>
      </c>
      <c r="C4303" s="6" t="s">
        <v>41</v>
      </c>
      <c r="D4303" s="6" t="s">
        <v>27</v>
      </c>
      <c r="E4303" s="6">
        <v>0</v>
      </c>
      <c r="F4303" s="6">
        <v>3</v>
      </c>
      <c r="G4303" s="6" t="s">
        <v>9</v>
      </c>
      <c r="H4303" s="6" t="s">
        <v>18</v>
      </c>
      <c r="I4303" s="6">
        <f>TabJogos[[#This Row],[PontosTime1]]-TabJogos[[#This Row],[PontosTime2]]</f>
        <v>-3</v>
      </c>
    </row>
    <row r="4304" spans="1:9" ht="15" customHeight="1" x14ac:dyDescent="0.25">
      <c r="A4304" s="7">
        <v>4303</v>
      </c>
      <c r="B4304" s="1">
        <v>43713</v>
      </c>
      <c r="C4304" s="6" t="s">
        <v>27</v>
      </c>
      <c r="D4304" s="6" t="s">
        <v>18</v>
      </c>
      <c r="E4304" s="6">
        <v>4</v>
      </c>
      <c r="F4304" s="6">
        <v>0</v>
      </c>
      <c r="G4304" s="6" t="s">
        <v>9</v>
      </c>
      <c r="H4304" s="6" t="s">
        <v>11</v>
      </c>
      <c r="I4304" s="6">
        <f>TabJogos[[#This Row],[PontosTime1]]-TabJogos[[#This Row],[PontosTime2]]</f>
        <v>4</v>
      </c>
    </row>
    <row r="4305" spans="1:9" ht="15" customHeight="1" x14ac:dyDescent="0.25">
      <c r="A4305" s="7">
        <v>4304</v>
      </c>
      <c r="B4305" s="1">
        <v>43713</v>
      </c>
      <c r="C4305" s="6" t="s">
        <v>11</v>
      </c>
      <c r="D4305" s="6" t="s">
        <v>27</v>
      </c>
      <c r="E4305" s="6">
        <v>3</v>
      </c>
      <c r="F4305" s="6">
        <v>1</v>
      </c>
      <c r="G4305" s="6" t="s">
        <v>18</v>
      </c>
      <c r="H4305" s="6" t="s">
        <v>13</v>
      </c>
      <c r="I4305" s="6">
        <f>TabJogos[[#This Row],[PontosTime1]]-TabJogos[[#This Row],[PontosTime2]]</f>
        <v>2</v>
      </c>
    </row>
    <row r="4306" spans="1:9" ht="15" customHeight="1" x14ac:dyDescent="0.25">
      <c r="A4306" s="7">
        <v>4305</v>
      </c>
      <c r="B4306" s="1">
        <v>43713</v>
      </c>
      <c r="C4306" s="6" t="s">
        <v>11</v>
      </c>
      <c r="D4306" s="6" t="s">
        <v>18</v>
      </c>
      <c r="E4306" s="6">
        <v>3</v>
      </c>
      <c r="F4306" s="6">
        <v>2</v>
      </c>
      <c r="G4306" s="6" t="s">
        <v>9</v>
      </c>
      <c r="H4306" s="6" t="s">
        <v>27</v>
      </c>
      <c r="I4306" s="6">
        <f>TabJogos[[#This Row],[PontosTime1]]-TabJogos[[#This Row],[PontosTime2]]</f>
        <v>1</v>
      </c>
    </row>
    <row r="4307" spans="1:9" ht="15" customHeight="1" x14ac:dyDescent="0.25">
      <c r="A4307" s="7">
        <v>4306</v>
      </c>
      <c r="B4307" s="1">
        <v>43713</v>
      </c>
      <c r="C4307" s="6" t="s">
        <v>11</v>
      </c>
      <c r="D4307" s="6" t="s">
        <v>13</v>
      </c>
      <c r="E4307" s="6">
        <v>3</v>
      </c>
      <c r="F4307" s="6">
        <v>2</v>
      </c>
      <c r="G4307" s="6" t="s">
        <v>9</v>
      </c>
      <c r="H4307" s="6" t="s">
        <v>18</v>
      </c>
      <c r="I4307" s="6">
        <f>TabJogos[[#This Row],[PontosTime1]]-TabJogos[[#This Row],[PontosTime2]]</f>
        <v>1</v>
      </c>
    </row>
    <row r="4308" spans="1:9" ht="15" customHeight="1" x14ac:dyDescent="0.25">
      <c r="A4308" s="7">
        <v>4307</v>
      </c>
      <c r="B4308" s="1">
        <v>43713</v>
      </c>
      <c r="C4308" s="6" t="s">
        <v>13</v>
      </c>
      <c r="D4308" s="6" t="s">
        <v>18</v>
      </c>
      <c r="E4308" s="6">
        <v>0</v>
      </c>
      <c r="F4308" s="6">
        <v>3</v>
      </c>
      <c r="G4308" s="6" t="s">
        <v>11</v>
      </c>
      <c r="H4308" s="6" t="s">
        <v>17</v>
      </c>
      <c r="I4308" s="6">
        <f>TabJogos[[#This Row],[PontosTime1]]-TabJogos[[#This Row],[PontosTime2]]</f>
        <v>-3</v>
      </c>
    </row>
    <row r="4309" spans="1:9" ht="15" customHeight="1" x14ac:dyDescent="0.25">
      <c r="A4309" s="7">
        <v>4308</v>
      </c>
      <c r="B4309" s="1">
        <v>43713</v>
      </c>
      <c r="C4309" s="6" t="s">
        <v>11</v>
      </c>
      <c r="D4309" s="6" t="s">
        <v>18</v>
      </c>
      <c r="E4309" s="6">
        <v>2</v>
      </c>
      <c r="F4309" s="6">
        <v>3</v>
      </c>
      <c r="G4309" s="6" t="s">
        <v>13</v>
      </c>
      <c r="H4309" s="6" t="s">
        <v>17</v>
      </c>
      <c r="I4309" s="6">
        <f>TabJogos[[#This Row],[PontosTime1]]-TabJogos[[#This Row],[PontosTime2]]</f>
        <v>-1</v>
      </c>
    </row>
    <row r="4310" spans="1:9" ht="15" customHeight="1" x14ac:dyDescent="0.25">
      <c r="A4310" s="7">
        <v>4309</v>
      </c>
      <c r="B4310" s="1">
        <v>43713</v>
      </c>
      <c r="C4310" s="6" t="s">
        <v>11</v>
      </c>
      <c r="D4310" s="6" t="s">
        <v>17</v>
      </c>
      <c r="E4310" s="6">
        <v>3</v>
      </c>
      <c r="F4310" s="6">
        <v>0</v>
      </c>
      <c r="G4310" s="6" t="s">
        <v>13</v>
      </c>
      <c r="H4310" s="6" t="s">
        <v>18</v>
      </c>
      <c r="I4310" s="6">
        <f>TabJogos[[#This Row],[PontosTime1]]-TabJogos[[#This Row],[PontosTime2]]</f>
        <v>3</v>
      </c>
    </row>
    <row r="4311" spans="1:9" ht="15" customHeight="1" x14ac:dyDescent="0.25">
      <c r="A4311" s="7">
        <v>4310</v>
      </c>
      <c r="B4311" s="1">
        <v>43713</v>
      </c>
      <c r="C4311" s="6" t="s">
        <v>11</v>
      </c>
      <c r="D4311" s="6" t="s">
        <v>13</v>
      </c>
      <c r="E4311" s="6">
        <v>3</v>
      </c>
      <c r="F4311" s="6">
        <v>1</v>
      </c>
      <c r="G4311" s="6" t="s">
        <v>17</v>
      </c>
      <c r="H4311" s="6" t="s">
        <v>18</v>
      </c>
      <c r="I4311" s="6">
        <f>TabJogos[[#This Row],[PontosTime1]]-TabJogos[[#This Row],[PontosTime2]]</f>
        <v>2</v>
      </c>
    </row>
    <row r="4312" spans="1:9" ht="15" customHeight="1" x14ac:dyDescent="0.25">
      <c r="A4312" s="7">
        <v>4311</v>
      </c>
      <c r="B4312" s="1">
        <v>43713</v>
      </c>
      <c r="C4312" s="6" t="s">
        <v>11</v>
      </c>
      <c r="D4312" s="6" t="s">
        <v>18</v>
      </c>
      <c r="E4312" s="6">
        <v>2</v>
      </c>
      <c r="F4312" s="6">
        <v>3</v>
      </c>
      <c r="G4312" s="6" t="s">
        <v>17</v>
      </c>
      <c r="H4312" s="6" t="s">
        <v>13</v>
      </c>
      <c r="I4312" s="6">
        <f>TabJogos[[#This Row],[PontosTime1]]-TabJogos[[#This Row],[PontosTime2]]</f>
        <v>-1</v>
      </c>
    </row>
    <row r="4313" spans="1:9" ht="15" customHeight="1" x14ac:dyDescent="0.25">
      <c r="A4313" s="7">
        <v>4312</v>
      </c>
      <c r="B4313" s="1">
        <v>43714</v>
      </c>
      <c r="C4313" s="6" t="s">
        <v>17</v>
      </c>
      <c r="D4313" s="6" t="s">
        <v>10</v>
      </c>
      <c r="E4313" s="6">
        <v>4</v>
      </c>
      <c r="F4313" s="6">
        <v>0</v>
      </c>
      <c r="G4313" s="6" t="s">
        <v>13</v>
      </c>
      <c r="H4313" s="6" t="s">
        <v>11</v>
      </c>
      <c r="I4313" s="6">
        <f>TabJogos[[#This Row],[PontosTime1]]-TabJogos[[#This Row],[PontosTime2]]</f>
        <v>4</v>
      </c>
    </row>
    <row r="4314" spans="1:9" ht="15" customHeight="1" x14ac:dyDescent="0.25">
      <c r="A4314" s="7">
        <v>4313</v>
      </c>
      <c r="B4314" s="1">
        <v>43714</v>
      </c>
      <c r="C4314" s="6" t="s">
        <v>12</v>
      </c>
      <c r="D4314" s="6" t="s">
        <v>10</v>
      </c>
      <c r="E4314" s="6">
        <v>3</v>
      </c>
      <c r="F4314" s="6">
        <v>1</v>
      </c>
      <c r="G4314" s="6" t="s">
        <v>17</v>
      </c>
      <c r="H4314" s="6" t="s">
        <v>18</v>
      </c>
      <c r="I4314" s="6">
        <f>TabJogos[[#This Row],[PontosTime1]]-TabJogos[[#This Row],[PontosTime2]]</f>
        <v>2</v>
      </c>
    </row>
    <row r="4315" spans="1:9" ht="15" customHeight="1" x14ac:dyDescent="0.25">
      <c r="A4315" s="7">
        <v>4314</v>
      </c>
      <c r="B4315" s="1">
        <v>43714</v>
      </c>
      <c r="C4315" s="6" t="s">
        <v>13</v>
      </c>
      <c r="D4315" s="6" t="s">
        <v>10</v>
      </c>
      <c r="E4315" s="6">
        <v>0</v>
      </c>
      <c r="F4315" s="6">
        <v>3</v>
      </c>
      <c r="G4315" s="6" t="s">
        <v>12</v>
      </c>
      <c r="H4315" s="6" t="s">
        <v>11</v>
      </c>
      <c r="I4315" s="6">
        <f>TabJogos[[#This Row],[PontosTime1]]-TabJogos[[#This Row],[PontosTime2]]</f>
        <v>-3</v>
      </c>
    </row>
    <row r="4316" spans="1:9" ht="15" customHeight="1" x14ac:dyDescent="0.25">
      <c r="A4316" s="7">
        <v>4315</v>
      </c>
      <c r="B4316" s="1">
        <v>43714</v>
      </c>
      <c r="C4316" s="6" t="s">
        <v>12</v>
      </c>
      <c r="D4316" s="6" t="s">
        <v>18</v>
      </c>
      <c r="E4316" s="6">
        <v>1</v>
      </c>
      <c r="F4316" s="6">
        <v>3</v>
      </c>
      <c r="G4316" s="6" t="s">
        <v>11</v>
      </c>
      <c r="H4316" s="6" t="s">
        <v>17</v>
      </c>
      <c r="I4316" s="6">
        <f>TabJogos[[#This Row],[PontosTime1]]-TabJogos[[#This Row],[PontosTime2]]</f>
        <v>-2</v>
      </c>
    </row>
    <row r="4317" spans="1:9" ht="15" customHeight="1" x14ac:dyDescent="0.25">
      <c r="A4317" s="7">
        <v>4316</v>
      </c>
      <c r="B4317" s="1">
        <v>43714</v>
      </c>
      <c r="C4317" s="6" t="s">
        <v>11</v>
      </c>
      <c r="D4317" s="6" t="s">
        <v>10</v>
      </c>
      <c r="E4317" s="6">
        <v>1</v>
      </c>
      <c r="F4317" s="6">
        <v>3</v>
      </c>
      <c r="G4317" s="6" t="s">
        <v>17</v>
      </c>
      <c r="H4317" s="6" t="s">
        <v>41</v>
      </c>
      <c r="I4317" s="6">
        <f>TabJogos[[#This Row],[PontosTime1]]-TabJogos[[#This Row],[PontosTime2]]</f>
        <v>-2</v>
      </c>
    </row>
    <row r="4318" spans="1:9" ht="15" customHeight="1" x14ac:dyDescent="0.25">
      <c r="A4318" s="7">
        <v>4317</v>
      </c>
      <c r="B4318" s="1">
        <v>43714</v>
      </c>
      <c r="C4318" s="6" t="s">
        <v>41</v>
      </c>
      <c r="D4318" s="6" t="s">
        <v>18</v>
      </c>
      <c r="E4318" s="6">
        <v>4</v>
      </c>
      <c r="F4318" s="6">
        <v>0</v>
      </c>
      <c r="G4318" s="6" t="s">
        <v>17</v>
      </c>
      <c r="H4318" s="6" t="s">
        <v>13</v>
      </c>
      <c r="I4318" s="6">
        <f>TabJogos[[#This Row],[PontosTime1]]-TabJogos[[#This Row],[PontosTime2]]</f>
        <v>4</v>
      </c>
    </row>
    <row r="4319" spans="1:9" ht="15" customHeight="1" x14ac:dyDescent="0.25">
      <c r="A4319" s="7">
        <v>4318</v>
      </c>
      <c r="B4319" s="1">
        <v>43714</v>
      </c>
      <c r="C4319" s="6" t="s">
        <v>12</v>
      </c>
      <c r="D4319" s="6" t="s">
        <v>41</v>
      </c>
      <c r="E4319" s="6">
        <v>0</v>
      </c>
      <c r="F4319" s="6">
        <v>3</v>
      </c>
      <c r="G4319" s="6" t="s">
        <v>18</v>
      </c>
      <c r="H4319" s="6" t="s">
        <v>11</v>
      </c>
      <c r="I4319" s="6">
        <f>TabJogos[[#This Row],[PontosTime1]]-TabJogos[[#This Row],[PontosTime2]]</f>
        <v>-3</v>
      </c>
    </row>
    <row r="4320" spans="1:9" ht="15" customHeight="1" x14ac:dyDescent="0.25">
      <c r="A4320" s="7">
        <v>4319</v>
      </c>
      <c r="B4320" s="1">
        <v>43714</v>
      </c>
      <c r="C4320" s="6" t="s">
        <v>11</v>
      </c>
      <c r="D4320" s="6" t="s">
        <v>10</v>
      </c>
      <c r="E4320" s="6">
        <v>0</v>
      </c>
      <c r="F4320" s="6">
        <v>3</v>
      </c>
      <c r="G4320" s="6" t="s">
        <v>18</v>
      </c>
      <c r="H4320" s="6" t="s">
        <v>13</v>
      </c>
      <c r="I4320" s="6">
        <f>TabJogos[[#This Row],[PontosTime1]]-TabJogos[[#This Row],[PontosTime2]]</f>
        <v>-3</v>
      </c>
    </row>
    <row r="4321" spans="1:9" ht="15" customHeight="1" x14ac:dyDescent="0.25">
      <c r="A4321" s="7">
        <v>4320</v>
      </c>
      <c r="B4321" s="1">
        <v>43714</v>
      </c>
      <c r="C4321" s="6" t="s">
        <v>11</v>
      </c>
      <c r="D4321" s="6" t="s">
        <v>18</v>
      </c>
      <c r="E4321" s="6">
        <v>3</v>
      </c>
      <c r="F4321" s="6">
        <v>2</v>
      </c>
      <c r="G4321" s="6" t="s">
        <v>41</v>
      </c>
      <c r="H4321" s="6" t="s">
        <v>13</v>
      </c>
      <c r="I4321" s="6">
        <f>TabJogos[[#This Row],[PontosTime1]]-TabJogos[[#This Row],[PontosTime2]]</f>
        <v>1</v>
      </c>
    </row>
    <row r="4322" spans="1:9" ht="15" customHeight="1" x14ac:dyDescent="0.25">
      <c r="A4322" s="7">
        <v>4321</v>
      </c>
      <c r="B4322" s="1">
        <v>43714</v>
      </c>
      <c r="C4322" s="6" t="s">
        <v>10</v>
      </c>
      <c r="D4322" s="6" t="s">
        <v>18</v>
      </c>
      <c r="E4322" s="6">
        <v>2</v>
      </c>
      <c r="F4322" s="6">
        <v>3</v>
      </c>
      <c r="G4322" s="6" t="s">
        <v>41</v>
      </c>
      <c r="H4322" s="6" t="s">
        <v>11</v>
      </c>
      <c r="I4322" s="6">
        <f>TabJogos[[#This Row],[PontosTime1]]-TabJogos[[#This Row],[PontosTime2]]</f>
        <v>-1</v>
      </c>
    </row>
    <row r="4323" spans="1:9" ht="15" customHeight="1" x14ac:dyDescent="0.25">
      <c r="A4323" s="7">
        <v>4322</v>
      </c>
      <c r="B4323" s="1">
        <v>43714</v>
      </c>
      <c r="C4323" s="6" t="s">
        <v>11</v>
      </c>
      <c r="D4323" s="6" t="s">
        <v>13</v>
      </c>
      <c r="E4323" s="6">
        <v>4</v>
      </c>
      <c r="F4323" s="6">
        <v>1</v>
      </c>
      <c r="G4323" s="6" t="s">
        <v>41</v>
      </c>
      <c r="H4323" s="6" t="s">
        <v>18</v>
      </c>
      <c r="I4323" s="6">
        <f>TabJogos[[#This Row],[PontosTime1]]-TabJogos[[#This Row],[PontosTime2]]</f>
        <v>3</v>
      </c>
    </row>
    <row r="4324" spans="1:9" ht="15" customHeight="1" x14ac:dyDescent="0.25">
      <c r="A4324" s="7">
        <v>4323</v>
      </c>
      <c r="B4324" s="1">
        <v>43714</v>
      </c>
      <c r="C4324" s="6" t="s">
        <v>11</v>
      </c>
      <c r="D4324" s="6" t="s">
        <v>18</v>
      </c>
      <c r="E4324" s="6">
        <v>2</v>
      </c>
      <c r="F4324" s="6">
        <v>3</v>
      </c>
      <c r="G4324" s="6" t="s">
        <v>41</v>
      </c>
      <c r="H4324" s="6" t="s">
        <v>13</v>
      </c>
      <c r="I4324" s="6">
        <f>TabJogos[[#This Row],[PontosTime1]]-TabJogos[[#This Row],[PontosTime2]]</f>
        <v>-1</v>
      </c>
    </row>
    <row r="4325" spans="1:9" ht="15" customHeight="1" x14ac:dyDescent="0.25">
      <c r="A4325" s="7">
        <v>4324</v>
      </c>
      <c r="B4325" s="1">
        <v>43714</v>
      </c>
      <c r="C4325" s="6" t="s">
        <v>11</v>
      </c>
      <c r="D4325" s="6" t="s">
        <v>41</v>
      </c>
      <c r="E4325" s="6">
        <v>3</v>
      </c>
      <c r="F4325" s="6">
        <v>1</v>
      </c>
      <c r="G4325" s="6" t="s">
        <v>18</v>
      </c>
      <c r="H4325" s="6" t="s">
        <v>13</v>
      </c>
      <c r="I4325" s="6">
        <f>TabJogos[[#This Row],[PontosTime1]]-TabJogos[[#This Row],[PontosTime2]]</f>
        <v>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818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438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380</v>
      </c>
      <c r="E3" s="3">
        <f t="shared" ca="1" si="0"/>
        <v>58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73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133</v>
      </c>
      <c r="H3" s="4">
        <f t="shared" ca="1" si="1"/>
        <v>0.53545232273838628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53.545232273838629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744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407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337</v>
      </c>
      <c r="E4" s="3">
        <f t="shared" ca="1" si="0"/>
        <v>70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97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192</v>
      </c>
      <c r="H4" s="4">
        <f t="shared" ca="1" si="1"/>
        <v>0.54704301075268813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54.704301075268816</v>
      </c>
      <c r="L4" s="12" t="s">
        <v>54</v>
      </c>
      <c r="M4" s="14">
        <f ca="1">EOMONTH(TODAY(),0)</f>
        <v>43738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1357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710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647</v>
      </c>
      <c r="E6" s="3">
        <f t="shared" ca="1" si="0"/>
        <v>63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134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130</v>
      </c>
      <c r="H6" s="4">
        <f t="shared" ca="1" si="1"/>
        <v>0.52321296978629328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52.321296978629327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393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199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194</v>
      </c>
      <c r="E7" s="3">
        <f t="shared" ca="1" si="0"/>
        <v>5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38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22</v>
      </c>
      <c r="H7" s="4">
        <f t="shared" ca="1" si="1"/>
        <v>0.50636132315521631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50.636132315521628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2755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1448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1307</v>
      </c>
      <c r="E8" s="3">
        <f t="shared" ca="1" si="0"/>
        <v>141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278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472</v>
      </c>
      <c r="H8" s="4">
        <f t="shared" ca="1" si="1"/>
        <v>0.52558983666061709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52.558983666061707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2314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1175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1139</v>
      </c>
      <c r="E9" s="3">
        <f t="shared" ca="1" si="0"/>
        <v>36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229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137</v>
      </c>
      <c r="H9" s="4">
        <f t="shared" ca="1" si="1"/>
        <v>0.50777873811581675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50.777873811581678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1011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495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516</v>
      </c>
      <c r="E10" s="3">
        <f t="shared" ca="1" si="0"/>
        <v>-21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82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-70</v>
      </c>
      <c r="H10" s="4">
        <f t="shared" ca="1" si="1"/>
        <v>0.48961424332344211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48.961424332344208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1170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578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592</v>
      </c>
      <c r="E12" s="3">
        <f t="shared" ca="1" si="0"/>
        <v>-14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124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-26</v>
      </c>
      <c r="H12" s="4">
        <f t="shared" ca="1" si="1"/>
        <v>0.49401709401709404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49.401709401709404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776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380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396</v>
      </c>
      <c r="E14" s="3">
        <f t="shared" ca="1" si="0"/>
        <v>-16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98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-45</v>
      </c>
      <c r="H14" s="4">
        <f t="shared" ca="1" si="1"/>
        <v>0.48969072164948452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48.96907216494845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2498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1095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1403</v>
      </c>
      <c r="E17" s="3">
        <f t="shared" ca="1" si="0"/>
        <v>-308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216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-1050</v>
      </c>
      <c r="H17" s="4">
        <f t="shared" ca="1" si="1"/>
        <v>0.43835068054443554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43.835068054443553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536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235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301</v>
      </c>
      <c r="E18" s="3">
        <f t="shared" ca="1" si="0"/>
        <v>-66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42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-195</v>
      </c>
      <c r="H18" s="4">
        <f t="shared" ca="1" si="1"/>
        <v>0.43843283582089554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43.843283582089555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2019-09-06T21:07:51Z</dcterms:modified>
  <cp:category/>
  <cp:contentStatus/>
</cp:coreProperties>
</file>
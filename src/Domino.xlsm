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E0BF9375-9B53-4178-9D31-ED0F2B57391F}" xr6:coauthVersionLast="44" xr6:coauthVersionMax="44" xr10:uidLastSave="{00000000-0000-0000-0000-000000000000}"/>
  <bookViews>
    <workbookView xWindow="1080" yWindow="1080" windowWidth="21600" windowHeight="11385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337" i="3" l="1"/>
  <c r="I4338" i="3"/>
  <c r="I4298" i="3"/>
  <c r="I4299" i="3"/>
  <c r="I4300" i="3"/>
  <c r="I4301" i="3"/>
  <c r="I4302" i="3"/>
  <c r="I4303" i="3"/>
  <c r="I4304" i="3"/>
  <c r="I4305" i="3"/>
  <c r="I4306" i="3"/>
  <c r="I4307" i="3"/>
  <c r="I4308" i="3"/>
  <c r="I4335" i="3" l="1"/>
  <c r="I433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309" i="3"/>
  <c r="I4310" i="3"/>
  <c r="I4311" i="3"/>
  <c r="I4312" i="3"/>
  <c r="I4313" i="3"/>
  <c r="I4314" i="3"/>
  <c r="I4315" i="3"/>
  <c r="I4316" i="3"/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<sst xmlns="http://schemas.openxmlformats.org/spreadsheetml/2006/main" count="17398" uniqueCount="64">
  <si>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</si>
  <si>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</si>
  <si>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</si>
  <si>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</si>
  <si>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</si>
  <si>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</si>
  <si>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</si>
  <si>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</si>
  <si>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</si>
  <si>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</si>
  <si>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</si>
  <si>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</si>
  <si>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</si>
  <si>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</si>
  <si>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</si>
  <si>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</si>
  <si>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</si>
  <si>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</si>
  <si>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</si>
  <si>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</si>
  <si>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</si>
  <si>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</si>
  <si>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</si>
  <si>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</si>
  <si>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</si>
  <si>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</si>
  <si>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</si>
  <si>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</si>
  <si>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</si>
  <si>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</si>
  <si>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</si>
  <si>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</si>
  <si>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</si>
  <si>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</si>
  <si>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</si>
  <si>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</si>
  <si>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</si>
  <si>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</si>
  <si>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</si>
  <si>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</si>
  <si>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</si>
  <si>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</si>
  <si>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</si>
  <si>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</si>
  <si>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</si>
  <si>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</si>
  <si>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</si>
  <si>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</si>
  <si>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</si>
  <si>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</si>
  <si>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</si>
  <si>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</si>
  <si>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</si>
  <si>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</si>
  <si>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</si>
  <si>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</si>
  <si>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</si>
  <si>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</si>
  <si>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</si>
  <si>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</si>
  <si>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</si>
  <si>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</si>
  <si>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</si>
  <si>
    <t xml:space="preserve"> 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</si>
</sst>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338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338"/>
  <sheetViews>
    <sheetView tabSelected="1" zoomScaleNormal="100" workbookViewId="0">
      <pane ySplit="1" topLeftCell="A4315" activePane="bottomLeft" state="frozenSplit"/>
      <selection activeCell="D1" sqref="D1 D1"/>
      <selection pane="bottomLeft" activeCell="A4338" sqref="A4338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  <row r="4275" spans="1:9" ht="15" customHeight="1" x14ac:dyDescent="0.25">
      <c r="A4275" s="7">
        <v>4274</v>
      </c>
      <c r="B4275" s="1">
        <v>43710</v>
      </c>
      <c r="C4275" s="6" t="s">
        <v>11</v>
      </c>
      <c r="D4275" s="6" t="s">
        <v>17</v>
      </c>
      <c r="E4275" s="6">
        <v>2</v>
      </c>
      <c r="F4275" s="6">
        <v>3</v>
      </c>
      <c r="G4275" s="6" t="s">
        <v>10</v>
      </c>
      <c r="H4275" s="6" t="s">
        <v>13</v>
      </c>
      <c r="I4275" s="6">
        <f>TabJogos[[#This Row],[PontosTime1]]-TabJogos[[#This Row],[PontosTime2]]</f>
        <v>-1</v>
      </c>
    </row>
    <row r="4276" spans="1:9" ht="15" customHeight="1" x14ac:dyDescent="0.25">
      <c r="A4276" s="7">
        <v>4275</v>
      </c>
      <c r="B4276" s="1">
        <v>43710</v>
      </c>
      <c r="C4276" s="6" t="s">
        <v>10</v>
      </c>
      <c r="D4276" s="6" t="s">
        <v>12</v>
      </c>
      <c r="E4276" s="6">
        <v>3</v>
      </c>
      <c r="F4276" s="6">
        <v>0</v>
      </c>
      <c r="G4276" s="6" t="s">
        <v>13</v>
      </c>
      <c r="H4276" s="6" t="s">
        <v>17</v>
      </c>
      <c r="I4276" s="6">
        <f>TabJogos[[#This Row],[PontosTime1]]-TabJogos[[#This Row],[PontosTime2]]</f>
        <v>3</v>
      </c>
    </row>
    <row r="4277" spans="1:9" ht="15" customHeight="1" x14ac:dyDescent="0.25">
      <c r="A4277" s="7">
        <v>4276</v>
      </c>
      <c r="B4277" s="1">
        <v>43710</v>
      </c>
      <c r="C4277" s="6" t="s">
        <v>11</v>
      </c>
      <c r="D4277" s="6" t="s">
        <v>13</v>
      </c>
      <c r="E4277" s="6">
        <v>3</v>
      </c>
      <c r="F4277" s="6">
        <v>1</v>
      </c>
      <c r="G4277" s="6" t="s">
        <v>17</v>
      </c>
      <c r="H4277" s="6" t="s">
        <v>10</v>
      </c>
      <c r="I4277" s="6">
        <f>TabJogos[[#This Row],[PontosTime1]]-TabJogos[[#This Row],[PontosTime2]]</f>
        <v>2</v>
      </c>
    </row>
    <row r="4278" spans="1:9" ht="15" customHeight="1" x14ac:dyDescent="0.25">
      <c r="A4278" s="7">
        <v>4277</v>
      </c>
      <c r="B4278" s="1">
        <v>43710</v>
      </c>
      <c r="C4278" s="6" t="s">
        <v>11</v>
      </c>
      <c r="D4278" s="6" t="s">
        <v>10</v>
      </c>
      <c r="E4278" s="6">
        <v>0</v>
      </c>
      <c r="F4278" s="6">
        <v>3</v>
      </c>
      <c r="G4278" s="6" t="s">
        <v>13</v>
      </c>
      <c r="H4278" s="6" t="s">
        <v>17</v>
      </c>
      <c r="I4278" s="6">
        <f>TabJogos[[#This Row],[PontosTime1]]-TabJogos[[#This Row],[PontosTime2]]</f>
        <v>-3</v>
      </c>
    </row>
    <row r="4279" spans="1:9" ht="15" customHeight="1" x14ac:dyDescent="0.25">
      <c r="A4279" s="7">
        <v>4278</v>
      </c>
      <c r="B4279" s="1">
        <v>43710</v>
      </c>
      <c r="C4279" s="6" t="s">
        <v>11</v>
      </c>
      <c r="D4279" s="6" t="s">
        <v>17</v>
      </c>
      <c r="E4279" s="6">
        <v>3</v>
      </c>
      <c r="F4279" s="6">
        <v>0</v>
      </c>
      <c r="G4279" s="6" t="s">
        <v>9</v>
      </c>
      <c r="H4279" s="6" t="s">
        <v>13</v>
      </c>
      <c r="I4279" s="6">
        <f>TabJogos[[#This Row],[PontosTime1]]-TabJogos[[#This Row],[PontosTime2]]</f>
        <v>3</v>
      </c>
    </row>
    <row r="4280" spans="1:9" ht="15" customHeight="1" x14ac:dyDescent="0.25">
      <c r="A4280" s="7">
        <v>4279</v>
      </c>
      <c r="B4280" s="1">
        <v>43710</v>
      </c>
      <c r="C4280" s="6" t="s">
        <v>11</v>
      </c>
      <c r="D4280" s="6" t="s">
        <v>9</v>
      </c>
      <c r="E4280" s="6">
        <v>3</v>
      </c>
      <c r="F4280" s="6">
        <v>1</v>
      </c>
      <c r="G4280" s="6" t="s">
        <v>17</v>
      </c>
      <c r="H4280" s="6" t="s">
        <v>41</v>
      </c>
      <c r="I4280" s="6">
        <f>TabJogos[[#This Row],[PontosTime1]]-TabJogos[[#This Row],[PontosTime2]]</f>
        <v>2</v>
      </c>
    </row>
    <row r="4281" spans="1:9" ht="15" customHeight="1" x14ac:dyDescent="0.25">
      <c r="A4281" s="7">
        <v>4280</v>
      </c>
      <c r="B4281" s="1">
        <v>43710</v>
      </c>
      <c r="C4281" s="6" t="s">
        <v>11</v>
      </c>
      <c r="D4281" s="6" t="s">
        <v>13</v>
      </c>
      <c r="E4281" s="6">
        <v>3</v>
      </c>
      <c r="F4281" s="6">
        <v>1</v>
      </c>
      <c r="G4281" s="6" t="s">
        <v>17</v>
      </c>
      <c r="H4281" s="6" t="s">
        <v>9</v>
      </c>
      <c r="I4281" s="6">
        <f>TabJogos[[#This Row],[PontosTime1]]-TabJogos[[#This Row],[PontosTime2]]</f>
        <v>2</v>
      </c>
    </row>
    <row r="4282" spans="1:9" ht="15" customHeight="1" x14ac:dyDescent="0.25">
      <c r="A4282" s="7">
        <v>4281</v>
      </c>
      <c r="B4282" s="1">
        <v>43710</v>
      </c>
      <c r="C4282" s="6" t="s">
        <v>11</v>
      </c>
      <c r="D4282" s="6" t="s">
        <v>17</v>
      </c>
      <c r="E4282" s="6">
        <v>0</v>
      </c>
      <c r="F4282" s="6">
        <v>4</v>
      </c>
      <c r="G4282" s="6" t="s">
        <v>13</v>
      </c>
      <c r="H4282" s="6" t="s">
        <v>9</v>
      </c>
      <c r="I4282" s="6">
        <f>TabJogos[[#This Row],[PontosTime1]]-TabJogos[[#This Row],[PontosTime2]]</f>
        <v>-4</v>
      </c>
    </row>
    <row r="4283" spans="1:9" ht="15" customHeight="1" x14ac:dyDescent="0.25">
      <c r="A4283" s="7">
        <v>4282</v>
      </c>
      <c r="B4283" s="1">
        <v>43710</v>
      </c>
      <c r="C4283" s="6" t="s">
        <v>11</v>
      </c>
      <c r="D4283" s="6" t="s">
        <v>9</v>
      </c>
      <c r="E4283" s="6">
        <v>1</v>
      </c>
      <c r="F4283" s="6">
        <v>3</v>
      </c>
      <c r="G4283" s="6" t="s">
        <v>17</v>
      </c>
      <c r="H4283" s="6" t="s">
        <v>41</v>
      </c>
      <c r="I4283" s="6">
        <f>TabJogos[[#This Row],[PontosTime1]]-TabJogos[[#This Row],[PontosTime2]]</f>
        <v>-2</v>
      </c>
    </row>
    <row r="4284" spans="1:9" ht="15" customHeight="1" x14ac:dyDescent="0.25">
      <c r="A4284" s="7">
        <v>4283</v>
      </c>
      <c r="B4284" s="1">
        <v>43711</v>
      </c>
      <c r="C4284" s="6" t="s">
        <v>18</v>
      </c>
      <c r="D4284" s="6" t="s">
        <v>13</v>
      </c>
      <c r="E4284" s="6">
        <v>3</v>
      </c>
      <c r="F4284" s="6">
        <v>1</v>
      </c>
      <c r="G4284" s="6" t="s">
        <v>10</v>
      </c>
      <c r="H4284" s="6" t="s">
        <v>11</v>
      </c>
      <c r="I4284" s="6">
        <f>TabJogos[[#This Row],[PontosTime1]]-TabJogos[[#This Row],[PontosTime2]]</f>
        <v>2</v>
      </c>
    </row>
    <row r="4285" spans="1:9" ht="15" customHeight="1" x14ac:dyDescent="0.25">
      <c r="A4285" s="7">
        <v>4284</v>
      </c>
      <c r="B4285" s="1">
        <v>43711</v>
      </c>
      <c r="C4285" s="6" t="s">
        <v>10</v>
      </c>
      <c r="D4285" s="6" t="s">
        <v>13</v>
      </c>
      <c r="E4285" s="6">
        <v>1</v>
      </c>
      <c r="F4285" s="6">
        <v>3</v>
      </c>
      <c r="G4285" s="6" t="s">
        <v>18</v>
      </c>
      <c r="H4285" s="6" t="s">
        <v>12</v>
      </c>
      <c r="I4285" s="6">
        <f>TabJogos[[#This Row],[PontosTime1]]-TabJogos[[#This Row],[PontosTime2]]</f>
        <v>-2</v>
      </c>
    </row>
    <row r="4286" spans="1:9" ht="15" customHeight="1" x14ac:dyDescent="0.25">
      <c r="A4286" s="7">
        <v>4285</v>
      </c>
      <c r="B4286" s="1">
        <v>43711</v>
      </c>
      <c r="C4286" s="6" t="s">
        <v>18</v>
      </c>
      <c r="D4286" s="6" t="s">
        <v>11</v>
      </c>
      <c r="E4286" s="6">
        <v>3</v>
      </c>
      <c r="F4286" s="6">
        <v>2</v>
      </c>
      <c r="G4286" s="6" t="s">
        <v>12</v>
      </c>
      <c r="H4286" s="6" t="s">
        <v>10</v>
      </c>
      <c r="I4286" s="6">
        <f>TabJogos[[#This Row],[PontosTime1]]-TabJogos[[#This Row],[PontosTime2]]</f>
        <v>1</v>
      </c>
    </row>
    <row r="4287" spans="1:9" ht="15" customHeight="1" x14ac:dyDescent="0.25">
      <c r="A4287" s="7">
        <v>4286</v>
      </c>
      <c r="B4287" s="1">
        <v>43711</v>
      </c>
      <c r="C4287" s="6" t="s">
        <v>10</v>
      </c>
      <c r="D4287" s="6" t="s">
        <v>18</v>
      </c>
      <c r="E4287" s="6">
        <v>3</v>
      </c>
      <c r="F4287" s="6">
        <v>2</v>
      </c>
      <c r="G4287" s="6" t="s">
        <v>11</v>
      </c>
      <c r="H4287" s="6" t="s">
        <v>13</v>
      </c>
      <c r="I4287" s="6">
        <f>TabJogos[[#This Row],[PontosTime1]]-TabJogos[[#This Row],[PontosTime2]]</f>
        <v>1</v>
      </c>
    </row>
    <row r="4288" spans="1:9" ht="15" customHeight="1" x14ac:dyDescent="0.25">
      <c r="A4288" s="7">
        <v>4287</v>
      </c>
      <c r="B4288" s="1">
        <v>43711</v>
      </c>
      <c r="C4288" s="6" t="s">
        <v>10</v>
      </c>
      <c r="D4288" s="6" t="s">
        <v>11</v>
      </c>
      <c r="E4288" s="6">
        <v>3</v>
      </c>
      <c r="F4288" s="6">
        <v>0</v>
      </c>
      <c r="G4288" s="6" t="s">
        <v>18</v>
      </c>
      <c r="H4288" s="6" t="s">
        <v>13</v>
      </c>
      <c r="I4288" s="6">
        <f>TabJogos[[#This Row],[PontosTime1]]-TabJogos[[#This Row],[PontosTime2]]</f>
        <v>3</v>
      </c>
    </row>
    <row r="4289" spans="1:9" ht="15" customHeight="1" x14ac:dyDescent="0.25">
      <c r="A4289" s="7">
        <v>4288</v>
      </c>
      <c r="B4289" s="1">
        <v>43711</v>
      </c>
      <c r="C4289" s="6" t="s">
        <v>10</v>
      </c>
      <c r="D4289" s="6" t="s">
        <v>13</v>
      </c>
      <c r="E4289" s="6">
        <v>3</v>
      </c>
      <c r="F4289" s="6">
        <v>1</v>
      </c>
      <c r="G4289" s="6" t="s">
        <v>18</v>
      </c>
      <c r="H4289" s="6" t="s">
        <v>11</v>
      </c>
      <c r="I4289" s="6">
        <f>TabJogos[[#This Row],[PontosTime1]]-TabJogos[[#This Row],[PontosTime2]]</f>
        <v>2</v>
      </c>
    </row>
    <row r="4290" spans="1:9" ht="15" customHeight="1" x14ac:dyDescent="0.25">
      <c r="A4290" s="7">
        <v>4289</v>
      </c>
      <c r="B4290" s="1">
        <v>43711</v>
      </c>
      <c r="C4290" s="6" t="s">
        <v>10</v>
      </c>
      <c r="D4290" s="6" t="s">
        <v>18</v>
      </c>
      <c r="E4290" s="6">
        <v>4</v>
      </c>
      <c r="F4290" s="6">
        <v>1</v>
      </c>
      <c r="G4290" s="6" t="s">
        <v>11</v>
      </c>
      <c r="H4290" s="6" t="s">
        <v>13</v>
      </c>
      <c r="I4290" s="6">
        <f>TabJogos[[#This Row],[PontosTime1]]-TabJogos[[#This Row],[PontosTime2]]</f>
        <v>3</v>
      </c>
    </row>
    <row r="4291" spans="1:9" ht="15" customHeight="1" x14ac:dyDescent="0.25">
      <c r="A4291" s="7">
        <v>4290</v>
      </c>
      <c r="B4291" s="1">
        <v>43711</v>
      </c>
      <c r="C4291" s="6" t="s">
        <v>10</v>
      </c>
      <c r="D4291" s="6" t="s">
        <v>11</v>
      </c>
      <c r="E4291" s="6">
        <v>1</v>
      </c>
      <c r="F4291" s="6">
        <v>3</v>
      </c>
      <c r="G4291" s="6" t="s">
        <v>18</v>
      </c>
      <c r="H4291" s="6" t="s">
        <v>13</v>
      </c>
      <c r="I4291" s="6">
        <f>TabJogos[[#This Row],[PontosTime1]]-TabJogos[[#This Row],[PontosTime2]]</f>
        <v>-2</v>
      </c>
    </row>
    <row r="4292" spans="1:9" ht="15" customHeight="1" x14ac:dyDescent="0.25">
      <c r="A4292" s="7">
        <v>4291</v>
      </c>
      <c r="B4292" s="1">
        <v>43711</v>
      </c>
      <c r="C4292" s="6" t="s">
        <v>10</v>
      </c>
      <c r="D4292" s="6" t="s">
        <v>13</v>
      </c>
      <c r="E4292" s="6">
        <v>3</v>
      </c>
      <c r="F4292" s="6">
        <v>1</v>
      </c>
      <c r="G4292" s="6" t="s">
        <v>18</v>
      </c>
      <c r="H4292" s="6" t="s">
        <v>11</v>
      </c>
      <c r="I4292" s="6">
        <f>TabJogos[[#This Row],[PontosTime1]]-TabJogos[[#This Row],[PontosTime2]]</f>
        <v>2</v>
      </c>
    </row>
    <row r="4293" spans="1:9" ht="15" customHeight="1" x14ac:dyDescent="0.25">
      <c r="A4293" s="7">
        <v>4292</v>
      </c>
      <c r="B4293" s="1">
        <v>43711</v>
      </c>
      <c r="C4293" s="6" t="s">
        <v>18</v>
      </c>
      <c r="D4293" s="6" t="s">
        <v>13</v>
      </c>
      <c r="E4293" s="6">
        <v>3</v>
      </c>
      <c r="F4293" s="6">
        <v>1</v>
      </c>
      <c r="G4293" s="6" t="s">
        <v>11</v>
      </c>
      <c r="H4293" s="6" t="s">
        <v>9</v>
      </c>
      <c r="I4293" s="6">
        <f>TabJogos[[#This Row],[PontosTime1]]-TabJogos[[#This Row],[PontosTime2]]</f>
        <v>2</v>
      </c>
    </row>
    <row r="4294" spans="1:9" ht="15" customHeight="1" x14ac:dyDescent="0.25">
      <c r="A4294" s="7">
        <v>4293</v>
      </c>
      <c r="B4294" s="1">
        <v>43711</v>
      </c>
      <c r="C4294" s="6" t="s">
        <v>18</v>
      </c>
      <c r="D4294" s="6" t="s">
        <v>9</v>
      </c>
      <c r="E4294" s="6">
        <v>3</v>
      </c>
      <c r="F4294" s="6">
        <v>2</v>
      </c>
      <c r="G4294" s="6" t="s">
        <v>11</v>
      </c>
      <c r="H4294" s="6" t="s">
        <v>13</v>
      </c>
      <c r="I4294" s="6">
        <f>TabJogos[[#This Row],[PontosTime1]]-TabJogos[[#This Row],[PontosTime2]]</f>
        <v>1</v>
      </c>
    </row>
    <row r="4295" spans="1:9" ht="15" customHeight="1" x14ac:dyDescent="0.25">
      <c r="A4295" s="7">
        <v>4294</v>
      </c>
      <c r="B4295" s="1">
        <v>43711</v>
      </c>
      <c r="C4295" s="6" t="s">
        <v>18</v>
      </c>
      <c r="D4295" s="6" t="s">
        <v>11</v>
      </c>
      <c r="E4295" s="6">
        <v>1</v>
      </c>
      <c r="F4295" s="6">
        <v>4</v>
      </c>
      <c r="G4295" s="6" t="s">
        <v>9</v>
      </c>
      <c r="H4295" s="6" t="s">
        <v>13</v>
      </c>
      <c r="I4295" s="6">
        <f>TabJogos[[#This Row],[PontosTime1]]-TabJogos[[#This Row],[PontosTime2]]</f>
        <v>-3</v>
      </c>
    </row>
    <row r="4296" spans="1:9" ht="15" customHeight="1" x14ac:dyDescent="0.25">
      <c r="A4296" s="7">
        <v>4295</v>
      </c>
      <c r="B4296" s="1">
        <v>43711</v>
      </c>
      <c r="C4296" s="6" t="s">
        <v>11</v>
      </c>
      <c r="D4296" s="6" t="s">
        <v>9</v>
      </c>
      <c r="E4296" s="6">
        <v>0</v>
      </c>
      <c r="F4296" s="6">
        <v>4</v>
      </c>
      <c r="G4296" s="6" t="s">
        <v>18</v>
      </c>
      <c r="H4296" s="6" t="s">
        <v>13</v>
      </c>
      <c r="I4296" s="6">
        <f>TabJogos[[#This Row],[PontosTime1]]-TabJogos[[#This Row],[PontosTime2]]</f>
        <v>-4</v>
      </c>
    </row>
    <row r="4297" spans="1:9" ht="15" customHeight="1" x14ac:dyDescent="0.25">
      <c r="A4297" s="7">
        <v>4296</v>
      </c>
      <c r="B4297" s="1">
        <v>43711</v>
      </c>
      <c r="C4297" s="6" t="s">
        <v>11</v>
      </c>
      <c r="D4297" s="6" t="s">
        <v>13</v>
      </c>
      <c r="E4297" s="6">
        <v>0</v>
      </c>
      <c r="F4297" s="6">
        <v>3</v>
      </c>
      <c r="G4297" s="6" t="s">
        <v>18</v>
      </c>
      <c r="H4297" s="6" t="s">
        <v>9</v>
      </c>
      <c r="I4297" s="6">
        <f>TabJogos[[#This Row],[PontosTime1]]-TabJogos[[#This Row],[PontosTime2]]</f>
        <v>-3</v>
      </c>
    </row>
    <row r="4298" spans="1:9" ht="15" customHeight="1" x14ac:dyDescent="0.25">
      <c r="A4298" s="7">
        <v>4297</v>
      </c>
      <c r="B4298" s="1">
        <v>43712</v>
      </c>
      <c r="C4298" s="6" t="s">
        <v>11</v>
      </c>
      <c r="D4298" s="6" t="s">
        <v>10</v>
      </c>
      <c r="E4298" s="6">
        <v>3</v>
      </c>
      <c r="F4298" s="6">
        <v>2</v>
      </c>
      <c r="G4298" s="6" t="s">
        <v>13</v>
      </c>
      <c r="H4298" s="6" t="s">
        <v>16</v>
      </c>
      <c r="I4298" s="6">
        <f>TabJogos[[#This Row],[PontosTime1]]-TabJogos[[#This Row],[PontosTime2]]</f>
        <v>1</v>
      </c>
    </row>
    <row r="4299" spans="1:9" ht="15" customHeight="1" x14ac:dyDescent="0.25">
      <c r="A4299" s="7">
        <v>4298</v>
      </c>
      <c r="B4299" s="1">
        <v>43712</v>
      </c>
      <c r="C4299" s="6" t="s">
        <v>11</v>
      </c>
      <c r="D4299" s="6" t="s">
        <v>12</v>
      </c>
      <c r="E4299" s="6">
        <v>3</v>
      </c>
      <c r="F4299" s="6">
        <v>0</v>
      </c>
      <c r="G4299" s="6" t="s">
        <v>13</v>
      </c>
      <c r="H4299" s="6" t="s">
        <v>10</v>
      </c>
      <c r="I4299" s="6">
        <f>TabJogos[[#This Row],[PontosTime1]]-TabJogos[[#This Row],[PontosTime2]]</f>
        <v>3</v>
      </c>
    </row>
    <row r="4300" spans="1:9" ht="15" customHeight="1" x14ac:dyDescent="0.25">
      <c r="A4300" s="7">
        <v>4299</v>
      </c>
      <c r="B4300" s="1">
        <v>43712</v>
      </c>
      <c r="C4300" s="6" t="s">
        <v>11</v>
      </c>
      <c r="D4300" s="6" t="s">
        <v>13</v>
      </c>
      <c r="E4300" s="6">
        <v>3</v>
      </c>
      <c r="F4300" s="6">
        <v>1</v>
      </c>
      <c r="G4300" s="6" t="s">
        <v>10</v>
      </c>
      <c r="H4300" s="6" t="s">
        <v>12</v>
      </c>
      <c r="I4300" s="6">
        <f>TabJogos[[#This Row],[PontosTime1]]-TabJogos[[#This Row],[PontosTime2]]</f>
        <v>2</v>
      </c>
    </row>
    <row r="4301" spans="1:9" ht="15" customHeight="1" x14ac:dyDescent="0.25">
      <c r="A4301" s="7">
        <v>4300</v>
      </c>
      <c r="B4301" s="1">
        <v>43712</v>
      </c>
      <c r="C4301" s="6" t="s">
        <v>11</v>
      </c>
      <c r="D4301" s="6" t="s">
        <v>10</v>
      </c>
      <c r="E4301" s="6">
        <v>3</v>
      </c>
      <c r="F4301" s="6">
        <v>0</v>
      </c>
      <c r="G4301" s="6" t="s">
        <v>13</v>
      </c>
      <c r="H4301" s="6" t="s">
        <v>12</v>
      </c>
      <c r="I4301" s="6">
        <f>TabJogos[[#This Row],[PontosTime1]]-TabJogos[[#This Row],[PontosTime2]]</f>
        <v>3</v>
      </c>
    </row>
    <row r="4302" spans="1:9" ht="15" customHeight="1" x14ac:dyDescent="0.25">
      <c r="A4302" s="7">
        <v>4301</v>
      </c>
      <c r="B4302" s="1">
        <v>43712</v>
      </c>
      <c r="C4302" s="6" t="s">
        <v>11</v>
      </c>
      <c r="D4302" s="6" t="s">
        <v>17</v>
      </c>
      <c r="E4302" s="6">
        <v>6</v>
      </c>
      <c r="F4302" s="6">
        <v>2</v>
      </c>
      <c r="G4302" s="6" t="s">
        <v>10</v>
      </c>
      <c r="H4302" s="6" t="s">
        <v>41</v>
      </c>
      <c r="I4302" s="6">
        <f>TabJogos[[#This Row],[PontosTime1]]-TabJogos[[#This Row],[PontosTime2]]</f>
        <v>4</v>
      </c>
    </row>
    <row r="4303" spans="1:9" ht="15" customHeight="1" x14ac:dyDescent="0.25">
      <c r="A4303" s="7">
        <v>4302</v>
      </c>
      <c r="B4303" s="1">
        <v>43712</v>
      </c>
      <c r="C4303" s="6" t="s">
        <v>13</v>
      </c>
      <c r="D4303" s="6" t="s">
        <v>17</v>
      </c>
      <c r="E4303" s="6">
        <v>0</v>
      </c>
      <c r="F4303" s="6">
        <v>3</v>
      </c>
      <c r="G4303" s="6" t="s">
        <v>11</v>
      </c>
      <c r="H4303" s="6" t="s">
        <v>41</v>
      </c>
      <c r="I4303" s="6">
        <f>TabJogos[[#This Row],[PontosTime1]]-TabJogos[[#This Row],[PontosTime2]]</f>
        <v>-3</v>
      </c>
    </row>
    <row r="4304" spans="1:9" ht="15" customHeight="1" x14ac:dyDescent="0.25">
      <c r="A4304" s="7">
        <v>4303</v>
      </c>
      <c r="B4304" s="1">
        <v>43712</v>
      </c>
      <c r="C4304" s="6" t="s">
        <v>11</v>
      </c>
      <c r="D4304" s="6" t="s">
        <v>13</v>
      </c>
      <c r="E4304" s="6">
        <v>2</v>
      </c>
      <c r="F4304" s="6">
        <v>4</v>
      </c>
      <c r="G4304" s="6" t="s">
        <v>41</v>
      </c>
      <c r="H4304" s="6" t="s">
        <v>17</v>
      </c>
      <c r="I4304" s="6">
        <f>TabJogos[[#This Row],[PontosTime1]]-TabJogos[[#This Row],[PontosTime2]]</f>
        <v>-2</v>
      </c>
    </row>
    <row r="4305" spans="1:9" ht="15" customHeight="1" x14ac:dyDescent="0.25">
      <c r="A4305" s="7">
        <v>4304</v>
      </c>
      <c r="B4305" s="1">
        <v>43712</v>
      </c>
      <c r="C4305" s="6" t="s">
        <v>11</v>
      </c>
      <c r="D4305" s="6" t="s">
        <v>17</v>
      </c>
      <c r="E4305" s="6">
        <v>3</v>
      </c>
      <c r="F4305" s="6">
        <v>1</v>
      </c>
      <c r="G4305" s="6" t="s">
        <v>13</v>
      </c>
      <c r="H4305" s="6" t="s">
        <v>9</v>
      </c>
      <c r="I4305" s="6">
        <f>TabJogos[[#This Row],[PontosTime1]]-TabJogos[[#This Row],[PontosTime2]]</f>
        <v>2</v>
      </c>
    </row>
    <row r="4306" spans="1:9" ht="15" customHeight="1" x14ac:dyDescent="0.25">
      <c r="A4306" s="7">
        <v>4305</v>
      </c>
      <c r="B4306" s="1">
        <v>43712</v>
      </c>
      <c r="C4306" s="6" t="s">
        <v>11</v>
      </c>
      <c r="D4306" s="6" t="s">
        <v>9</v>
      </c>
      <c r="E4306" s="6">
        <v>2</v>
      </c>
      <c r="F4306" s="6">
        <v>3</v>
      </c>
      <c r="G4306" s="6" t="s">
        <v>17</v>
      </c>
      <c r="H4306" s="6" t="s">
        <v>13</v>
      </c>
      <c r="I4306" s="6">
        <f>TabJogos[[#This Row],[PontosTime1]]-TabJogos[[#This Row],[PontosTime2]]</f>
        <v>-1</v>
      </c>
    </row>
    <row r="4307" spans="1:9" ht="15" customHeight="1" x14ac:dyDescent="0.25">
      <c r="A4307" s="7">
        <v>4306</v>
      </c>
      <c r="B4307" s="1">
        <v>43712</v>
      </c>
      <c r="C4307" s="6" t="s">
        <v>11</v>
      </c>
      <c r="D4307" s="6" t="s">
        <v>13</v>
      </c>
      <c r="E4307" s="6">
        <v>3</v>
      </c>
      <c r="F4307" s="6">
        <v>0</v>
      </c>
      <c r="G4307" s="6" t="s">
        <v>9</v>
      </c>
      <c r="H4307" s="6" t="s">
        <v>17</v>
      </c>
      <c r="I4307" s="6">
        <f>TabJogos[[#This Row],[PontosTime1]]-TabJogos[[#This Row],[PontosTime2]]</f>
        <v>3</v>
      </c>
    </row>
    <row r="4308" spans="1:9" ht="15" customHeight="1" x14ac:dyDescent="0.25">
      <c r="A4308" s="7">
        <v>4307</v>
      </c>
      <c r="B4308" s="1">
        <v>43712</v>
      </c>
      <c r="C4308" s="6" t="s">
        <v>11</v>
      </c>
      <c r="D4308" s="6" t="s">
        <v>17</v>
      </c>
      <c r="E4308" s="6">
        <v>1</v>
      </c>
      <c r="F4308" s="6">
        <v>4</v>
      </c>
      <c r="G4308" s="6" t="s">
        <v>13</v>
      </c>
      <c r="H4308" s="6" t="s">
        <v>9</v>
      </c>
      <c r="I4308" s="6">
        <f>TabJogos[[#This Row],[PontosTime1]]-TabJogos[[#This Row],[PontosTime2]]</f>
        <v>-3</v>
      </c>
    </row>
    <row r="4309" spans="1:9" ht="15" customHeight="1" x14ac:dyDescent="0.25">
      <c r="A4309" s="7">
        <v>4308</v>
      </c>
      <c r="B4309" s="1">
        <v>43713</v>
      </c>
      <c r="C4309" s="6" t="s">
        <v>9</v>
      </c>
      <c r="D4309" s="6" t="s">
        <v>41</v>
      </c>
      <c r="E4309" s="6">
        <v>3</v>
      </c>
      <c r="F4309" s="6">
        <v>0</v>
      </c>
      <c r="G4309" s="6" t="s">
        <v>10</v>
      </c>
      <c r="H4309" s="6" t="s">
        <v>13</v>
      </c>
      <c r="I4309" s="6">
        <f>TabJogos[[#This Row],[PontosTime1]]-TabJogos[[#This Row],[PontosTime2]]</f>
        <v>3</v>
      </c>
    </row>
    <row r="4310" spans="1:9" ht="15" customHeight="1" x14ac:dyDescent="0.25">
      <c r="A4310" s="7">
        <v>4309</v>
      </c>
      <c r="B4310" s="1">
        <v>43713</v>
      </c>
      <c r="C4310" s="6" t="s">
        <v>9</v>
      </c>
      <c r="D4310" s="6" t="s">
        <v>12</v>
      </c>
      <c r="E4310" s="6">
        <v>3</v>
      </c>
      <c r="F4310" s="6">
        <v>0</v>
      </c>
      <c r="G4310" s="6" t="s">
        <v>13</v>
      </c>
      <c r="H4310" s="6" t="s">
        <v>63</v>
      </c>
      <c r="I4310" s="6">
        <f>TabJogos[[#This Row],[PontosTime1]]-TabJogos[[#This Row],[PontosTime2]]</f>
        <v>3</v>
      </c>
    </row>
    <row r="4311" spans="1:9" ht="15" customHeight="1" x14ac:dyDescent="0.25">
      <c r="A4311" s="7">
        <v>4310</v>
      </c>
      <c r="B4311" s="1">
        <v>43713</v>
      </c>
      <c r="C4311" s="6" t="s">
        <v>9</v>
      </c>
      <c r="D4311" s="6" t="s">
        <v>11</v>
      </c>
      <c r="E4311" s="6">
        <v>3</v>
      </c>
      <c r="F4311" s="6">
        <v>2</v>
      </c>
      <c r="G4311" s="6" t="s">
        <v>10</v>
      </c>
      <c r="H4311" s="6" t="s">
        <v>12</v>
      </c>
      <c r="I4311" s="6">
        <f>TabJogos[[#This Row],[PontosTime1]]-TabJogos[[#This Row],[PontosTime2]]</f>
        <v>1</v>
      </c>
    </row>
    <row r="4312" spans="1:9" ht="15" customHeight="1" x14ac:dyDescent="0.25">
      <c r="A4312" s="7">
        <v>4311</v>
      </c>
      <c r="B4312" s="1">
        <v>43713</v>
      </c>
      <c r="C4312" s="6" t="s">
        <v>11</v>
      </c>
      <c r="D4312" s="6" t="s">
        <v>18</v>
      </c>
      <c r="E4312" s="6">
        <v>3</v>
      </c>
      <c r="F4312" s="6">
        <v>0</v>
      </c>
      <c r="G4312" s="6" t="s">
        <v>9</v>
      </c>
      <c r="H4312" s="6" t="s">
        <v>27</v>
      </c>
      <c r="I4312" s="6">
        <f>TabJogos[[#This Row],[PontosTime1]]-TabJogos[[#This Row],[PontosTime2]]</f>
        <v>3</v>
      </c>
    </row>
    <row r="4313" spans="1:9" ht="15" customHeight="1" x14ac:dyDescent="0.25">
      <c r="A4313" s="7">
        <v>4312</v>
      </c>
      <c r="B4313" s="1">
        <v>43713</v>
      </c>
      <c r="C4313" s="6" t="s">
        <v>11</v>
      </c>
      <c r="D4313" s="6" t="s">
        <v>13</v>
      </c>
      <c r="E4313" s="6">
        <v>1</v>
      </c>
      <c r="F4313" s="6">
        <v>3</v>
      </c>
      <c r="G4313" s="6" t="s">
        <v>41</v>
      </c>
      <c r="H4313" s="6" t="s">
        <v>18</v>
      </c>
      <c r="I4313" s="6">
        <f>TabJogos[[#This Row],[PontosTime1]]-TabJogos[[#This Row],[PontosTime2]]</f>
        <v>-2</v>
      </c>
    </row>
    <row r="4314" spans="1:9" ht="15" customHeight="1" x14ac:dyDescent="0.25">
      <c r="A4314" s="7">
        <v>4313</v>
      </c>
      <c r="B4314" s="1">
        <v>43713</v>
      </c>
      <c r="C4314" s="6" t="s">
        <v>41</v>
      </c>
      <c r="D4314" s="6" t="s">
        <v>27</v>
      </c>
      <c r="E4314" s="6">
        <v>0</v>
      </c>
      <c r="F4314" s="6">
        <v>3</v>
      </c>
      <c r="G4314" s="6" t="s">
        <v>9</v>
      </c>
      <c r="H4314" s="6" t="s">
        <v>18</v>
      </c>
      <c r="I4314" s="6">
        <f>TabJogos[[#This Row],[PontosTime1]]-TabJogos[[#This Row],[PontosTime2]]</f>
        <v>-3</v>
      </c>
    </row>
    <row r="4315" spans="1:9" ht="15" customHeight="1" x14ac:dyDescent="0.25">
      <c r="A4315" s="7">
        <v>4314</v>
      </c>
      <c r="B4315" s="1">
        <v>43713</v>
      </c>
      <c r="C4315" s="6" t="s">
        <v>27</v>
      </c>
      <c r="D4315" s="6" t="s">
        <v>18</v>
      </c>
      <c r="E4315" s="6">
        <v>4</v>
      </c>
      <c r="F4315" s="6">
        <v>0</v>
      </c>
      <c r="G4315" s="6" t="s">
        <v>9</v>
      </c>
      <c r="H4315" s="6" t="s">
        <v>11</v>
      </c>
      <c r="I4315" s="6">
        <f>TabJogos[[#This Row],[PontosTime1]]-TabJogos[[#This Row],[PontosTime2]]</f>
        <v>4</v>
      </c>
    </row>
    <row r="4316" spans="1:9" ht="15" customHeight="1" x14ac:dyDescent="0.25">
      <c r="A4316" s="7">
        <v>4315</v>
      </c>
      <c r="B4316" s="1">
        <v>43713</v>
      </c>
      <c r="C4316" s="6" t="s">
        <v>11</v>
      </c>
      <c r="D4316" s="6" t="s">
        <v>27</v>
      </c>
      <c r="E4316" s="6">
        <v>3</v>
      </c>
      <c r="F4316" s="6">
        <v>1</v>
      </c>
      <c r="G4316" s="6" t="s">
        <v>18</v>
      </c>
      <c r="H4316" s="6" t="s">
        <v>13</v>
      </c>
      <c r="I4316" s="6">
        <f>TabJogos[[#This Row],[PontosTime1]]-TabJogos[[#This Row],[PontosTime2]]</f>
        <v>2</v>
      </c>
    </row>
    <row r="4317" spans="1:9" ht="15" customHeight="1" x14ac:dyDescent="0.25">
      <c r="A4317" s="7">
        <v>4316</v>
      </c>
      <c r="B4317" s="1">
        <v>43713</v>
      </c>
      <c r="C4317" s="6" t="s">
        <v>11</v>
      </c>
      <c r="D4317" s="6" t="s">
        <v>18</v>
      </c>
      <c r="E4317" s="6">
        <v>3</v>
      </c>
      <c r="F4317" s="6">
        <v>2</v>
      </c>
      <c r="G4317" s="6" t="s">
        <v>9</v>
      </c>
      <c r="H4317" s="6" t="s">
        <v>27</v>
      </c>
      <c r="I4317" s="6">
        <f>TabJogos[[#This Row],[PontosTime1]]-TabJogos[[#This Row],[PontosTime2]]</f>
        <v>1</v>
      </c>
    </row>
    <row r="4318" spans="1:9" ht="15" customHeight="1" x14ac:dyDescent="0.25">
      <c r="A4318" s="7">
        <v>4317</v>
      </c>
      <c r="B4318" s="1">
        <v>43713</v>
      </c>
      <c r="C4318" s="6" t="s">
        <v>11</v>
      </c>
      <c r="D4318" s="6" t="s">
        <v>13</v>
      </c>
      <c r="E4318" s="6">
        <v>3</v>
      </c>
      <c r="F4318" s="6">
        <v>2</v>
      </c>
      <c r="G4318" s="6" t="s">
        <v>9</v>
      </c>
      <c r="H4318" s="6" t="s">
        <v>18</v>
      </c>
      <c r="I4318" s="6">
        <f>TabJogos[[#This Row],[PontosTime1]]-TabJogos[[#This Row],[PontosTime2]]</f>
        <v>1</v>
      </c>
    </row>
    <row r="4319" spans="1:9" ht="15" customHeight="1" x14ac:dyDescent="0.25">
      <c r="A4319" s="7">
        <v>4318</v>
      </c>
      <c r="B4319" s="1">
        <v>43713</v>
      </c>
      <c r="C4319" s="6" t="s">
        <v>13</v>
      </c>
      <c r="D4319" s="6" t="s">
        <v>18</v>
      </c>
      <c r="E4319" s="6">
        <v>0</v>
      </c>
      <c r="F4319" s="6">
        <v>3</v>
      </c>
      <c r="G4319" s="6" t="s">
        <v>11</v>
      </c>
      <c r="H4319" s="6" t="s">
        <v>17</v>
      </c>
      <c r="I4319" s="6">
        <f>TabJogos[[#This Row],[PontosTime1]]-TabJogos[[#This Row],[PontosTime2]]</f>
        <v>-3</v>
      </c>
    </row>
    <row r="4320" spans="1:9" ht="15" customHeight="1" x14ac:dyDescent="0.25">
      <c r="A4320" s="7">
        <v>4319</v>
      </c>
      <c r="B4320" s="1">
        <v>43713</v>
      </c>
      <c r="C4320" s="6" t="s">
        <v>11</v>
      </c>
      <c r="D4320" s="6" t="s">
        <v>18</v>
      </c>
      <c r="E4320" s="6">
        <v>2</v>
      </c>
      <c r="F4320" s="6">
        <v>3</v>
      </c>
      <c r="G4320" s="6" t="s">
        <v>13</v>
      </c>
      <c r="H4320" s="6" t="s">
        <v>17</v>
      </c>
      <c r="I4320" s="6">
        <f>TabJogos[[#This Row],[PontosTime1]]-TabJogos[[#This Row],[PontosTime2]]</f>
        <v>-1</v>
      </c>
    </row>
    <row r="4321" spans="1:9" ht="15" customHeight="1" x14ac:dyDescent="0.25">
      <c r="A4321" s="7">
        <v>4320</v>
      </c>
      <c r="B4321" s="1">
        <v>43713</v>
      </c>
      <c r="C4321" s="6" t="s">
        <v>11</v>
      </c>
      <c r="D4321" s="6" t="s">
        <v>17</v>
      </c>
      <c r="E4321" s="6">
        <v>3</v>
      </c>
      <c r="F4321" s="6">
        <v>0</v>
      </c>
      <c r="G4321" s="6" t="s">
        <v>13</v>
      </c>
      <c r="H4321" s="6" t="s">
        <v>18</v>
      </c>
      <c r="I4321" s="6">
        <f>TabJogos[[#This Row],[PontosTime1]]-TabJogos[[#This Row],[PontosTime2]]</f>
        <v>3</v>
      </c>
    </row>
    <row r="4322" spans="1:9" ht="15" customHeight="1" x14ac:dyDescent="0.25">
      <c r="A4322" s="7">
        <v>4321</v>
      </c>
      <c r="B4322" s="1">
        <v>43713</v>
      </c>
      <c r="C4322" s="6" t="s">
        <v>11</v>
      </c>
      <c r="D4322" s="6" t="s">
        <v>13</v>
      </c>
      <c r="E4322" s="6">
        <v>3</v>
      </c>
      <c r="F4322" s="6">
        <v>1</v>
      </c>
      <c r="G4322" s="6" t="s">
        <v>17</v>
      </c>
      <c r="H4322" s="6" t="s">
        <v>18</v>
      </c>
      <c r="I4322" s="6">
        <f>TabJogos[[#This Row],[PontosTime1]]-TabJogos[[#This Row],[PontosTime2]]</f>
        <v>2</v>
      </c>
    </row>
    <row r="4323" spans="1:9" ht="15" customHeight="1" x14ac:dyDescent="0.25">
      <c r="A4323" s="7">
        <v>4322</v>
      </c>
      <c r="B4323" s="1">
        <v>43713</v>
      </c>
      <c r="C4323" s="6" t="s">
        <v>11</v>
      </c>
      <c r="D4323" s="6" t="s">
        <v>18</v>
      </c>
      <c r="E4323" s="6">
        <v>2</v>
      </c>
      <c r="F4323" s="6">
        <v>3</v>
      </c>
      <c r="G4323" s="6" t="s">
        <v>17</v>
      </c>
      <c r="H4323" s="6" t="s">
        <v>13</v>
      </c>
      <c r="I4323" s="6">
        <f>TabJogos[[#This Row],[PontosTime1]]-TabJogos[[#This Row],[PontosTime2]]</f>
        <v>-1</v>
      </c>
    </row>
    <row r="4324" spans="1:9" ht="15" customHeight="1" x14ac:dyDescent="0.25">
      <c r="A4324" s="7">
        <v>4323</v>
      </c>
      <c r="B4324" s="1">
        <v>43714</v>
      </c>
      <c r="C4324" s="6" t="s">
        <v>17</v>
      </c>
      <c r="D4324" s="6" t="s">
        <v>10</v>
      </c>
      <c r="E4324" s="6">
        <v>4</v>
      </c>
      <c r="F4324" s="6">
        <v>0</v>
      </c>
      <c r="G4324" s="6" t="s">
        <v>13</v>
      </c>
      <c r="H4324" s="6" t="s">
        <v>11</v>
      </c>
      <c r="I4324" s="6">
        <f>TabJogos[[#This Row],[PontosTime1]]-TabJogos[[#This Row],[PontosTime2]]</f>
        <v>4</v>
      </c>
    </row>
    <row r="4325" spans="1:9" ht="15" customHeight="1" x14ac:dyDescent="0.25">
      <c r="A4325" s="7">
        <v>4324</v>
      </c>
      <c r="B4325" s="1">
        <v>43714</v>
      </c>
      <c r="C4325" s="6" t="s">
        <v>12</v>
      </c>
      <c r="D4325" s="6" t="s">
        <v>10</v>
      </c>
      <c r="E4325" s="6">
        <v>3</v>
      </c>
      <c r="F4325" s="6">
        <v>1</v>
      </c>
      <c r="G4325" s="6" t="s">
        <v>17</v>
      </c>
      <c r="H4325" s="6" t="s">
        <v>18</v>
      </c>
      <c r="I4325" s="6">
        <f>TabJogos[[#This Row],[PontosTime1]]-TabJogos[[#This Row],[PontosTime2]]</f>
        <v>2</v>
      </c>
    </row>
    <row r="4326" spans="1:9" ht="15" customHeight="1" x14ac:dyDescent="0.25">
      <c r="A4326" s="7">
        <v>4325</v>
      </c>
      <c r="B4326" s="1">
        <v>43714</v>
      </c>
      <c r="C4326" s="6" t="s">
        <v>13</v>
      </c>
      <c r="D4326" s="6" t="s">
        <v>10</v>
      </c>
      <c r="E4326" s="6">
        <v>0</v>
      </c>
      <c r="F4326" s="6">
        <v>3</v>
      </c>
      <c r="G4326" s="6" t="s">
        <v>12</v>
      </c>
      <c r="H4326" s="6" t="s">
        <v>11</v>
      </c>
      <c r="I4326" s="6">
        <f>TabJogos[[#This Row],[PontosTime1]]-TabJogos[[#This Row],[PontosTime2]]</f>
        <v>-3</v>
      </c>
    </row>
    <row r="4327" spans="1:9" ht="15" customHeight="1" x14ac:dyDescent="0.25">
      <c r="A4327" s="7">
        <v>4326</v>
      </c>
      <c r="B4327" s="1">
        <v>43714</v>
      </c>
      <c r="C4327" s="6" t="s">
        <v>12</v>
      </c>
      <c r="D4327" s="6" t="s">
        <v>18</v>
      </c>
      <c r="E4327" s="6">
        <v>1</v>
      </c>
      <c r="F4327" s="6">
        <v>3</v>
      </c>
      <c r="G4327" s="6" t="s">
        <v>11</v>
      </c>
      <c r="H4327" s="6" t="s">
        <v>17</v>
      </c>
      <c r="I4327" s="6">
        <f>TabJogos[[#This Row],[PontosTime1]]-TabJogos[[#This Row],[PontosTime2]]</f>
        <v>-2</v>
      </c>
    </row>
    <row r="4328" spans="1:9" ht="15" customHeight="1" x14ac:dyDescent="0.25">
      <c r="A4328" s="7">
        <v>4327</v>
      </c>
      <c r="B4328" s="1">
        <v>43714</v>
      </c>
      <c r="C4328" s="6" t="s">
        <v>11</v>
      </c>
      <c r="D4328" s="6" t="s">
        <v>10</v>
      </c>
      <c r="E4328" s="6">
        <v>1</v>
      </c>
      <c r="F4328" s="6">
        <v>3</v>
      </c>
      <c r="G4328" s="6" t="s">
        <v>17</v>
      </c>
      <c r="H4328" s="6" t="s">
        <v>41</v>
      </c>
      <c r="I4328" s="6">
        <f>TabJogos[[#This Row],[PontosTime1]]-TabJogos[[#This Row],[PontosTime2]]</f>
        <v>-2</v>
      </c>
    </row>
    <row r="4329" spans="1:9" ht="15" customHeight="1" x14ac:dyDescent="0.25">
      <c r="A4329" s="7">
        <v>4328</v>
      </c>
      <c r="B4329" s="1">
        <v>43714</v>
      </c>
      <c r="C4329" s="6" t="s">
        <v>41</v>
      </c>
      <c r="D4329" s="6" t="s">
        <v>18</v>
      </c>
      <c r="E4329" s="6">
        <v>4</v>
      </c>
      <c r="F4329" s="6">
        <v>0</v>
      </c>
      <c r="G4329" s="6" t="s">
        <v>17</v>
      </c>
      <c r="H4329" s="6" t="s">
        <v>13</v>
      </c>
      <c r="I4329" s="6">
        <f>TabJogos[[#This Row],[PontosTime1]]-TabJogos[[#This Row],[PontosTime2]]</f>
        <v>4</v>
      </c>
    </row>
    <row r="4330" spans="1:9" ht="15" customHeight="1" x14ac:dyDescent="0.25">
      <c r="A4330" s="7">
        <v>4329</v>
      </c>
      <c r="B4330" s="1">
        <v>43714</v>
      </c>
      <c r="C4330" s="6" t="s">
        <v>12</v>
      </c>
      <c r="D4330" s="6" t="s">
        <v>41</v>
      </c>
      <c r="E4330" s="6">
        <v>0</v>
      </c>
      <c r="F4330" s="6">
        <v>3</v>
      </c>
      <c r="G4330" s="6" t="s">
        <v>18</v>
      </c>
      <c r="H4330" s="6" t="s">
        <v>11</v>
      </c>
      <c r="I4330" s="6">
        <f>TabJogos[[#This Row],[PontosTime1]]-TabJogos[[#This Row],[PontosTime2]]</f>
        <v>-3</v>
      </c>
    </row>
    <row r="4331" spans="1:9" ht="15" customHeight="1" x14ac:dyDescent="0.25">
      <c r="A4331" s="7">
        <v>4330</v>
      </c>
      <c r="B4331" s="1">
        <v>43714</v>
      </c>
      <c r="C4331" s="6" t="s">
        <v>11</v>
      </c>
      <c r="D4331" s="6" t="s">
        <v>10</v>
      </c>
      <c r="E4331" s="6">
        <v>0</v>
      </c>
      <c r="F4331" s="6">
        <v>3</v>
      </c>
      <c r="G4331" s="6" t="s">
        <v>18</v>
      </c>
      <c r="H4331" s="6" t="s">
        <v>13</v>
      </c>
      <c r="I4331" s="6">
        <f>TabJogos[[#This Row],[PontosTime1]]-TabJogos[[#This Row],[PontosTime2]]</f>
        <v>-3</v>
      </c>
    </row>
    <row r="4332" spans="1:9" ht="15" customHeight="1" x14ac:dyDescent="0.25">
      <c r="A4332" s="7">
        <v>4331</v>
      </c>
      <c r="B4332" s="1">
        <v>43714</v>
      </c>
      <c r="C4332" s="6" t="s">
        <v>11</v>
      </c>
      <c r="D4332" s="6" t="s">
        <v>18</v>
      </c>
      <c r="E4332" s="6">
        <v>3</v>
      </c>
      <c r="F4332" s="6">
        <v>2</v>
      </c>
      <c r="G4332" s="6" t="s">
        <v>41</v>
      </c>
      <c r="H4332" s="6" t="s">
        <v>13</v>
      </c>
      <c r="I4332" s="6">
        <f>TabJogos[[#This Row],[PontosTime1]]-TabJogos[[#This Row],[PontosTime2]]</f>
        <v>1</v>
      </c>
    </row>
    <row r="4333" spans="1:9" ht="15" customHeight="1" x14ac:dyDescent="0.25">
      <c r="A4333" s="7">
        <v>4332</v>
      </c>
      <c r="B4333" s="1">
        <v>43714</v>
      </c>
      <c r="C4333" s="6" t="s">
        <v>10</v>
      </c>
      <c r="D4333" s="6" t="s">
        <v>18</v>
      </c>
      <c r="E4333" s="6">
        <v>2</v>
      </c>
      <c r="F4333" s="6">
        <v>3</v>
      </c>
      <c r="G4333" s="6" t="s">
        <v>41</v>
      </c>
      <c r="H4333" s="6" t="s">
        <v>11</v>
      </c>
      <c r="I4333" s="6">
        <f>TabJogos[[#This Row],[PontosTime1]]-TabJogos[[#This Row],[PontosTime2]]</f>
        <v>-1</v>
      </c>
    </row>
    <row r="4334" spans="1:9" ht="15" customHeight="1" x14ac:dyDescent="0.25">
      <c r="A4334" s="7">
        <v>4333</v>
      </c>
      <c r="B4334" s="1">
        <v>43714</v>
      </c>
      <c r="C4334" s="6" t="s">
        <v>11</v>
      </c>
      <c r="D4334" s="6" t="s">
        <v>13</v>
      </c>
      <c r="E4334" s="6">
        <v>4</v>
      </c>
      <c r="F4334" s="6">
        <v>1</v>
      </c>
      <c r="G4334" s="6" t="s">
        <v>41</v>
      </c>
      <c r="H4334" s="6" t="s">
        <v>18</v>
      </c>
      <c r="I4334" s="6">
        <f>TabJogos[[#This Row],[PontosTime1]]-TabJogos[[#This Row],[PontosTime2]]</f>
        <v>3</v>
      </c>
    </row>
    <row r="4335" spans="1:9" ht="15" customHeight="1" x14ac:dyDescent="0.25">
      <c r="A4335" s="7">
        <v>4334</v>
      </c>
      <c r="B4335" s="1">
        <v>43714</v>
      </c>
      <c r="C4335" s="6" t="s">
        <v>11</v>
      </c>
      <c r="D4335" s="6" t="s">
        <v>18</v>
      </c>
      <c r="E4335" s="6">
        <v>2</v>
      </c>
      <c r="F4335" s="6">
        <v>3</v>
      </c>
      <c r="G4335" s="6" t="s">
        <v>41</v>
      </c>
      <c r="H4335" s="6" t="s">
        <v>13</v>
      </c>
      <c r="I4335" s="6">
        <f>TabJogos[[#This Row],[PontosTime1]]-TabJogos[[#This Row],[PontosTime2]]</f>
        <v>-1</v>
      </c>
    </row>
    <row r="4336" spans="1:9" ht="15" customHeight="1" x14ac:dyDescent="0.25">
      <c r="A4336" s="7">
        <v>4335</v>
      </c>
      <c r="B4336" s="1">
        <v>43714</v>
      </c>
      <c r="C4336" s="6" t="s">
        <v>11</v>
      </c>
      <c r="D4336" s="6" t="s">
        <v>41</v>
      </c>
      <c r="E4336" s="6">
        <v>3</v>
      </c>
      <c r="F4336" s="6">
        <v>1</v>
      </c>
      <c r="G4336" s="6" t="s">
        <v>18</v>
      </c>
      <c r="H4336" s="6" t="s">
        <v>13</v>
      </c>
      <c r="I4336" s="6">
        <f>TabJogos[[#This Row],[PontosTime1]]-TabJogos[[#This Row],[PontosTime2]]</f>
        <v>2</v>
      </c>
    </row>
    <row r="4337" spans="1:9" ht="15" customHeight="1" x14ac:dyDescent="0.25">
      <c r="A4337" s="7">
        <v>4336</v>
      </c>
      <c r="B4337" s="1">
        <v>43717</v>
      </c>
      <c r="C4337" s="6" t="s">
        <v>11</v>
      </c>
      <c r="D4337" s="6" t="s">
        <v>17</v>
      </c>
      <c r="E4337" s="6">
        <v>3</v>
      </c>
      <c r="F4337" s="6">
        <v>1</v>
      </c>
      <c r="G4337" s="6" t="s">
        <v>13</v>
      </c>
      <c r="H4337" s="6" t="s">
        <v>18</v>
      </c>
      <c r="I4337" s="6">
        <f>TabJogos[[#This Row],[PontosTime1]]-TabJogos[[#This Row],[PontosTime2]]</f>
        <v>2</v>
      </c>
    </row>
    <row r="4338" spans="1:9" ht="15" customHeight="1" x14ac:dyDescent="0.25">
      <c r="A4338" s="7">
        <v>4337</v>
      </c>
      <c r="B4338" s="1">
        <v>43717</v>
      </c>
      <c r="C4338" s="6" t="s">
        <v>11</v>
      </c>
      <c r="D4338" s="6" t="s">
        <v>18</v>
      </c>
      <c r="E4338" s="6">
        <v>3</v>
      </c>
      <c r="F4338" s="6">
        <v>0</v>
      </c>
      <c r="G4338" s="6" t="s">
        <v>13</v>
      </c>
      <c r="H4338" s="6" t="s">
        <v>17</v>
      </c>
      <c r="I4338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818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438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380</v>
      </c>
      <c r="E3" s="3">
        <f t="shared" ca="1" si="0"/>
        <v>58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73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133</v>
      </c>
      <c r="H3" s="4">
        <f t="shared" ca="1" si="1"/>
        <v>0.53545232273838628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53.545232273838629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744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407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337</v>
      </c>
      <c r="E4" s="3">
        <f t="shared" ca="1" si="0"/>
        <v>70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97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192</v>
      </c>
      <c r="H4" s="4">
        <f t="shared" ca="1" si="1"/>
        <v>0.54704301075268813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54.704301075268816</v>
      </c>
      <c r="L4" s="12" t="s">
        <v>54</v>
      </c>
      <c r="M4" s="14">
        <f ca="1">EOMONTH(TODAY(),0)</f>
        <v>43738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1366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715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651</v>
      </c>
      <c r="E6" s="3">
        <f t="shared" ca="1" si="0"/>
        <v>64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134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129</v>
      </c>
      <c r="H6" s="4">
        <f t="shared" ca="1" si="1"/>
        <v>0.52342606149341142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52.342606149341144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394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195</v>
      </c>
      <c r="E7" s="3">
        <f t="shared" ca="1" si="0"/>
        <v>4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38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21</v>
      </c>
      <c r="H7" s="4">
        <f t="shared" ca="1" si="1"/>
        <v>0.50507614213197971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50.507614213197968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2768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1458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1310</v>
      </c>
      <c r="E8" s="3">
        <f t="shared" ca="1" si="0"/>
        <v>148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283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492</v>
      </c>
      <c r="H8" s="4">
        <f t="shared" ca="1" si="1"/>
        <v>0.52673410404624277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52.673410404624278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2316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1176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1140</v>
      </c>
      <c r="E9" s="3">
        <f t="shared" ca="1" si="0"/>
        <v>36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230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138</v>
      </c>
      <c r="H9" s="4">
        <f t="shared" ca="1" si="1"/>
        <v>0.50777202072538863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50.777202072538863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1016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497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519</v>
      </c>
      <c r="E10" s="3">
        <f t="shared" ca="1" si="0"/>
        <v>-22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83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-75</v>
      </c>
      <c r="H10" s="4">
        <f t="shared" ca="1" si="1"/>
        <v>0.48917322834645671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48.917322834645674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1174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579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595</v>
      </c>
      <c r="E12" s="3">
        <f t="shared" ca="1" si="0"/>
        <v>-16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124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-29</v>
      </c>
      <c r="H12" s="4">
        <f t="shared" ca="1" si="1"/>
        <v>0.49318568994889267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49.318568994889269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779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382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397</v>
      </c>
      <c r="E14" s="3">
        <f t="shared" ca="1" si="0"/>
        <v>-15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99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-44</v>
      </c>
      <c r="H14" s="4">
        <f t="shared" ca="1" si="1"/>
        <v>0.49037227214377405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49.037227214377403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2510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1099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1411</v>
      </c>
      <c r="E17" s="3">
        <f t="shared" ca="1" si="0"/>
        <v>-312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217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-1060</v>
      </c>
      <c r="H17" s="4">
        <f t="shared" ca="1" si="1"/>
        <v>0.43784860557768923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43.784860557768923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539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236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303</v>
      </c>
      <c r="E18" s="3">
        <f t="shared" ca="1" si="0"/>
        <v>-67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43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-197</v>
      </c>
      <c r="H18" s="4">
        <f t="shared" ca="1" si="1"/>
        <v>0.43784786641929502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43.7847866419295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2019-09-09T18:53:35Z</dcterms:modified>
  <cp:category/>
  <cp:contentStatus/>
</cp:coreProperties>
</file>
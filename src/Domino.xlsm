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1534D4FA-6413-424F-BE59-9726D47E28D5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886" i="3" l="1"/>
  <c r="I3887" i="3"/>
  <c r="I3888" i="3"/>
  <c r="I3889" i="3"/>
  <c r="I3890" i="3"/>
  <c r="I3891" i="3"/>
  <c r="I3892" i="3"/>
  <c r="I3893" i="3"/>
  <c r="I3831" i="3" l="1"/>
  <c r="I3832" i="3"/>
  <c r="I3833" i="3"/>
  <c r="I3834" i="3"/>
  <c r="I3835" i="3"/>
  <c r="I3836" i="3"/>
  <c r="I3837" i="3"/>
  <c r="I3838" i="3"/>
  <c r="I3839" i="3"/>
  <c r="I3840" i="3"/>
  <c r="I3841" i="3"/>
  <c r="I3842" i="3"/>
  <c r="I3843" i="3"/>
  <c r="I3844" i="3"/>
  <c r="I3845" i="3"/>
  <c r="I3846" i="3"/>
  <c r="I3847" i="3"/>
  <c r="I3848" i="3"/>
  <c r="I3849" i="3"/>
  <c r="I3850" i="3"/>
  <c r="I3851" i="3"/>
  <c r="I3852" i="3"/>
  <c r="I3853" i="3"/>
  <c r="I3854" i="3"/>
  <c r="I3855" i="3"/>
  <c r="I3856" i="3"/>
  <c r="I3857" i="3"/>
  <c r="I3858" i="3"/>
  <c r="I3859" i="3"/>
  <c r="I3860" i="3"/>
  <c r="I3861" i="3"/>
  <c r="I3862" i="3"/>
  <c r="I3863" i="3"/>
  <c r="I3864" i="3"/>
  <c r="I3865" i="3"/>
  <c r="I3866" i="3"/>
  <c r="I3867" i="3"/>
  <c r="I3868" i="3"/>
  <c r="I3869" i="3"/>
  <c r="I3870" i="3"/>
  <c r="I3871" i="3"/>
  <c r="I3873" i="3"/>
  <c r="I3874" i="3"/>
  <c r="I3875" i="3"/>
  <c r="I3876" i="3"/>
  <c r="I3877" i="3"/>
  <c r="I3878" i="3"/>
  <c r="I3879" i="3"/>
  <c r="I3880" i="3"/>
  <c r="I3881" i="3"/>
  <c r="I3882" i="3"/>
  <c r="I3883" i="3"/>
  <c r="I3884" i="3"/>
  <c r="I3885" i="3"/>
  <c r="I3791" i="3"/>
  <c r="I3792" i="3"/>
  <c r="I3793" i="3"/>
  <c r="I3794" i="3"/>
  <c r="I3795" i="3"/>
  <c r="I3796" i="3"/>
  <c r="I3797" i="3"/>
  <c r="I3798" i="3"/>
  <c r="I3799" i="3"/>
  <c r="I3800" i="3"/>
  <c r="I3801" i="3"/>
  <c r="I3802" i="3"/>
  <c r="I3803" i="3"/>
  <c r="I3804" i="3"/>
  <c r="I3805" i="3"/>
  <c r="I3806" i="3"/>
  <c r="I3807" i="3"/>
  <c r="I3808" i="3"/>
  <c r="I3809" i="3"/>
  <c r="I3810" i="3"/>
  <c r="I3811" i="3"/>
  <c r="I3812" i="3"/>
  <c r="I3813" i="3"/>
  <c r="I3814" i="3"/>
  <c r="I3815" i="3"/>
  <c r="I3816" i="3"/>
  <c r="I3817" i="3"/>
  <c r="I3818" i="3"/>
  <c r="I3819" i="3"/>
  <c r="I3820" i="3"/>
  <c r="I3821" i="3"/>
  <c r="I3822" i="3"/>
  <c r="I3823" i="3"/>
  <c r="I3824" i="3"/>
  <c r="I3825" i="3"/>
  <c r="I3826" i="3"/>
  <c r="I3827" i="3"/>
  <c r="I3828" i="3"/>
  <c r="I3829" i="3"/>
  <c r="I3830" i="3"/>
  <c r="I3781" i="3" l="1"/>
  <c r="I3732" i="3"/>
  <c r="I3733" i="3"/>
  <c r="I3734" i="3"/>
  <c r="I3735" i="3"/>
  <c r="I3736" i="3"/>
  <c r="I3737" i="3"/>
  <c r="I3738" i="3"/>
  <c r="I3739" i="3"/>
  <c r="I3740" i="3"/>
  <c r="I3741" i="3"/>
  <c r="I3742" i="3"/>
  <c r="I3743" i="3"/>
  <c r="I3744" i="3"/>
  <c r="I3745" i="3"/>
  <c r="I3746" i="3"/>
  <c r="I3747" i="3"/>
  <c r="I3748" i="3"/>
  <c r="I3749" i="3"/>
  <c r="I3750" i="3"/>
  <c r="I3751" i="3"/>
  <c r="I3752" i="3"/>
  <c r="I3753" i="3"/>
  <c r="I3754" i="3"/>
  <c r="I3755" i="3"/>
  <c r="I3756" i="3"/>
  <c r="I3757" i="3"/>
  <c r="I3758" i="3"/>
  <c r="I3759" i="3"/>
  <c r="I3760" i="3"/>
  <c r="I3761" i="3"/>
  <c r="I3762" i="3"/>
  <c r="I3763" i="3"/>
  <c r="I3764" i="3"/>
  <c r="I3765" i="3"/>
  <c r="I3766" i="3"/>
  <c r="I3767" i="3"/>
  <c r="I3768" i="3"/>
  <c r="I3769" i="3"/>
  <c r="I3770" i="3"/>
  <c r="I3771" i="3"/>
  <c r="I3772" i="3"/>
  <c r="I3773" i="3"/>
  <c r="I3774" i="3"/>
  <c r="I3775" i="3"/>
  <c r="I3776" i="3"/>
  <c r="I3777" i="3"/>
  <c r="I3778" i="3"/>
  <c r="I3779" i="3"/>
  <c r="I3780" i="3"/>
  <c r="I3782" i="3"/>
  <c r="I3783" i="3"/>
  <c r="I3784" i="3"/>
  <c r="I3785" i="3"/>
  <c r="I3786" i="3"/>
  <c r="I3787" i="3"/>
  <c r="I3788" i="3"/>
  <c r="I3789" i="3"/>
  <c r="I3790" i="3"/>
  <c r="I3731" i="3" l="1"/>
  <c r="I3720" i="3"/>
  <c r="I3721" i="3"/>
  <c r="I3722" i="3"/>
  <c r="I3723" i="3"/>
  <c r="I3724" i="3"/>
  <c r="I3725" i="3"/>
  <c r="I3726" i="3"/>
  <c r="I3727" i="3"/>
  <c r="I3728" i="3"/>
  <c r="I3729" i="3"/>
  <c r="I3730" i="3"/>
  <c r="I3713" i="3" l="1"/>
  <c r="I3714" i="3"/>
  <c r="I3715" i="3"/>
  <c r="I3716" i="3"/>
  <c r="I3717" i="3"/>
  <c r="I3718" i="3"/>
  <c r="I3719" i="3"/>
  <c r="I3681" i="3"/>
  <c r="I3682" i="3"/>
  <c r="I3683" i="3"/>
  <c r="I3684" i="3"/>
  <c r="I3685" i="3"/>
  <c r="I3686" i="3"/>
  <c r="I3687" i="3"/>
  <c r="I3688" i="3"/>
  <c r="I3689" i="3"/>
  <c r="I3690" i="3"/>
  <c r="I3691" i="3"/>
  <c r="I3692" i="3"/>
  <c r="I3693" i="3"/>
  <c r="I3694" i="3"/>
  <c r="I3695" i="3"/>
  <c r="I3696" i="3"/>
  <c r="I3697" i="3"/>
  <c r="I3698" i="3"/>
  <c r="I3699" i="3"/>
  <c r="I3700" i="3"/>
  <c r="I3701" i="3"/>
  <c r="I3702" i="3"/>
  <c r="I3703" i="3"/>
  <c r="I3704" i="3"/>
  <c r="I3705" i="3"/>
  <c r="I3706" i="3"/>
  <c r="I3707" i="3"/>
  <c r="I3708" i="3"/>
  <c r="I3709" i="3"/>
  <c r="I3710" i="3"/>
  <c r="I3711" i="3"/>
  <c r="I3712" i="3"/>
  <c r="I3673" i="3" l="1"/>
  <c r="I3674" i="3"/>
  <c r="I3675" i="3"/>
  <c r="I3676" i="3"/>
  <c r="I3677" i="3"/>
  <c r="I3678" i="3"/>
  <c r="I3679" i="3"/>
  <c r="I3680" i="3"/>
  <c r="I3671" i="3" l="1"/>
  <c r="I3672" i="3"/>
  <c r="I3656" i="3"/>
  <c r="I3657" i="3"/>
  <c r="I3658" i="3"/>
  <c r="I3659" i="3"/>
  <c r="I3660" i="3"/>
  <c r="I3661" i="3"/>
  <c r="I3662" i="3"/>
  <c r="I3663" i="3"/>
  <c r="I3664" i="3"/>
  <c r="I3665" i="3"/>
  <c r="I3666" i="3"/>
  <c r="I3667" i="3"/>
  <c r="I3668" i="3"/>
  <c r="I3669" i="3"/>
  <c r="I3670" i="3"/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<sst xmlns="http://schemas.openxmlformats.org/spreadsheetml/2006/main" count="15618" uniqueCount="62">
  <si>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</si>
  <si>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</si>
  <si>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</si>
  <si>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</si>
  <si>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</si>
  <si>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</si>
  <si>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</si>
  <si>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</si>
  <si>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</si>
  <si>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</si>
  <si>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</si>
  <si>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</si>
  <si>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</si>
  <si>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</si>
  <si>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</si>
  <si>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</si>
  <si>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</si>
  <si>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</si>
  <si>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</si>
  <si>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</si>
  <si>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</si>
  <si>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</si>
  <si>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</si>
  <si>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</si>
  <si>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</si>
  <si>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</si>
  <si>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</si>
  <si>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</si>
  <si>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</si>
  <si>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</si>
  <si>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</si>
  <si>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</si>
  <si>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</si>
  <si>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</si>
  <si>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</si>
  <si>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</si>
  <si>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</si>
  <si>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</si>
  <si>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</si>
  <si>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</si>
  <si>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</si>
  <si>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</si>
  <si>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</si>
  <si>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</si>
  <si>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</si>
  <si>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</si>
  <si>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</si>
  <si>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</si>
  <si>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</si>
  <si>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</si>
  <si>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</si>
  <si>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</si>
  <si>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</si>
  <si>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</si>
  <si>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</si>
  <si>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</si>
  <si>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</si>
  <si>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</si>
  <si>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</si>
  <si>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</si>
  <si>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</si>
  <si>
    <t>Paulo 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</si>
</sst>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89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923"/>
  <sheetViews>
    <sheetView tabSelected="1" zoomScaleNormal="100" workbookViewId="0">
      <pane ySplit="1" topLeftCell="A3866" activePane="bottomLeft" state="frozenSplit"/>
      <selection activeCell="D1" sqref="D1 D1"/>
      <selection pane="bottomLeft" activeCell="A3893" sqref="A389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B3647" s="1">
        <v>43616</v>
      </c>
      <c r="C3647" s="6" t="s">
        <v>13</v>
      </c>
      <c r="D3647" s="6" t="s">
        <v>18</v>
      </c>
      <c r="E3647" s="6">
        <v>3</v>
      </c>
      <c r="F3647" s="6">
        <v>0</v>
      </c>
      <c r="G3647" s="6" t="s">
        <v>11</v>
      </c>
      <c r="H3647" s="6" t="s">
        <v>12</v>
      </c>
      <c r="I3647" s="6">
        <f>TabJogos[[#This Row],[PontosTime1]]-TabJogos[[#This Row],[PontosTime2]]</f>
        <v>3</v>
      </c>
    </row>
    <row r="3648" spans="1:9" ht="15" customHeight="1" x14ac:dyDescent="0.25">
      <c r="A3648" s="7">
        <v>3647</v>
      </c>
      <c r="B3648" s="1">
        <v>43616</v>
      </c>
      <c r="C3648" s="6" t="s">
        <v>11</v>
      </c>
      <c r="D3648" s="6" t="s">
        <v>13</v>
      </c>
      <c r="E3648" s="6">
        <v>1</v>
      </c>
      <c r="F3648" s="6">
        <v>6</v>
      </c>
      <c r="G3648" s="6" t="s">
        <v>10</v>
      </c>
      <c r="H3648" s="6" t="s">
        <v>18</v>
      </c>
      <c r="I3648" s="6">
        <f>TabJogos[[#This Row],[PontosTime1]]-TabJogos[[#This Row],[PontosTime2]]</f>
        <v>-5</v>
      </c>
    </row>
    <row r="3649" spans="1:9" ht="15" customHeight="1" x14ac:dyDescent="0.25">
      <c r="A3649" s="7">
        <v>3648</v>
      </c>
      <c r="B3649" s="1">
        <v>43616</v>
      </c>
      <c r="C3649" s="6" t="s">
        <v>10</v>
      </c>
      <c r="D3649" s="6" t="s">
        <v>13</v>
      </c>
      <c r="E3649" s="6">
        <v>3</v>
      </c>
      <c r="F3649" s="6">
        <v>2</v>
      </c>
      <c r="G3649" s="6" t="s">
        <v>18</v>
      </c>
      <c r="H3649" s="6" t="s">
        <v>9</v>
      </c>
      <c r="I3649" s="6">
        <f>TabJogos[[#This Row],[PontosTime1]]-TabJogos[[#This Row],[PontosTime2]]</f>
        <v>1</v>
      </c>
    </row>
    <row r="3650" spans="1:9" ht="15" customHeight="1" x14ac:dyDescent="0.25">
      <c r="A3650" s="7">
        <v>3649</v>
      </c>
      <c r="B3650" s="1">
        <v>43616</v>
      </c>
      <c r="C3650" s="6" t="s">
        <v>9</v>
      </c>
      <c r="D3650" s="6" t="s">
        <v>13</v>
      </c>
      <c r="E3650" s="6">
        <v>3</v>
      </c>
      <c r="F3650" s="6">
        <v>0</v>
      </c>
      <c r="G3650" s="6" t="s">
        <v>10</v>
      </c>
      <c r="H3650" s="6" t="s">
        <v>11</v>
      </c>
      <c r="I3650" s="6">
        <f>TabJogos[[#This Row],[PontosTime1]]-TabJogos[[#This Row],[PontosTime2]]</f>
        <v>3</v>
      </c>
    </row>
    <row r="3651" spans="1:9" ht="15" customHeight="1" x14ac:dyDescent="0.25">
      <c r="A3651" s="7">
        <v>3650</v>
      </c>
      <c r="B3651" s="1">
        <v>43616</v>
      </c>
      <c r="C3651" s="6" t="s">
        <v>9</v>
      </c>
      <c r="D3651" s="6" t="s">
        <v>11</v>
      </c>
      <c r="E3651" s="6">
        <v>5</v>
      </c>
      <c r="F3651" s="6">
        <v>1</v>
      </c>
      <c r="G3651" s="6" t="s">
        <v>13</v>
      </c>
      <c r="H3651" s="6" t="s">
        <v>18</v>
      </c>
      <c r="I3651" s="6">
        <f>TabJogos[[#This Row],[PontosTime1]]-TabJogos[[#This Row],[PontosTime2]]</f>
        <v>4</v>
      </c>
    </row>
    <row r="3652" spans="1:9" ht="15" customHeight="1" x14ac:dyDescent="0.25">
      <c r="A3652" s="7">
        <v>3651</v>
      </c>
      <c r="B3652" s="1">
        <v>43616</v>
      </c>
      <c r="C3652" s="6" t="s">
        <v>11</v>
      </c>
      <c r="D3652" s="6" t="s">
        <v>18</v>
      </c>
      <c r="E3652" s="6">
        <v>4</v>
      </c>
      <c r="F3652" s="6">
        <v>0</v>
      </c>
      <c r="G3652" s="6" t="s">
        <v>9</v>
      </c>
      <c r="H3652" s="6" t="s">
        <v>13</v>
      </c>
      <c r="I3652" s="6">
        <f>TabJogos[[#This Row],[PontosTime1]]-TabJogos[[#This Row],[PontosTime2]]</f>
        <v>4</v>
      </c>
    </row>
    <row r="3653" spans="1:9" ht="15" customHeight="1" x14ac:dyDescent="0.25">
      <c r="A3653" s="7">
        <v>3652</v>
      </c>
      <c r="B3653" s="1">
        <v>43616</v>
      </c>
      <c r="C3653" s="6" t="s">
        <v>11</v>
      </c>
      <c r="D3653" s="6" t="s">
        <v>13</v>
      </c>
      <c r="E3653" s="6">
        <v>1</v>
      </c>
      <c r="F3653" s="6">
        <v>3</v>
      </c>
      <c r="G3653" s="6" t="s">
        <v>18</v>
      </c>
      <c r="H3653" s="6" t="s">
        <v>9</v>
      </c>
      <c r="I3653" s="6">
        <f>TabJogos[[#This Row],[PontosTime1]]-TabJogos[[#This Row],[PontosTime2]]</f>
        <v>-2</v>
      </c>
    </row>
    <row r="3654" spans="1:9" ht="15" customHeight="1" x14ac:dyDescent="0.25">
      <c r="A3654" s="7">
        <v>3653</v>
      </c>
      <c r="B3654" s="1">
        <v>43616</v>
      </c>
      <c r="C3654" s="6" t="s">
        <v>9</v>
      </c>
      <c r="D3654" s="6" t="s">
        <v>11</v>
      </c>
      <c r="E3654" s="6">
        <v>3</v>
      </c>
      <c r="F3654" s="6">
        <v>1</v>
      </c>
      <c r="G3654" s="6" t="s">
        <v>13</v>
      </c>
      <c r="H3654" s="6" t="s">
        <v>18</v>
      </c>
      <c r="I3654" s="6">
        <f>TabJogos[[#This Row],[PontosTime1]]-TabJogos[[#This Row],[PontosTime2]]</f>
        <v>2</v>
      </c>
    </row>
    <row r="3655" spans="1:9" ht="15" customHeight="1" x14ac:dyDescent="0.25">
      <c r="A3655" s="7">
        <v>3654</v>
      </c>
      <c r="B3655" s="1">
        <v>43616</v>
      </c>
      <c r="C3655" s="6" t="s">
        <v>9</v>
      </c>
      <c r="D3655" s="6" t="s">
        <v>61</v>
      </c>
      <c r="E3655" s="6">
        <v>3</v>
      </c>
      <c r="F3655" s="6">
        <v>2</v>
      </c>
      <c r="G3655" s="6" t="s">
        <v>11</v>
      </c>
      <c r="H3655" s="6" t="s">
        <v>41</v>
      </c>
      <c r="I3655" s="6">
        <f>TabJogos[[#This Row],[PontosTime1]]-TabJogos[[#This Row],[PontosTime2]]</f>
        <v>1</v>
      </c>
    </row>
    <row r="3656" spans="1:9" ht="15" customHeight="1" x14ac:dyDescent="0.25">
      <c r="A3656" s="7">
        <v>3655</v>
      </c>
      <c r="B3656" s="1">
        <v>43616</v>
      </c>
      <c r="C3656" s="6" t="s">
        <v>61</v>
      </c>
      <c r="D3656" s="6" t="s">
        <v>18</v>
      </c>
      <c r="E3656" s="6">
        <v>1</v>
      </c>
      <c r="F3656" s="6">
        <v>3</v>
      </c>
      <c r="G3656" s="6" t="s">
        <v>17</v>
      </c>
      <c r="H3656" s="6" t="s">
        <v>9</v>
      </c>
      <c r="I3656" s="6">
        <f>TabJogos[[#This Row],[PontosTime1]]-TabJogos[[#This Row],[PontosTime2]]</f>
        <v>-2</v>
      </c>
    </row>
    <row r="3657" spans="1:9" ht="15" customHeight="1" x14ac:dyDescent="0.25">
      <c r="A3657" s="7">
        <v>3656</v>
      </c>
      <c r="B3657" s="1">
        <v>43616</v>
      </c>
      <c r="C3657" s="6" t="s">
        <v>11</v>
      </c>
      <c r="D3657" s="6" t="s">
        <v>17</v>
      </c>
      <c r="E3657" s="6">
        <v>3</v>
      </c>
      <c r="F3657" s="6">
        <v>0</v>
      </c>
      <c r="G3657" s="6" t="s">
        <v>9</v>
      </c>
      <c r="H3657" s="6" t="s">
        <v>13</v>
      </c>
      <c r="I3657" s="6">
        <f>TabJogos[[#This Row],[PontosTime1]]-TabJogos[[#This Row],[PontosTime2]]</f>
        <v>3</v>
      </c>
    </row>
    <row r="3658" spans="1:9" ht="15" customHeight="1" x14ac:dyDescent="0.25">
      <c r="A3658" s="7">
        <v>3657</v>
      </c>
      <c r="B3658" s="1">
        <v>43616</v>
      </c>
      <c r="C3658" s="6" t="s">
        <v>41</v>
      </c>
      <c r="D3658" s="6" t="s">
        <v>17</v>
      </c>
      <c r="E3658" s="6">
        <v>3</v>
      </c>
      <c r="F3658" s="6">
        <v>2</v>
      </c>
      <c r="G3658" s="6" t="s">
        <v>61</v>
      </c>
      <c r="H3658" s="6" t="s">
        <v>11</v>
      </c>
      <c r="I3658" s="6">
        <f>TabJogos[[#This Row],[PontosTime1]]-TabJogos[[#This Row],[PontosTime2]]</f>
        <v>1</v>
      </c>
    </row>
    <row r="3659" spans="1:9" ht="15" customHeight="1" x14ac:dyDescent="0.25">
      <c r="A3659" s="7">
        <v>3658</v>
      </c>
      <c r="B3659" s="1">
        <v>43616</v>
      </c>
      <c r="C3659" s="6" t="s">
        <v>9</v>
      </c>
      <c r="D3659" s="6" t="s">
        <v>11</v>
      </c>
      <c r="E3659" s="6">
        <v>4</v>
      </c>
      <c r="F3659" s="6">
        <v>0</v>
      </c>
      <c r="G3659" s="6" t="s">
        <v>13</v>
      </c>
      <c r="H3659" s="6" t="s">
        <v>17</v>
      </c>
      <c r="I3659" s="6">
        <f>TabJogos[[#This Row],[PontosTime1]]-TabJogos[[#This Row],[PontosTime2]]</f>
        <v>4</v>
      </c>
    </row>
    <row r="3660" spans="1:9" ht="15" customHeight="1" x14ac:dyDescent="0.25">
      <c r="A3660" s="7">
        <v>3659</v>
      </c>
      <c r="B3660" s="1">
        <v>43616</v>
      </c>
      <c r="C3660" s="6" t="s">
        <v>11</v>
      </c>
      <c r="D3660" s="6" t="s">
        <v>13</v>
      </c>
      <c r="E3660" s="6">
        <v>4</v>
      </c>
      <c r="F3660" s="6">
        <v>2</v>
      </c>
      <c r="G3660" s="6" t="s">
        <v>9</v>
      </c>
      <c r="H3660" s="6" t="s">
        <v>17</v>
      </c>
      <c r="I3660" s="6">
        <f>TabJogos[[#This Row],[PontosTime1]]-TabJogos[[#This Row],[PontosTime2]]</f>
        <v>2</v>
      </c>
    </row>
    <row r="3661" spans="1:9" ht="15" customHeight="1" x14ac:dyDescent="0.25">
      <c r="A3661" s="7">
        <v>3660</v>
      </c>
      <c r="B3661" s="1">
        <v>43616</v>
      </c>
      <c r="C3661" s="6" t="s">
        <v>11</v>
      </c>
      <c r="D3661" s="6" t="s">
        <v>17</v>
      </c>
      <c r="E3661" s="6">
        <v>3</v>
      </c>
      <c r="F3661" s="6">
        <v>0</v>
      </c>
      <c r="G3661" s="6" t="s">
        <v>9</v>
      </c>
      <c r="H3661" s="6" t="s">
        <v>13</v>
      </c>
      <c r="I3661" s="6">
        <f>TabJogos[[#This Row],[PontosTime1]]-TabJogos[[#This Row],[PontosTime2]]</f>
        <v>3</v>
      </c>
    </row>
    <row r="3662" spans="1:9" ht="15" customHeight="1" x14ac:dyDescent="0.25">
      <c r="A3662" s="7">
        <v>3661</v>
      </c>
      <c r="B3662" s="1">
        <v>43616</v>
      </c>
      <c r="C3662" s="6" t="s">
        <v>11</v>
      </c>
      <c r="D3662" s="6" t="s">
        <v>9</v>
      </c>
      <c r="E3662" s="6">
        <v>3</v>
      </c>
      <c r="F3662" s="6">
        <v>2</v>
      </c>
      <c r="G3662" s="6" t="s">
        <v>13</v>
      </c>
      <c r="H3662" s="6" t="s">
        <v>17</v>
      </c>
      <c r="I3662" s="6">
        <f>TabJogos[[#This Row],[PontosTime1]]-TabJogos[[#This Row],[PontosTime2]]</f>
        <v>1</v>
      </c>
    </row>
    <row r="3663" spans="1:9" ht="15" customHeight="1" x14ac:dyDescent="0.25">
      <c r="A3663" s="7">
        <v>3662</v>
      </c>
      <c r="B3663" s="1">
        <v>43619</v>
      </c>
      <c r="C3663" s="6" t="s">
        <v>18</v>
      </c>
      <c r="D3663" s="6" t="s">
        <v>11</v>
      </c>
      <c r="E3663" s="6">
        <v>1</v>
      </c>
      <c r="F3663" s="6">
        <v>4</v>
      </c>
      <c r="G3663" s="6" t="s">
        <v>32</v>
      </c>
      <c r="H3663" s="6" t="s">
        <v>13</v>
      </c>
      <c r="I3663" s="6">
        <f>TabJogos[[#This Row],[PontosTime1]]-TabJogos[[#This Row],[PontosTime2]]</f>
        <v>-3</v>
      </c>
    </row>
    <row r="3664" spans="1:9" ht="15" customHeight="1" x14ac:dyDescent="0.25">
      <c r="A3664" s="7">
        <v>3663</v>
      </c>
      <c r="B3664" s="1">
        <v>43619</v>
      </c>
      <c r="C3664" s="6" t="s">
        <v>41</v>
      </c>
      <c r="D3664" s="6" t="s">
        <v>32</v>
      </c>
      <c r="E3664" s="6">
        <v>3</v>
      </c>
      <c r="F3664" s="6">
        <v>1</v>
      </c>
      <c r="G3664" s="6" t="s">
        <v>13</v>
      </c>
      <c r="H3664" s="6" t="s">
        <v>11</v>
      </c>
      <c r="I3664" s="6">
        <f>TabJogos[[#This Row],[PontosTime1]]-TabJogos[[#This Row],[PontosTime2]]</f>
        <v>2</v>
      </c>
    </row>
    <row r="3665" spans="1:9" ht="15" customHeight="1" x14ac:dyDescent="0.25">
      <c r="A3665" s="7">
        <v>3664</v>
      </c>
      <c r="B3665" s="1">
        <v>43619</v>
      </c>
      <c r="C3665" s="6" t="s">
        <v>32</v>
      </c>
      <c r="D3665" s="6" t="s">
        <v>18</v>
      </c>
      <c r="E3665" s="6">
        <v>1</v>
      </c>
      <c r="F3665" s="6">
        <v>3</v>
      </c>
      <c r="G3665" s="6" t="s">
        <v>41</v>
      </c>
      <c r="H3665" s="6" t="s">
        <v>13</v>
      </c>
      <c r="I3665" s="6">
        <f>TabJogos[[#This Row],[PontosTime1]]-TabJogos[[#This Row],[PontosTime2]]</f>
        <v>-2</v>
      </c>
    </row>
    <row r="3666" spans="1:9" ht="15" customHeight="1" x14ac:dyDescent="0.25">
      <c r="A3666" s="7">
        <v>3665</v>
      </c>
      <c r="B3666" s="1">
        <v>43619</v>
      </c>
      <c r="C3666" s="6" t="s">
        <v>11</v>
      </c>
      <c r="D3666" s="6" t="s">
        <v>41</v>
      </c>
      <c r="E3666" s="6">
        <v>3</v>
      </c>
      <c r="F3666" s="6">
        <v>2</v>
      </c>
      <c r="G3666" s="6" t="s">
        <v>13</v>
      </c>
      <c r="H3666" s="6" t="s">
        <v>32</v>
      </c>
      <c r="I3666" s="6">
        <f>TabJogos[[#This Row],[PontosTime1]]-TabJogos[[#This Row],[PontosTime2]]</f>
        <v>1</v>
      </c>
    </row>
    <row r="3667" spans="1:9" ht="15" customHeight="1" x14ac:dyDescent="0.25">
      <c r="A3667" s="7">
        <v>3666</v>
      </c>
      <c r="B3667" s="1">
        <v>43619</v>
      </c>
      <c r="C3667" s="6" t="s">
        <v>41</v>
      </c>
      <c r="D3667" s="6" t="s">
        <v>18</v>
      </c>
      <c r="E3667" s="6">
        <v>2</v>
      </c>
      <c r="F3667" s="6">
        <v>3</v>
      </c>
      <c r="G3667" s="6" t="s">
        <v>32</v>
      </c>
      <c r="H3667" s="6" t="s">
        <v>11</v>
      </c>
      <c r="I3667" s="6">
        <f>TabJogos[[#This Row],[PontosTime1]]-TabJogos[[#This Row],[PontosTime2]]</f>
        <v>-1</v>
      </c>
    </row>
    <row r="3668" spans="1:9" ht="15" customHeight="1" x14ac:dyDescent="0.25">
      <c r="A3668" s="7">
        <v>3667</v>
      </c>
      <c r="B3668" s="1">
        <v>43619</v>
      </c>
      <c r="C3668" s="6" t="s">
        <v>9</v>
      </c>
      <c r="D3668" s="6" t="s">
        <v>32</v>
      </c>
      <c r="E3668" s="6">
        <v>3</v>
      </c>
      <c r="F3668" s="6">
        <v>0</v>
      </c>
      <c r="G3668" s="6" t="s">
        <v>11</v>
      </c>
      <c r="H3668" s="6" t="s">
        <v>13</v>
      </c>
      <c r="I3668" s="6">
        <f>TabJogos[[#This Row],[PontosTime1]]-TabJogos[[#This Row],[PontosTime2]]</f>
        <v>3</v>
      </c>
    </row>
    <row r="3669" spans="1:9" ht="15" customHeight="1" x14ac:dyDescent="0.25">
      <c r="A3669" s="7">
        <v>3668</v>
      </c>
      <c r="B3669" s="1">
        <v>43619</v>
      </c>
      <c r="C3669" s="6" t="s">
        <v>18</v>
      </c>
      <c r="D3669" s="6" t="s">
        <v>32</v>
      </c>
      <c r="E3669" s="6">
        <v>5</v>
      </c>
      <c r="F3669" s="6">
        <v>2</v>
      </c>
      <c r="G3669" s="6" t="s">
        <v>9</v>
      </c>
      <c r="H3669" s="6" t="s">
        <v>41</v>
      </c>
      <c r="I3669" s="6">
        <f>TabJogos[[#This Row],[PontosTime1]]-TabJogos[[#This Row],[PontosTime2]]</f>
        <v>3</v>
      </c>
    </row>
    <row r="3670" spans="1:9" ht="15" customHeight="1" x14ac:dyDescent="0.25">
      <c r="A3670" s="7">
        <v>3669</v>
      </c>
      <c r="B3670" s="1">
        <v>43619</v>
      </c>
      <c r="C3670" s="6" t="s">
        <v>13</v>
      </c>
      <c r="D3670" s="6" t="s">
        <v>41</v>
      </c>
      <c r="E3670" s="6">
        <v>3</v>
      </c>
      <c r="F3670" s="6">
        <v>1</v>
      </c>
      <c r="G3670" s="6" t="s">
        <v>11</v>
      </c>
      <c r="H3670" s="6" t="s">
        <v>18</v>
      </c>
      <c r="I3670" s="6">
        <f>TabJogos[[#This Row],[PontosTime1]]-TabJogos[[#This Row],[PontosTime2]]</f>
        <v>2</v>
      </c>
    </row>
    <row r="3671" spans="1:9" ht="15" customHeight="1" x14ac:dyDescent="0.25">
      <c r="A3671" s="7">
        <v>3670</v>
      </c>
      <c r="B3671" s="1">
        <v>43619</v>
      </c>
      <c r="C3671" s="6" t="s">
        <v>11</v>
      </c>
      <c r="D3671" s="6" t="s">
        <v>41</v>
      </c>
      <c r="E3671" s="6">
        <v>1</v>
      </c>
      <c r="F3671" s="6">
        <v>3</v>
      </c>
      <c r="G3671" s="6" t="s">
        <v>9</v>
      </c>
      <c r="H3671" s="6" t="s">
        <v>13</v>
      </c>
      <c r="I3671" s="6">
        <f>TabJogos[[#This Row],[PontosTime1]]-TabJogos[[#This Row],[PontosTime2]]</f>
        <v>-2</v>
      </c>
    </row>
    <row r="3672" spans="1:9" ht="15" customHeight="1" x14ac:dyDescent="0.25">
      <c r="A3672" s="7">
        <v>3671</v>
      </c>
      <c r="B3672" s="1">
        <v>43619</v>
      </c>
      <c r="C3672" s="6" t="s">
        <v>18</v>
      </c>
      <c r="D3672" s="6" t="s">
        <v>41</v>
      </c>
      <c r="E3672" s="6">
        <v>3</v>
      </c>
      <c r="F3672" s="6">
        <v>2</v>
      </c>
      <c r="G3672" s="6" t="s">
        <v>11</v>
      </c>
      <c r="H3672" s="6" t="s">
        <v>13</v>
      </c>
      <c r="I3672" s="6">
        <f>TabJogos[[#This Row],[PontosTime1]]-TabJogos[[#This Row],[PontosTime2]]</f>
        <v>1</v>
      </c>
    </row>
    <row r="3673" spans="1:9" ht="15" customHeight="1" x14ac:dyDescent="0.25">
      <c r="A3673" s="7">
        <v>3672</v>
      </c>
      <c r="B3673" s="1">
        <v>43620</v>
      </c>
      <c r="C3673" s="6" t="s">
        <v>13</v>
      </c>
      <c r="D3673" s="6" t="s">
        <v>17</v>
      </c>
      <c r="E3673" s="6">
        <v>0</v>
      </c>
      <c r="F3673" s="6">
        <v>3</v>
      </c>
      <c r="G3673" s="6" t="s">
        <v>11</v>
      </c>
      <c r="H3673" s="6" t="s">
        <v>12</v>
      </c>
      <c r="I3673" s="6">
        <f>TabJogos[[#This Row],[PontosTime1]]-TabJogos[[#This Row],[PontosTime2]]</f>
        <v>-3</v>
      </c>
    </row>
    <row r="3674" spans="1:9" ht="15" customHeight="1" x14ac:dyDescent="0.25">
      <c r="A3674" s="7">
        <v>3673</v>
      </c>
      <c r="B3674" s="1">
        <v>43620</v>
      </c>
      <c r="C3674" s="6" t="s">
        <v>13</v>
      </c>
      <c r="D3674" s="6" t="s">
        <v>12</v>
      </c>
      <c r="E3674" s="6">
        <v>3</v>
      </c>
      <c r="F3674" s="6">
        <v>0</v>
      </c>
      <c r="G3674" s="6" t="s">
        <v>11</v>
      </c>
      <c r="H3674" s="6" t="s">
        <v>17</v>
      </c>
      <c r="I3674" s="6">
        <f>TabJogos[[#This Row],[PontosTime1]]-TabJogos[[#This Row],[PontosTime2]]</f>
        <v>3</v>
      </c>
    </row>
    <row r="3675" spans="1:9" ht="15" customHeight="1" x14ac:dyDescent="0.25">
      <c r="A3675" s="7">
        <v>3674</v>
      </c>
      <c r="B3675" s="1">
        <v>43620</v>
      </c>
      <c r="C3675" s="6" t="s">
        <v>9</v>
      </c>
      <c r="D3675" s="6" t="s">
        <v>32</v>
      </c>
      <c r="E3675" s="6">
        <v>3</v>
      </c>
      <c r="F3675" s="6">
        <v>1</v>
      </c>
      <c r="G3675" s="6" t="s">
        <v>13</v>
      </c>
      <c r="H3675" s="6" t="s">
        <v>11</v>
      </c>
      <c r="I3675" s="6">
        <f>TabJogos[[#This Row],[PontosTime1]]-TabJogos[[#This Row],[PontosTime2]]</f>
        <v>2</v>
      </c>
    </row>
    <row r="3676" spans="1:9" ht="15" customHeight="1" x14ac:dyDescent="0.25">
      <c r="A3676" s="7">
        <v>3675</v>
      </c>
      <c r="B3676" s="1">
        <v>43620</v>
      </c>
      <c r="C3676" s="6" t="s">
        <v>9</v>
      </c>
      <c r="D3676" s="6" t="s">
        <v>13</v>
      </c>
      <c r="E3676" s="6">
        <v>1</v>
      </c>
      <c r="F3676" s="6">
        <v>3</v>
      </c>
      <c r="G3676" s="6" t="s">
        <v>32</v>
      </c>
      <c r="H3676" s="6" t="s">
        <v>11</v>
      </c>
      <c r="I3676" s="6">
        <f>TabJogos[[#This Row],[PontosTime1]]-TabJogos[[#This Row],[PontosTime2]]</f>
        <v>-2</v>
      </c>
    </row>
    <row r="3677" spans="1:9" ht="15" customHeight="1" x14ac:dyDescent="0.25">
      <c r="A3677" s="7">
        <v>3676</v>
      </c>
      <c r="B3677" s="1">
        <v>43620</v>
      </c>
      <c r="C3677" s="6" t="s">
        <v>9</v>
      </c>
      <c r="D3677" s="6" t="s">
        <v>11</v>
      </c>
      <c r="E3677" s="6">
        <v>5</v>
      </c>
      <c r="F3677" s="6">
        <v>1</v>
      </c>
      <c r="G3677" s="6" t="s">
        <v>32</v>
      </c>
      <c r="H3677" s="6" t="s">
        <v>41</v>
      </c>
      <c r="I3677" s="6">
        <f>TabJogos[[#This Row],[PontosTime1]]-TabJogos[[#This Row],[PontosTime2]]</f>
        <v>4</v>
      </c>
    </row>
    <row r="3678" spans="1:9" ht="15" customHeight="1" x14ac:dyDescent="0.25">
      <c r="A3678" s="7">
        <v>3677</v>
      </c>
      <c r="B3678" s="1">
        <v>43620</v>
      </c>
      <c r="C3678" s="6" t="s">
        <v>9</v>
      </c>
      <c r="D3678" s="6" t="s">
        <v>32</v>
      </c>
      <c r="E3678" s="6">
        <v>3</v>
      </c>
      <c r="F3678" s="6">
        <v>1</v>
      </c>
      <c r="G3678" s="6" t="s">
        <v>13</v>
      </c>
      <c r="H3678" s="6" t="s">
        <v>11</v>
      </c>
      <c r="I3678" s="6">
        <f>TabJogos[[#This Row],[PontosTime1]]-TabJogos[[#This Row],[PontosTime2]]</f>
        <v>2</v>
      </c>
    </row>
    <row r="3679" spans="1:9" ht="15" customHeight="1" x14ac:dyDescent="0.25">
      <c r="A3679" s="7">
        <v>3678</v>
      </c>
      <c r="B3679" s="1">
        <v>43620</v>
      </c>
      <c r="C3679" s="6" t="s">
        <v>9</v>
      </c>
      <c r="D3679" s="6" t="s">
        <v>41</v>
      </c>
      <c r="E3679" s="6">
        <v>1</v>
      </c>
      <c r="F3679" s="6">
        <v>3</v>
      </c>
      <c r="G3679" s="6" t="s">
        <v>13</v>
      </c>
      <c r="H3679" s="6" t="s">
        <v>32</v>
      </c>
      <c r="I3679" s="6">
        <f>TabJogos[[#This Row],[PontosTime1]]-TabJogos[[#This Row],[PontosTime2]]</f>
        <v>-2</v>
      </c>
    </row>
    <row r="3680" spans="1:9" ht="15" customHeight="1" x14ac:dyDescent="0.25">
      <c r="A3680" s="7">
        <v>3679</v>
      </c>
      <c r="B3680" s="1">
        <v>43621</v>
      </c>
      <c r="C3680" s="6" t="s">
        <v>10</v>
      </c>
      <c r="D3680" s="6" t="s">
        <v>18</v>
      </c>
      <c r="E3680" s="6">
        <v>2</v>
      </c>
      <c r="F3680" s="6">
        <v>3</v>
      </c>
      <c r="G3680" s="6" t="s">
        <v>12</v>
      </c>
      <c r="H3680" s="6" t="s">
        <v>11</v>
      </c>
      <c r="I3680" s="6">
        <f>TabJogos[[#This Row],[PontosTime1]]-TabJogos[[#This Row],[PontosTime2]]</f>
        <v>-1</v>
      </c>
    </row>
    <row r="3681" spans="1:9" ht="15" customHeight="1" x14ac:dyDescent="0.25">
      <c r="A3681" s="7">
        <v>3680</v>
      </c>
      <c r="B3681" s="1">
        <v>43621</v>
      </c>
      <c r="C3681" s="6" t="s">
        <v>12</v>
      </c>
      <c r="D3681" s="6" t="s">
        <v>13</v>
      </c>
      <c r="E3681" s="6">
        <v>2</v>
      </c>
      <c r="F3681" s="6">
        <v>3</v>
      </c>
      <c r="G3681" s="6" t="s">
        <v>9</v>
      </c>
      <c r="H3681" s="6" t="s">
        <v>11</v>
      </c>
      <c r="I3681" s="6">
        <f>TabJogos[[#This Row],[PontosTime1]]-TabJogos[[#This Row],[PontosTime2]]</f>
        <v>-1</v>
      </c>
    </row>
    <row r="3682" spans="1:9" ht="15" customHeight="1" x14ac:dyDescent="0.25">
      <c r="A3682" s="7">
        <v>3681</v>
      </c>
      <c r="B3682" s="1">
        <v>43621</v>
      </c>
      <c r="C3682" s="6" t="s">
        <v>9</v>
      </c>
      <c r="D3682" s="6" t="s">
        <v>18</v>
      </c>
      <c r="E3682" s="6">
        <v>2</v>
      </c>
      <c r="F3682" s="6">
        <v>3</v>
      </c>
      <c r="G3682" s="6" t="s">
        <v>10</v>
      </c>
      <c r="H3682" s="6" t="s">
        <v>11</v>
      </c>
      <c r="I3682" s="6">
        <f>TabJogos[[#This Row],[PontosTime1]]-TabJogos[[#This Row],[PontosTime2]]</f>
        <v>-1</v>
      </c>
    </row>
    <row r="3683" spans="1:9" ht="15" customHeight="1" x14ac:dyDescent="0.25">
      <c r="A3683" s="7">
        <v>3682</v>
      </c>
      <c r="B3683" s="1">
        <v>43621</v>
      </c>
      <c r="C3683" s="6" t="s">
        <v>11</v>
      </c>
      <c r="D3683" s="6" t="s">
        <v>32</v>
      </c>
      <c r="E3683" s="6">
        <v>3</v>
      </c>
      <c r="F3683" s="6">
        <v>2</v>
      </c>
      <c r="G3683" s="6" t="s">
        <v>10</v>
      </c>
      <c r="H3683" s="6" t="s">
        <v>12</v>
      </c>
      <c r="I3683" s="6">
        <f>TabJogos[[#This Row],[PontosTime1]]-TabJogos[[#This Row],[PontosTime2]]</f>
        <v>1</v>
      </c>
    </row>
    <row r="3684" spans="1:9" ht="15" customHeight="1" x14ac:dyDescent="0.25">
      <c r="A3684" s="7">
        <v>3683</v>
      </c>
      <c r="B3684" s="1">
        <v>43621</v>
      </c>
      <c r="C3684" s="6" t="s">
        <v>11</v>
      </c>
      <c r="D3684" s="6" t="s">
        <v>18</v>
      </c>
      <c r="E3684" s="6">
        <v>2</v>
      </c>
      <c r="F3684" s="6">
        <v>3</v>
      </c>
      <c r="G3684" s="6" t="s">
        <v>32</v>
      </c>
      <c r="H3684" s="6" t="s">
        <v>13</v>
      </c>
      <c r="I3684" s="6">
        <f>TabJogos[[#This Row],[PontosTime1]]-TabJogos[[#This Row],[PontosTime2]]</f>
        <v>-1</v>
      </c>
    </row>
    <row r="3685" spans="1:9" ht="15" customHeight="1" x14ac:dyDescent="0.25">
      <c r="A3685" s="7">
        <v>3684</v>
      </c>
      <c r="B3685" s="1">
        <v>43621</v>
      </c>
      <c r="C3685" s="6" t="s">
        <v>32</v>
      </c>
      <c r="D3685" s="6" t="s">
        <v>10</v>
      </c>
      <c r="E3685" s="6">
        <v>3</v>
      </c>
      <c r="F3685" s="6">
        <v>2</v>
      </c>
      <c r="G3685" s="6" t="s">
        <v>13</v>
      </c>
      <c r="H3685" s="6" t="s">
        <v>9</v>
      </c>
      <c r="I3685" s="6">
        <f>TabJogos[[#This Row],[PontosTime1]]-TabJogos[[#This Row],[PontosTime2]]</f>
        <v>1</v>
      </c>
    </row>
    <row r="3686" spans="1:9" ht="15" customHeight="1" x14ac:dyDescent="0.25">
      <c r="A3686" s="7">
        <v>3685</v>
      </c>
      <c r="B3686" s="1">
        <v>43621</v>
      </c>
      <c r="C3686" s="6" t="s">
        <v>32</v>
      </c>
      <c r="D3686" s="6" t="s">
        <v>18</v>
      </c>
      <c r="E3686" s="6">
        <v>3</v>
      </c>
      <c r="F3686" s="6">
        <v>2</v>
      </c>
      <c r="G3686" s="6" t="s">
        <v>11</v>
      </c>
      <c r="H3686" s="6" t="s">
        <v>10</v>
      </c>
      <c r="I3686" s="6">
        <f>TabJogos[[#This Row],[PontosTime1]]-TabJogos[[#This Row],[PontosTime2]]</f>
        <v>1</v>
      </c>
    </row>
    <row r="3687" spans="1:9" ht="15" customHeight="1" x14ac:dyDescent="0.25">
      <c r="A3687" s="7">
        <v>3686</v>
      </c>
      <c r="B3687" s="1">
        <v>43621</v>
      </c>
      <c r="C3687" s="6" t="s">
        <v>11</v>
      </c>
      <c r="D3687" s="6" t="s">
        <v>32</v>
      </c>
      <c r="E3687" s="6">
        <v>3</v>
      </c>
      <c r="F3687" s="6">
        <v>2</v>
      </c>
      <c r="G3687" s="6" t="s">
        <v>18</v>
      </c>
      <c r="H3687" s="6" t="s">
        <v>13</v>
      </c>
      <c r="I3687" s="6">
        <f>TabJogos[[#This Row],[PontosTime1]]-TabJogos[[#This Row],[PontosTime2]]</f>
        <v>1</v>
      </c>
    </row>
    <row r="3688" spans="1:9" ht="15" customHeight="1" x14ac:dyDescent="0.25">
      <c r="A3688" s="7">
        <v>3687</v>
      </c>
      <c r="B3688" s="1">
        <v>43621</v>
      </c>
      <c r="C3688" s="6" t="s">
        <v>10</v>
      </c>
      <c r="D3688" s="6" t="s">
        <v>32</v>
      </c>
      <c r="E3688" s="6">
        <v>3</v>
      </c>
      <c r="F3688" s="6">
        <v>2</v>
      </c>
      <c r="G3688" s="6" t="s">
        <v>41</v>
      </c>
      <c r="H3688" s="6" t="s">
        <v>11</v>
      </c>
      <c r="I3688" s="6">
        <f>TabJogos[[#This Row],[PontosTime1]]-TabJogos[[#This Row],[PontosTime2]]</f>
        <v>1</v>
      </c>
    </row>
    <row r="3689" spans="1:9" ht="15" customHeight="1" x14ac:dyDescent="0.25">
      <c r="A3689" s="7">
        <v>3688</v>
      </c>
      <c r="B3689" s="1">
        <v>43621</v>
      </c>
      <c r="C3689" s="6" t="s">
        <v>13</v>
      </c>
      <c r="D3689" s="6" t="s">
        <v>32</v>
      </c>
      <c r="E3689" s="6">
        <v>3</v>
      </c>
      <c r="F3689" s="6">
        <v>2</v>
      </c>
      <c r="G3689" s="6" t="s">
        <v>10</v>
      </c>
      <c r="H3689" s="6" t="s">
        <v>18</v>
      </c>
      <c r="I3689" s="6">
        <f>TabJogos[[#This Row],[PontosTime1]]-TabJogos[[#This Row],[PontosTime2]]</f>
        <v>1</v>
      </c>
    </row>
    <row r="3690" spans="1:9" ht="15" customHeight="1" x14ac:dyDescent="0.25">
      <c r="A3690" s="7">
        <v>3689</v>
      </c>
      <c r="B3690" s="1">
        <v>43621</v>
      </c>
      <c r="C3690" s="6" t="s">
        <v>11</v>
      </c>
      <c r="D3690" s="6" t="s">
        <v>13</v>
      </c>
      <c r="E3690" s="6">
        <v>3</v>
      </c>
      <c r="F3690" s="6">
        <v>1</v>
      </c>
      <c r="G3690" s="6" t="s">
        <v>17</v>
      </c>
      <c r="H3690" s="6" t="s">
        <v>32</v>
      </c>
      <c r="I3690" s="6">
        <f>TabJogos[[#This Row],[PontosTime1]]-TabJogos[[#This Row],[PontosTime2]]</f>
        <v>2</v>
      </c>
    </row>
    <row r="3691" spans="1:9" ht="15" customHeight="1" x14ac:dyDescent="0.25">
      <c r="A3691" s="7">
        <v>3690</v>
      </c>
      <c r="B3691" s="1">
        <v>43621</v>
      </c>
      <c r="C3691" s="6" t="s">
        <v>18</v>
      </c>
      <c r="D3691" s="6" t="s">
        <v>13</v>
      </c>
      <c r="E3691" s="6">
        <v>3</v>
      </c>
      <c r="F3691" s="6">
        <v>2</v>
      </c>
      <c r="G3691" s="6" t="s">
        <v>11</v>
      </c>
      <c r="H3691" s="6" t="s">
        <v>17</v>
      </c>
      <c r="I3691" s="6">
        <f>TabJogos[[#This Row],[PontosTime1]]-TabJogos[[#This Row],[PontosTime2]]</f>
        <v>1</v>
      </c>
    </row>
    <row r="3692" spans="1:9" ht="15" customHeight="1" x14ac:dyDescent="0.25">
      <c r="A3692" s="7">
        <v>3691</v>
      </c>
      <c r="B3692" s="1">
        <v>43621</v>
      </c>
      <c r="C3692" s="6" t="s">
        <v>17</v>
      </c>
      <c r="D3692" s="6" t="s">
        <v>13</v>
      </c>
      <c r="E3692" s="6">
        <v>4</v>
      </c>
      <c r="F3692" s="6">
        <v>2</v>
      </c>
      <c r="G3692" s="6" t="s">
        <v>11</v>
      </c>
      <c r="H3692" s="6" t="s">
        <v>18</v>
      </c>
      <c r="I3692" s="6">
        <f>TabJogos[[#This Row],[PontosTime1]]-TabJogos[[#This Row],[PontosTime2]]</f>
        <v>2</v>
      </c>
    </row>
    <row r="3693" spans="1:9" ht="15" customHeight="1" x14ac:dyDescent="0.25">
      <c r="A3693" s="7">
        <v>3692</v>
      </c>
      <c r="B3693" s="1">
        <v>43621</v>
      </c>
      <c r="C3693" s="6" t="s">
        <v>11</v>
      </c>
      <c r="D3693" s="6" t="s">
        <v>13</v>
      </c>
      <c r="E3693" s="6">
        <v>3</v>
      </c>
      <c r="F3693" s="6">
        <v>2</v>
      </c>
      <c r="G3693" s="6" t="s">
        <v>17</v>
      </c>
      <c r="H3693" s="6" t="s">
        <v>18</v>
      </c>
      <c r="I3693" s="6">
        <f>TabJogos[[#This Row],[PontosTime1]]-TabJogos[[#This Row],[PontosTime2]]</f>
        <v>1</v>
      </c>
    </row>
    <row r="3694" spans="1:9" ht="15" customHeight="1" x14ac:dyDescent="0.25">
      <c r="A3694" s="7">
        <v>3693</v>
      </c>
      <c r="B3694" s="1">
        <v>43621</v>
      </c>
      <c r="C3694" s="6" t="s">
        <v>11</v>
      </c>
      <c r="D3694" s="6" t="s">
        <v>17</v>
      </c>
      <c r="E3694" s="6">
        <v>3</v>
      </c>
      <c r="F3694" s="6">
        <v>2</v>
      </c>
      <c r="G3694" s="6" t="s">
        <v>18</v>
      </c>
      <c r="H3694" s="6" t="s">
        <v>13</v>
      </c>
      <c r="I3694" s="6">
        <f>TabJogos[[#This Row],[PontosTime1]]-TabJogos[[#This Row],[PontosTime2]]</f>
        <v>1</v>
      </c>
    </row>
    <row r="3695" spans="1:9" ht="15" customHeight="1" x14ac:dyDescent="0.25">
      <c r="A3695" s="7">
        <v>3694</v>
      </c>
      <c r="B3695" s="1">
        <v>43622</v>
      </c>
      <c r="C3695" s="6" t="s">
        <v>11</v>
      </c>
      <c r="D3695" s="6" t="s">
        <v>12</v>
      </c>
      <c r="E3695" s="6">
        <v>3</v>
      </c>
      <c r="F3695" s="6">
        <v>2</v>
      </c>
      <c r="G3695" s="6" t="s">
        <v>13</v>
      </c>
      <c r="H3695" s="6" t="s">
        <v>17</v>
      </c>
      <c r="I3695" s="6">
        <f>TabJogos[[#This Row],[PontosTime1]]-TabJogos[[#This Row],[PontosTime2]]</f>
        <v>1</v>
      </c>
    </row>
    <row r="3696" spans="1:9" ht="15" customHeight="1" x14ac:dyDescent="0.25">
      <c r="A3696" s="7">
        <v>3695</v>
      </c>
      <c r="B3696" s="1">
        <v>43622</v>
      </c>
      <c r="C3696" s="6" t="s">
        <v>11</v>
      </c>
      <c r="D3696" s="6" t="s">
        <v>41</v>
      </c>
      <c r="E3696" s="6">
        <v>4</v>
      </c>
      <c r="F3696" s="6">
        <v>2</v>
      </c>
      <c r="G3696" s="6" t="s">
        <v>17</v>
      </c>
      <c r="H3696" s="6" t="s">
        <v>12</v>
      </c>
      <c r="I3696" s="6">
        <f>TabJogos[[#This Row],[PontosTime1]]-TabJogos[[#This Row],[PontosTime2]]</f>
        <v>2</v>
      </c>
    </row>
    <row r="3697" spans="1:9" ht="15" customHeight="1" x14ac:dyDescent="0.25">
      <c r="A3697" s="7">
        <v>3696</v>
      </c>
      <c r="B3697" s="1">
        <v>43622</v>
      </c>
      <c r="C3697" s="6" t="s">
        <v>11</v>
      </c>
      <c r="D3697" s="6" t="s">
        <v>13</v>
      </c>
      <c r="E3697" s="6">
        <v>4</v>
      </c>
      <c r="F3697" s="6">
        <v>0</v>
      </c>
      <c r="G3697" s="6" t="s">
        <v>41</v>
      </c>
      <c r="H3697" s="6" t="s">
        <v>12</v>
      </c>
      <c r="I3697" s="6">
        <f>TabJogos[[#This Row],[PontosTime1]]-TabJogos[[#This Row],[PontosTime2]]</f>
        <v>4</v>
      </c>
    </row>
    <row r="3698" spans="1:9" ht="15" customHeight="1" x14ac:dyDescent="0.25">
      <c r="A3698" s="7">
        <v>3697</v>
      </c>
      <c r="B3698" s="1">
        <v>43622</v>
      </c>
      <c r="C3698" s="6" t="s">
        <v>11</v>
      </c>
      <c r="D3698" s="6" t="s">
        <v>12</v>
      </c>
      <c r="E3698" s="6">
        <v>3</v>
      </c>
      <c r="F3698" s="6">
        <v>2</v>
      </c>
      <c r="G3698" s="6" t="s">
        <v>41</v>
      </c>
      <c r="H3698" s="6" t="s">
        <v>13</v>
      </c>
      <c r="I3698" s="6">
        <f>TabJogos[[#This Row],[PontosTime1]]-TabJogos[[#This Row],[PontosTime2]]</f>
        <v>1</v>
      </c>
    </row>
    <row r="3699" spans="1:9" ht="15" customHeight="1" x14ac:dyDescent="0.25">
      <c r="A3699" s="7">
        <v>3698</v>
      </c>
      <c r="B3699" s="1">
        <v>43622</v>
      </c>
      <c r="C3699" s="6" t="s">
        <v>12</v>
      </c>
      <c r="D3699" s="6" t="s">
        <v>13</v>
      </c>
      <c r="E3699" s="6">
        <v>3</v>
      </c>
      <c r="F3699" s="6">
        <v>2</v>
      </c>
      <c r="G3699" s="6" t="s">
        <v>41</v>
      </c>
      <c r="H3699" s="6" t="s">
        <v>11</v>
      </c>
      <c r="I3699" s="6">
        <f>TabJogos[[#This Row],[PontosTime1]]-TabJogos[[#This Row],[PontosTime2]]</f>
        <v>1</v>
      </c>
    </row>
    <row r="3700" spans="1:9" ht="15" customHeight="1" x14ac:dyDescent="0.25">
      <c r="A3700" s="7">
        <v>3699</v>
      </c>
      <c r="B3700" s="1">
        <v>43622</v>
      </c>
      <c r="C3700" s="6" t="s">
        <v>18</v>
      </c>
      <c r="D3700" s="6" t="s">
        <v>13</v>
      </c>
      <c r="E3700" s="6">
        <v>4</v>
      </c>
      <c r="F3700" s="6">
        <v>0</v>
      </c>
      <c r="G3700" s="6" t="s">
        <v>41</v>
      </c>
      <c r="H3700" s="6" t="s">
        <v>9</v>
      </c>
      <c r="I3700" s="6">
        <f>TabJogos[[#This Row],[PontosTime1]]-TabJogos[[#This Row],[PontosTime2]]</f>
        <v>4</v>
      </c>
    </row>
    <row r="3701" spans="1:9" ht="15" customHeight="1" x14ac:dyDescent="0.25">
      <c r="A3701" s="7">
        <v>3700</v>
      </c>
      <c r="B3701" s="1">
        <v>43622</v>
      </c>
      <c r="C3701" s="6" t="s">
        <v>9</v>
      </c>
      <c r="D3701" s="6" t="s">
        <v>13</v>
      </c>
      <c r="E3701" s="6">
        <v>3</v>
      </c>
      <c r="F3701" s="6">
        <v>2</v>
      </c>
      <c r="G3701" s="6" t="s">
        <v>18</v>
      </c>
      <c r="H3701" s="6" t="s">
        <v>11</v>
      </c>
      <c r="I3701" s="6">
        <f>TabJogos[[#This Row],[PontosTime1]]-TabJogos[[#This Row],[PontosTime2]]</f>
        <v>1</v>
      </c>
    </row>
    <row r="3702" spans="1:9" ht="15" customHeight="1" x14ac:dyDescent="0.25">
      <c r="A3702" s="7">
        <v>3701</v>
      </c>
      <c r="B3702" s="1">
        <v>43622</v>
      </c>
      <c r="C3702" s="6" t="s">
        <v>13</v>
      </c>
      <c r="D3702" s="6" t="s">
        <v>41</v>
      </c>
      <c r="E3702" s="6">
        <v>3</v>
      </c>
      <c r="F3702" s="6">
        <v>0</v>
      </c>
      <c r="G3702" s="6" t="s">
        <v>9</v>
      </c>
      <c r="H3702" s="6" t="s">
        <v>18</v>
      </c>
      <c r="I3702" s="6">
        <f>TabJogos[[#This Row],[PontosTime1]]-TabJogos[[#This Row],[PontosTime2]]</f>
        <v>3</v>
      </c>
    </row>
    <row r="3703" spans="1:9" ht="15" customHeight="1" x14ac:dyDescent="0.25">
      <c r="A3703" s="7">
        <v>3702</v>
      </c>
      <c r="B3703" s="1">
        <v>43622</v>
      </c>
      <c r="C3703" s="6" t="s">
        <v>9</v>
      </c>
      <c r="D3703" s="6" t="s">
        <v>41</v>
      </c>
      <c r="E3703" s="6">
        <v>3</v>
      </c>
      <c r="F3703" s="6">
        <v>1</v>
      </c>
      <c r="G3703" s="6" t="s">
        <v>11</v>
      </c>
      <c r="H3703" s="6" t="s">
        <v>13</v>
      </c>
      <c r="I3703" s="6">
        <f>TabJogos[[#This Row],[PontosTime1]]-TabJogos[[#This Row],[PontosTime2]]</f>
        <v>2</v>
      </c>
    </row>
    <row r="3704" spans="1:9" ht="15" customHeight="1" x14ac:dyDescent="0.25">
      <c r="A3704" s="7">
        <v>3703</v>
      </c>
      <c r="B3704" s="1">
        <v>43622</v>
      </c>
      <c r="C3704" s="6" t="s">
        <v>41</v>
      </c>
      <c r="D3704" s="6" t="s">
        <v>18</v>
      </c>
      <c r="E3704" s="6">
        <v>2</v>
      </c>
      <c r="F3704" s="6">
        <v>3</v>
      </c>
      <c r="G3704" s="6" t="s">
        <v>13</v>
      </c>
      <c r="H3704" s="6" t="s">
        <v>9</v>
      </c>
      <c r="I3704" s="6">
        <f>TabJogos[[#This Row],[PontosTime1]]-TabJogos[[#This Row],[PontosTime2]]</f>
        <v>-1</v>
      </c>
    </row>
    <row r="3705" spans="1:9" ht="15" customHeight="1" x14ac:dyDescent="0.25">
      <c r="A3705" s="7">
        <v>3704</v>
      </c>
      <c r="B3705" s="1">
        <v>43622</v>
      </c>
      <c r="C3705" s="6" t="s">
        <v>11</v>
      </c>
      <c r="D3705" s="6" t="s">
        <v>9</v>
      </c>
      <c r="E3705" s="6">
        <v>1</v>
      </c>
      <c r="F3705" s="6">
        <v>3</v>
      </c>
      <c r="G3705" s="6" t="s">
        <v>13</v>
      </c>
      <c r="H3705" s="6" t="s">
        <v>18</v>
      </c>
      <c r="I3705" s="6">
        <f>TabJogos[[#This Row],[PontosTime1]]-TabJogos[[#This Row],[PontosTime2]]</f>
        <v>-2</v>
      </c>
    </row>
    <row r="3706" spans="1:9" ht="15" customHeight="1" x14ac:dyDescent="0.25">
      <c r="A3706" s="7">
        <v>3705</v>
      </c>
      <c r="B3706" s="1">
        <v>43622</v>
      </c>
      <c r="C3706" s="6" t="s">
        <v>11</v>
      </c>
      <c r="D3706" s="6" t="s">
        <v>13</v>
      </c>
      <c r="E3706" s="6">
        <v>3</v>
      </c>
      <c r="F3706" s="6">
        <v>1</v>
      </c>
      <c r="G3706" s="6" t="s">
        <v>9</v>
      </c>
      <c r="H3706" s="6" t="s">
        <v>18</v>
      </c>
      <c r="I3706" s="6">
        <f>TabJogos[[#This Row],[PontosTime1]]-TabJogos[[#This Row],[PontosTime2]]</f>
        <v>2</v>
      </c>
    </row>
    <row r="3707" spans="1:9" ht="15" customHeight="1" x14ac:dyDescent="0.25">
      <c r="A3707" s="7">
        <v>3706</v>
      </c>
      <c r="B3707" s="1">
        <v>43622</v>
      </c>
      <c r="C3707" s="6" t="s">
        <v>11</v>
      </c>
      <c r="D3707" s="6" t="s">
        <v>18</v>
      </c>
      <c r="E3707" s="6">
        <v>3</v>
      </c>
      <c r="F3707" s="6">
        <v>2</v>
      </c>
      <c r="G3707" s="6" t="s">
        <v>13</v>
      </c>
      <c r="H3707" s="6" t="s">
        <v>9</v>
      </c>
      <c r="I3707" s="6">
        <f>TabJogos[[#This Row],[PontosTime1]]-TabJogos[[#This Row],[PontosTime2]]</f>
        <v>1</v>
      </c>
    </row>
    <row r="3708" spans="1:9" ht="15" customHeight="1" x14ac:dyDescent="0.25">
      <c r="A3708" s="7">
        <v>3707</v>
      </c>
      <c r="B3708" s="1">
        <v>43622</v>
      </c>
      <c r="C3708" s="6" t="s">
        <v>11</v>
      </c>
      <c r="D3708" s="6" t="s">
        <v>9</v>
      </c>
      <c r="E3708" s="6">
        <v>6</v>
      </c>
      <c r="F3708" s="6">
        <v>0</v>
      </c>
      <c r="G3708" s="6" t="s">
        <v>9</v>
      </c>
      <c r="H3708" s="6" t="s">
        <v>13</v>
      </c>
      <c r="I3708" s="6">
        <f>TabJogos[[#This Row],[PontosTime1]]-TabJogos[[#This Row],[PontosTime2]]</f>
        <v>6</v>
      </c>
    </row>
    <row r="3709" spans="1:9" ht="15" customHeight="1" x14ac:dyDescent="0.25">
      <c r="A3709" s="7">
        <v>3708</v>
      </c>
      <c r="B3709" s="1">
        <v>43623</v>
      </c>
      <c r="C3709" s="6" t="s">
        <v>12</v>
      </c>
      <c r="D3709" s="6" t="s">
        <v>11</v>
      </c>
      <c r="E3709" s="6">
        <v>3</v>
      </c>
      <c r="F3709" s="6">
        <v>0</v>
      </c>
      <c r="G3709" s="6" t="s">
        <v>13</v>
      </c>
      <c r="H3709" s="6" t="s">
        <v>18</v>
      </c>
      <c r="I3709" s="6">
        <f>TabJogos[[#This Row],[PontosTime1]]-TabJogos[[#This Row],[PontosTime2]]</f>
        <v>3</v>
      </c>
    </row>
    <row r="3710" spans="1:9" ht="15" customHeight="1" x14ac:dyDescent="0.25">
      <c r="A3710" s="7">
        <v>3709</v>
      </c>
      <c r="B3710" s="1">
        <v>43623</v>
      </c>
      <c r="C3710" s="6" t="s">
        <v>11</v>
      </c>
      <c r="D3710" s="6" t="s">
        <v>18</v>
      </c>
      <c r="E3710" s="6">
        <v>3</v>
      </c>
      <c r="F3710" s="6">
        <v>1</v>
      </c>
      <c r="G3710" s="6" t="s">
        <v>13</v>
      </c>
      <c r="H3710" s="6" t="s">
        <v>12</v>
      </c>
      <c r="I3710" s="6">
        <f>TabJogos[[#This Row],[PontosTime1]]-TabJogos[[#This Row],[PontosTime2]]</f>
        <v>2</v>
      </c>
    </row>
    <row r="3711" spans="1:9" ht="15" customHeight="1" x14ac:dyDescent="0.25">
      <c r="A3711" s="7">
        <v>3710</v>
      </c>
      <c r="B3711" s="1">
        <v>43623</v>
      </c>
      <c r="C3711" s="6" t="s">
        <v>18</v>
      </c>
      <c r="D3711" s="6" t="s">
        <v>11</v>
      </c>
      <c r="E3711" s="6">
        <v>3</v>
      </c>
      <c r="F3711" s="6">
        <v>0</v>
      </c>
      <c r="G3711" s="6" t="s">
        <v>16</v>
      </c>
      <c r="H3711" s="6" t="s">
        <v>13</v>
      </c>
      <c r="I3711" s="6">
        <f>TabJogos[[#This Row],[PontosTime1]]-TabJogos[[#This Row],[PontosTime2]]</f>
        <v>3</v>
      </c>
    </row>
    <row r="3712" spans="1:9" ht="15" customHeight="1" x14ac:dyDescent="0.25">
      <c r="A3712" s="7">
        <v>3711</v>
      </c>
      <c r="B3712" s="1">
        <v>43623</v>
      </c>
      <c r="C3712" s="6" t="s">
        <v>11</v>
      </c>
      <c r="D3712" s="6" t="s">
        <v>13</v>
      </c>
      <c r="E3712" s="6">
        <v>3</v>
      </c>
      <c r="F3712" s="6">
        <v>0</v>
      </c>
      <c r="G3712" s="6" t="s">
        <v>9</v>
      </c>
      <c r="H3712" s="6" t="s">
        <v>18</v>
      </c>
      <c r="I3712" s="6">
        <f>TabJogos[[#This Row],[PontosTime1]]-TabJogos[[#This Row],[PontosTime2]]</f>
        <v>3</v>
      </c>
    </row>
    <row r="3713" spans="1:9" ht="15" customHeight="1" x14ac:dyDescent="0.25">
      <c r="A3713" s="7">
        <v>3712</v>
      </c>
      <c r="B3713" s="1">
        <v>43623</v>
      </c>
      <c r="C3713" s="6" t="s">
        <v>11</v>
      </c>
      <c r="D3713" s="6" t="s">
        <v>16</v>
      </c>
      <c r="E3713" s="6">
        <v>3</v>
      </c>
      <c r="F3713" s="6">
        <v>0</v>
      </c>
      <c r="G3713" s="6" t="s">
        <v>13</v>
      </c>
      <c r="H3713" s="6" t="s">
        <v>9</v>
      </c>
      <c r="I3713" s="6">
        <f>TabJogos[[#This Row],[PontosTime1]]-TabJogos[[#This Row],[PontosTime2]]</f>
        <v>3</v>
      </c>
    </row>
    <row r="3714" spans="1:9" ht="15" customHeight="1" x14ac:dyDescent="0.25">
      <c r="A3714" s="7">
        <v>3713</v>
      </c>
      <c r="B3714" s="1">
        <v>43623</v>
      </c>
      <c r="C3714" s="6" t="s">
        <v>11</v>
      </c>
      <c r="D3714" s="6" t="s">
        <v>13</v>
      </c>
      <c r="E3714" s="6">
        <v>2</v>
      </c>
      <c r="F3714" s="6">
        <v>3</v>
      </c>
      <c r="G3714" s="6" t="s">
        <v>16</v>
      </c>
      <c r="H3714" s="6" t="s">
        <v>18</v>
      </c>
      <c r="I3714" s="6">
        <f>TabJogos[[#This Row],[PontosTime1]]-TabJogos[[#This Row],[PontosTime2]]</f>
        <v>-1</v>
      </c>
    </row>
    <row r="3715" spans="1:9" ht="15" customHeight="1" x14ac:dyDescent="0.25">
      <c r="A3715" s="7">
        <v>3714</v>
      </c>
      <c r="B3715" s="1">
        <v>43623</v>
      </c>
      <c r="C3715" s="6" t="s">
        <v>13</v>
      </c>
      <c r="D3715" s="6" t="s">
        <v>18</v>
      </c>
      <c r="E3715" s="6">
        <v>3</v>
      </c>
      <c r="F3715" s="6">
        <v>0</v>
      </c>
      <c r="G3715" s="6" t="s">
        <v>16</v>
      </c>
      <c r="H3715" s="6" t="s">
        <v>9</v>
      </c>
      <c r="I3715" s="6">
        <f>TabJogos[[#This Row],[PontosTime1]]-TabJogos[[#This Row],[PontosTime2]]</f>
        <v>3</v>
      </c>
    </row>
    <row r="3716" spans="1:9" ht="15" customHeight="1" x14ac:dyDescent="0.25">
      <c r="A3716" s="7">
        <v>3715</v>
      </c>
      <c r="B3716" s="1">
        <v>43623</v>
      </c>
      <c r="C3716" s="6" t="s">
        <v>11</v>
      </c>
      <c r="D3716" s="6" t="s">
        <v>18</v>
      </c>
      <c r="E3716" s="6">
        <v>3</v>
      </c>
      <c r="F3716" s="6">
        <v>2</v>
      </c>
      <c r="G3716" s="6" t="s">
        <v>9</v>
      </c>
      <c r="H3716" s="6" t="s">
        <v>13</v>
      </c>
      <c r="I3716" s="6">
        <f>TabJogos[[#This Row],[PontosTime1]]-TabJogos[[#This Row],[PontosTime2]]</f>
        <v>1</v>
      </c>
    </row>
    <row r="3717" spans="1:9" ht="15" customHeight="1" x14ac:dyDescent="0.25">
      <c r="A3717" s="7">
        <v>3716</v>
      </c>
      <c r="B3717" s="1">
        <v>43623</v>
      </c>
      <c r="C3717" s="6" t="s">
        <v>11</v>
      </c>
      <c r="D3717" s="6" t="s">
        <v>9</v>
      </c>
      <c r="E3717" s="6">
        <v>1</v>
      </c>
      <c r="F3717" s="6">
        <v>3</v>
      </c>
      <c r="G3717" s="6" t="s">
        <v>17</v>
      </c>
      <c r="H3717" s="6" t="s">
        <v>18</v>
      </c>
      <c r="I3717" s="6">
        <f>TabJogos[[#This Row],[PontosTime1]]-TabJogos[[#This Row],[PontosTime2]]</f>
        <v>-2</v>
      </c>
    </row>
    <row r="3718" spans="1:9" ht="15" customHeight="1" x14ac:dyDescent="0.25">
      <c r="A3718" s="7">
        <v>3717</v>
      </c>
      <c r="B3718" s="1">
        <v>43623</v>
      </c>
      <c r="C3718" s="6" t="s">
        <v>17</v>
      </c>
      <c r="D3718" s="6" t="s">
        <v>9</v>
      </c>
      <c r="E3718" s="6">
        <v>1</v>
      </c>
      <c r="F3718" s="6">
        <v>3</v>
      </c>
      <c r="G3718" s="6" t="s">
        <v>13</v>
      </c>
      <c r="H3718" s="6" t="s">
        <v>18</v>
      </c>
      <c r="I3718" s="6">
        <f>TabJogos[[#This Row],[PontosTime1]]-TabJogos[[#This Row],[PontosTime2]]</f>
        <v>-2</v>
      </c>
    </row>
    <row r="3719" spans="1:9" ht="15" customHeight="1" x14ac:dyDescent="0.25">
      <c r="A3719" s="7">
        <v>3718</v>
      </c>
      <c r="B3719" s="1">
        <v>43623</v>
      </c>
      <c r="C3719" s="6" t="s">
        <v>17</v>
      </c>
      <c r="D3719" s="6" t="s">
        <v>13</v>
      </c>
      <c r="E3719" s="6">
        <v>3</v>
      </c>
      <c r="F3719" s="6">
        <v>1</v>
      </c>
      <c r="G3719" s="6" t="s">
        <v>11</v>
      </c>
      <c r="H3719" s="6" t="s">
        <v>18</v>
      </c>
      <c r="I3719" s="6">
        <f>TabJogos[[#This Row],[PontosTime1]]-TabJogos[[#This Row],[PontosTime2]]</f>
        <v>2</v>
      </c>
    </row>
    <row r="3720" spans="1:9" ht="15" customHeight="1" x14ac:dyDescent="0.25">
      <c r="A3720" s="7">
        <v>3719</v>
      </c>
      <c r="B3720" s="1">
        <v>43627</v>
      </c>
      <c r="C3720" s="6" t="s">
        <v>13</v>
      </c>
      <c r="D3720" s="6" t="s">
        <v>18</v>
      </c>
      <c r="E3720" s="6">
        <v>1</v>
      </c>
      <c r="F3720" s="6">
        <v>3</v>
      </c>
      <c r="G3720" s="6" t="s">
        <v>10</v>
      </c>
      <c r="H3720" s="6" t="s">
        <v>12</v>
      </c>
      <c r="I3720" s="6">
        <f>TabJogos[[#This Row],[PontosTime1]]-TabJogos[[#This Row],[PontosTime2]]</f>
        <v>-2</v>
      </c>
    </row>
    <row r="3721" spans="1:9" ht="15" customHeight="1" x14ac:dyDescent="0.25">
      <c r="A3721" s="7">
        <v>3720</v>
      </c>
      <c r="B3721" s="1">
        <v>43627</v>
      </c>
      <c r="C3721" s="6" t="s">
        <v>13</v>
      </c>
      <c r="D3721" s="6" t="s">
        <v>12</v>
      </c>
      <c r="E3721" s="6">
        <v>2</v>
      </c>
      <c r="F3721" s="6">
        <v>3</v>
      </c>
      <c r="G3721" s="6" t="s">
        <v>10</v>
      </c>
      <c r="H3721" s="6" t="s">
        <v>18</v>
      </c>
      <c r="I3721" s="6">
        <f>TabJogos[[#This Row],[PontosTime1]]-TabJogos[[#This Row],[PontosTime2]]</f>
        <v>-1</v>
      </c>
    </row>
    <row r="3722" spans="1:9" ht="15" customHeight="1" x14ac:dyDescent="0.25">
      <c r="A3722" s="7">
        <v>3721</v>
      </c>
      <c r="B3722" s="1">
        <v>43627</v>
      </c>
      <c r="C3722" s="6" t="s">
        <v>41</v>
      </c>
      <c r="D3722" s="6" t="s">
        <v>10</v>
      </c>
      <c r="E3722" s="6">
        <v>0</v>
      </c>
      <c r="F3722" s="6">
        <v>4</v>
      </c>
      <c r="G3722" s="6" t="s">
        <v>12</v>
      </c>
      <c r="H3722" s="6" t="s">
        <v>18</v>
      </c>
      <c r="I3722" s="6">
        <f>TabJogos[[#This Row],[PontosTime1]]-TabJogos[[#This Row],[PontosTime2]]</f>
        <v>-4</v>
      </c>
    </row>
    <row r="3723" spans="1:9" ht="15" customHeight="1" x14ac:dyDescent="0.25">
      <c r="A3723" s="7">
        <v>3722</v>
      </c>
      <c r="B3723" s="1">
        <v>43627</v>
      </c>
      <c r="C3723" s="6" t="s">
        <v>17</v>
      </c>
      <c r="D3723" s="6" t="s">
        <v>12</v>
      </c>
      <c r="E3723" s="6">
        <v>3</v>
      </c>
      <c r="F3723" s="6">
        <v>2</v>
      </c>
      <c r="G3723" s="6" t="s">
        <v>13</v>
      </c>
      <c r="H3723" s="6" t="s">
        <v>18</v>
      </c>
      <c r="I3723" s="6">
        <f>TabJogos[[#This Row],[PontosTime1]]-TabJogos[[#This Row],[PontosTime2]]</f>
        <v>1</v>
      </c>
    </row>
    <row r="3724" spans="1:9" ht="15" customHeight="1" x14ac:dyDescent="0.25">
      <c r="A3724" s="7">
        <v>3723</v>
      </c>
      <c r="B3724" s="1">
        <v>43627</v>
      </c>
      <c r="C3724" s="6" t="s">
        <v>41</v>
      </c>
      <c r="D3724" s="6" t="s">
        <v>18</v>
      </c>
      <c r="E3724" s="6">
        <v>4</v>
      </c>
      <c r="F3724" s="6">
        <v>2</v>
      </c>
      <c r="G3724" s="6" t="s">
        <v>10</v>
      </c>
      <c r="H3724" s="6" t="s">
        <v>17</v>
      </c>
      <c r="I3724" s="6">
        <f>TabJogos[[#This Row],[PontosTime1]]-TabJogos[[#This Row],[PontosTime2]]</f>
        <v>2</v>
      </c>
    </row>
    <row r="3725" spans="1:9" ht="15" customHeight="1" x14ac:dyDescent="0.25">
      <c r="A3725" s="7">
        <v>3724</v>
      </c>
      <c r="B3725" s="1">
        <v>43627</v>
      </c>
      <c r="C3725" s="6" t="s">
        <v>11</v>
      </c>
      <c r="D3725" s="6" t="s">
        <v>18</v>
      </c>
      <c r="E3725" s="6">
        <v>0</v>
      </c>
      <c r="F3725" s="6">
        <v>3</v>
      </c>
      <c r="G3725" s="6" t="s">
        <v>13</v>
      </c>
      <c r="H3725" s="6" t="s">
        <v>17</v>
      </c>
      <c r="I3725" s="6">
        <f>TabJogos[[#This Row],[PontosTime1]]-TabJogos[[#This Row],[PontosTime2]]</f>
        <v>-3</v>
      </c>
    </row>
    <row r="3726" spans="1:9" ht="15" customHeight="1" x14ac:dyDescent="0.25">
      <c r="A3726" s="7">
        <v>3725</v>
      </c>
      <c r="B3726" s="1">
        <v>43627</v>
      </c>
      <c r="C3726" s="6" t="s">
        <v>11</v>
      </c>
      <c r="D3726" s="6" t="s">
        <v>13</v>
      </c>
      <c r="E3726" s="6">
        <v>4</v>
      </c>
      <c r="F3726" s="6">
        <v>1</v>
      </c>
      <c r="G3726" s="6" t="s">
        <v>41</v>
      </c>
      <c r="H3726" s="6" t="s">
        <v>18</v>
      </c>
      <c r="I3726" s="6">
        <f>TabJogos[[#This Row],[PontosTime1]]-TabJogos[[#This Row],[PontosTime2]]</f>
        <v>3</v>
      </c>
    </row>
    <row r="3727" spans="1:9" ht="15" customHeight="1" x14ac:dyDescent="0.25">
      <c r="A3727" s="7">
        <v>3726</v>
      </c>
      <c r="B3727" s="1">
        <v>43627</v>
      </c>
      <c r="C3727" s="6" t="s">
        <v>11</v>
      </c>
      <c r="D3727" s="6" t="s">
        <v>41</v>
      </c>
      <c r="E3727" s="6">
        <v>1</v>
      </c>
      <c r="F3727" s="6">
        <v>3</v>
      </c>
      <c r="G3727" s="6" t="s">
        <v>13</v>
      </c>
      <c r="H3727" s="6" t="s">
        <v>32</v>
      </c>
      <c r="I3727" s="6">
        <f>TabJogos[[#This Row],[PontosTime1]]-TabJogos[[#This Row],[PontosTime2]]</f>
        <v>-2</v>
      </c>
    </row>
    <row r="3728" spans="1:9" ht="15" customHeight="1" x14ac:dyDescent="0.25">
      <c r="A3728" s="7">
        <v>3727</v>
      </c>
      <c r="B3728" s="1">
        <v>43627</v>
      </c>
      <c r="C3728" s="6" t="s">
        <v>11</v>
      </c>
      <c r="D3728" s="6" t="s">
        <v>32</v>
      </c>
      <c r="E3728" s="6">
        <v>3</v>
      </c>
      <c r="F3728" s="6">
        <v>0</v>
      </c>
      <c r="G3728" s="6" t="s">
        <v>13</v>
      </c>
      <c r="H3728" s="6" t="s">
        <v>18</v>
      </c>
      <c r="I3728" s="6">
        <f>TabJogos[[#This Row],[PontosTime1]]-TabJogos[[#This Row],[PontosTime2]]</f>
        <v>3</v>
      </c>
    </row>
    <row r="3729" spans="1:9" ht="15" customHeight="1" x14ac:dyDescent="0.25">
      <c r="A3729" s="7">
        <v>3728</v>
      </c>
      <c r="B3729" s="1">
        <v>43627</v>
      </c>
      <c r="C3729" s="6" t="s">
        <v>41</v>
      </c>
      <c r="D3729" s="6" t="s">
        <v>32</v>
      </c>
      <c r="E3729" s="6">
        <v>4</v>
      </c>
      <c r="F3729" s="6">
        <v>0</v>
      </c>
      <c r="G3729" s="6" t="s">
        <v>11</v>
      </c>
      <c r="H3729" s="6" t="s">
        <v>18</v>
      </c>
      <c r="I3729" s="6">
        <f>TabJogos[[#This Row],[PontosTime1]]-TabJogos[[#This Row],[PontosTime2]]</f>
        <v>4</v>
      </c>
    </row>
    <row r="3730" spans="1:9" ht="15" customHeight="1" x14ac:dyDescent="0.25">
      <c r="A3730" s="7">
        <v>3729</v>
      </c>
      <c r="B3730" s="1">
        <v>43627</v>
      </c>
      <c r="C3730" s="6" t="s">
        <v>41</v>
      </c>
      <c r="D3730" s="6" t="s">
        <v>13</v>
      </c>
      <c r="E3730" s="6">
        <v>3</v>
      </c>
      <c r="F3730" s="6">
        <v>0</v>
      </c>
      <c r="G3730" s="6" t="s">
        <v>32</v>
      </c>
      <c r="H3730" s="6" t="s">
        <v>18</v>
      </c>
      <c r="I3730" s="6">
        <f>TabJogos[[#This Row],[PontosTime1]]-TabJogos[[#This Row],[PontosTime2]]</f>
        <v>3</v>
      </c>
    </row>
    <row r="3731" spans="1:9" ht="15" customHeight="1" x14ac:dyDescent="0.25">
      <c r="A3731" s="7">
        <v>3730</v>
      </c>
      <c r="B3731" s="1">
        <v>43627</v>
      </c>
      <c r="C3731" s="6" t="s">
        <v>11</v>
      </c>
      <c r="D3731" s="6" t="s">
        <v>41</v>
      </c>
      <c r="E3731" s="6">
        <v>3</v>
      </c>
      <c r="F3731" s="6">
        <v>2</v>
      </c>
      <c r="G3731" s="6" t="s">
        <v>18</v>
      </c>
      <c r="H3731" s="6" t="s">
        <v>13</v>
      </c>
      <c r="I3731" s="6">
        <f>TabJogos[[#This Row],[PontosTime1]]-TabJogos[[#This Row],[PontosTime2]]</f>
        <v>1</v>
      </c>
    </row>
    <row r="3732" spans="1:9" ht="15" customHeight="1" x14ac:dyDescent="0.25">
      <c r="A3732" s="7">
        <v>3731</v>
      </c>
      <c r="B3732" s="1">
        <v>43628</v>
      </c>
      <c r="C3732" s="6" t="s">
        <v>10</v>
      </c>
      <c r="D3732" s="6" t="s">
        <v>13</v>
      </c>
      <c r="E3732" s="6">
        <v>2</v>
      </c>
      <c r="F3732" s="6">
        <v>3</v>
      </c>
      <c r="G3732" s="6" t="s">
        <v>12</v>
      </c>
      <c r="H3732" s="6" t="s">
        <v>11</v>
      </c>
      <c r="I3732" s="6">
        <f>TabJogos[[#This Row],[PontosTime1]]-TabJogos[[#This Row],[PontosTime2]]</f>
        <v>-1</v>
      </c>
    </row>
    <row r="3733" spans="1:9" ht="15" customHeight="1" x14ac:dyDescent="0.25">
      <c r="A3733" s="7">
        <v>3732</v>
      </c>
      <c r="B3733" s="1">
        <v>43628</v>
      </c>
      <c r="C3733" s="6" t="s">
        <v>12</v>
      </c>
      <c r="D3733" s="6" t="s">
        <v>13</v>
      </c>
      <c r="E3733" s="6">
        <v>4</v>
      </c>
      <c r="F3733" s="6">
        <v>2</v>
      </c>
      <c r="G3733" s="6" t="s">
        <v>11</v>
      </c>
      <c r="H3733" s="6" t="s">
        <v>10</v>
      </c>
      <c r="I3733" s="6">
        <f>TabJogos[[#This Row],[PontosTime1]]-TabJogos[[#This Row],[PontosTime2]]</f>
        <v>2</v>
      </c>
    </row>
    <row r="3734" spans="1:9" ht="15" customHeight="1" x14ac:dyDescent="0.25">
      <c r="A3734" s="7">
        <v>3733</v>
      </c>
      <c r="B3734" s="1">
        <v>43628</v>
      </c>
      <c r="C3734" s="6" t="s">
        <v>12</v>
      </c>
      <c r="D3734" s="6" t="s">
        <v>10</v>
      </c>
      <c r="E3734" s="6">
        <v>3</v>
      </c>
      <c r="F3734" s="6">
        <v>1</v>
      </c>
      <c r="G3734" s="6" t="s">
        <v>11</v>
      </c>
      <c r="H3734" s="6" t="s">
        <v>13</v>
      </c>
      <c r="I3734" s="6">
        <f>TabJogos[[#This Row],[PontosTime1]]-TabJogos[[#This Row],[PontosTime2]]</f>
        <v>2</v>
      </c>
    </row>
    <row r="3735" spans="1:9" ht="15" customHeight="1" x14ac:dyDescent="0.25">
      <c r="A3735" s="7">
        <v>3734</v>
      </c>
      <c r="B3735" s="1">
        <v>43628</v>
      </c>
      <c r="C3735" s="6" t="s">
        <v>11</v>
      </c>
      <c r="D3735" s="6" t="s">
        <v>41</v>
      </c>
      <c r="E3735" s="6">
        <v>3</v>
      </c>
      <c r="F3735" s="6">
        <v>0</v>
      </c>
      <c r="G3735" s="6" t="s">
        <v>13</v>
      </c>
      <c r="H3735" s="6" t="s">
        <v>10</v>
      </c>
      <c r="I3735" s="6">
        <f>TabJogos[[#This Row],[PontosTime1]]-TabJogos[[#This Row],[PontosTime2]]</f>
        <v>3</v>
      </c>
    </row>
    <row r="3736" spans="1:9" ht="15" customHeight="1" x14ac:dyDescent="0.25">
      <c r="A3736" s="7">
        <v>3735</v>
      </c>
      <c r="B3736" s="1">
        <v>43628</v>
      </c>
      <c r="C3736" s="6" t="s">
        <v>11</v>
      </c>
      <c r="D3736" s="6" t="s">
        <v>10</v>
      </c>
      <c r="E3736" s="6">
        <v>3</v>
      </c>
      <c r="F3736" s="6">
        <v>1</v>
      </c>
      <c r="G3736" s="6" t="s">
        <v>13</v>
      </c>
      <c r="H3736" s="6" t="s">
        <v>41</v>
      </c>
      <c r="I3736" s="6">
        <f>TabJogos[[#This Row],[PontosTime1]]-TabJogos[[#This Row],[PontosTime2]]</f>
        <v>2</v>
      </c>
    </row>
    <row r="3737" spans="1:9" ht="15" customHeight="1" x14ac:dyDescent="0.25">
      <c r="A3737" s="7">
        <v>3736</v>
      </c>
      <c r="B3737" s="1">
        <v>43628</v>
      </c>
      <c r="C3737" s="6" t="s">
        <v>11</v>
      </c>
      <c r="D3737" s="6" t="s">
        <v>13</v>
      </c>
      <c r="E3737" s="6">
        <v>6</v>
      </c>
      <c r="F3737" s="6">
        <v>0</v>
      </c>
      <c r="G3737" s="6" t="s">
        <v>27</v>
      </c>
      <c r="H3737" s="6" t="s">
        <v>10</v>
      </c>
      <c r="I3737" s="6">
        <f>TabJogos[[#This Row],[PontosTime1]]-TabJogos[[#This Row],[PontosTime2]]</f>
        <v>6</v>
      </c>
    </row>
    <row r="3738" spans="1:9" ht="15" customHeight="1" x14ac:dyDescent="0.25">
      <c r="A3738" s="7">
        <v>3737</v>
      </c>
      <c r="B3738" s="1">
        <v>43628</v>
      </c>
      <c r="C3738" s="6" t="s">
        <v>11</v>
      </c>
      <c r="D3738" s="6" t="s">
        <v>41</v>
      </c>
      <c r="E3738" s="6">
        <v>0</v>
      </c>
      <c r="F3738" s="6">
        <v>3</v>
      </c>
      <c r="G3738" s="6" t="s">
        <v>13</v>
      </c>
      <c r="H3738" s="6" t="s">
        <v>27</v>
      </c>
      <c r="I3738" s="6">
        <f>TabJogos[[#This Row],[PontosTime1]]-TabJogos[[#This Row],[PontosTime2]]</f>
        <v>-3</v>
      </c>
    </row>
    <row r="3739" spans="1:9" ht="15" customHeight="1" x14ac:dyDescent="0.25">
      <c r="A3739" s="7">
        <v>3738</v>
      </c>
      <c r="B3739" s="1">
        <v>43628</v>
      </c>
      <c r="C3739" s="6" t="s">
        <v>27</v>
      </c>
      <c r="D3739" s="6" t="s">
        <v>41</v>
      </c>
      <c r="E3739" s="6">
        <v>6</v>
      </c>
      <c r="F3739" s="6">
        <v>0</v>
      </c>
      <c r="G3739" s="6" t="s">
        <v>13</v>
      </c>
      <c r="H3739" s="6" t="s">
        <v>10</v>
      </c>
      <c r="I3739" s="6">
        <f>TabJogos[[#This Row],[PontosTime1]]-TabJogos[[#This Row],[PontosTime2]]</f>
        <v>6</v>
      </c>
    </row>
    <row r="3740" spans="1:9" ht="15" customHeight="1" x14ac:dyDescent="0.25">
      <c r="A3740" s="7">
        <v>3739</v>
      </c>
      <c r="B3740" s="1">
        <v>43628</v>
      </c>
      <c r="C3740" s="6" t="s">
        <v>10</v>
      </c>
      <c r="D3740" s="6" t="s">
        <v>41</v>
      </c>
      <c r="E3740" s="6">
        <v>3</v>
      </c>
      <c r="F3740" s="6">
        <v>1</v>
      </c>
      <c r="G3740" s="6" t="s">
        <v>27</v>
      </c>
      <c r="H3740" s="6" t="s">
        <v>11</v>
      </c>
      <c r="I3740" s="6">
        <f>TabJogos[[#This Row],[PontosTime1]]-TabJogos[[#This Row],[PontosTime2]]</f>
        <v>2</v>
      </c>
    </row>
    <row r="3741" spans="1:9" ht="15" customHeight="1" x14ac:dyDescent="0.25">
      <c r="A3741" s="7">
        <v>3740</v>
      </c>
      <c r="B3741" s="1">
        <v>43628</v>
      </c>
      <c r="C3741" s="6" t="s">
        <v>13</v>
      </c>
      <c r="D3741" s="6" t="s">
        <v>41</v>
      </c>
      <c r="E3741" s="6">
        <v>3</v>
      </c>
      <c r="F3741" s="6">
        <v>1</v>
      </c>
      <c r="G3741" s="6" t="s">
        <v>11</v>
      </c>
      <c r="H3741" s="6" t="s">
        <v>10</v>
      </c>
      <c r="I3741" s="6">
        <f>TabJogos[[#This Row],[PontosTime1]]-TabJogos[[#This Row],[PontosTime2]]</f>
        <v>2</v>
      </c>
    </row>
    <row r="3742" spans="1:9" ht="15" customHeight="1" x14ac:dyDescent="0.25">
      <c r="A3742" s="7">
        <v>3741</v>
      </c>
      <c r="B3742" s="1">
        <v>43629</v>
      </c>
      <c r="C3742" s="6" t="s">
        <v>17</v>
      </c>
      <c r="D3742" s="6" t="s">
        <v>18</v>
      </c>
      <c r="E3742" s="6">
        <v>6</v>
      </c>
      <c r="F3742" s="6">
        <v>1</v>
      </c>
      <c r="G3742" s="6" t="s">
        <v>16</v>
      </c>
      <c r="H3742" s="6" t="s">
        <v>10</v>
      </c>
      <c r="I3742" s="6">
        <f>TabJogos[[#This Row],[PontosTime1]]-TabJogos[[#This Row],[PontosTime2]]</f>
        <v>5</v>
      </c>
    </row>
    <row r="3743" spans="1:9" ht="15" customHeight="1" x14ac:dyDescent="0.25">
      <c r="A3743" s="7">
        <v>3742</v>
      </c>
      <c r="B3743" s="1">
        <v>43629</v>
      </c>
      <c r="C3743" s="6" t="s">
        <v>11</v>
      </c>
      <c r="D3743" s="6" t="s">
        <v>17</v>
      </c>
      <c r="E3743" s="6">
        <v>3</v>
      </c>
      <c r="F3743" s="6">
        <v>1</v>
      </c>
      <c r="G3743" s="6" t="s">
        <v>13</v>
      </c>
      <c r="H3743" s="6" t="s">
        <v>18</v>
      </c>
      <c r="I3743" s="6">
        <f>TabJogos[[#This Row],[PontosTime1]]-TabJogos[[#This Row],[PontosTime2]]</f>
        <v>2</v>
      </c>
    </row>
    <row r="3744" spans="1:9" ht="15" customHeight="1" x14ac:dyDescent="0.25">
      <c r="A3744" s="7">
        <v>3743</v>
      </c>
      <c r="B3744" s="1">
        <v>43629</v>
      </c>
      <c r="C3744" s="6" t="s">
        <v>10</v>
      </c>
      <c r="D3744" s="6" t="s">
        <v>11</v>
      </c>
      <c r="E3744" s="6">
        <v>3</v>
      </c>
      <c r="F3744" s="6">
        <v>0</v>
      </c>
      <c r="G3744" s="6" t="s">
        <v>16</v>
      </c>
      <c r="H3744" s="6" t="s">
        <v>12</v>
      </c>
      <c r="I3744" s="6">
        <f>TabJogos[[#This Row],[PontosTime1]]-TabJogos[[#This Row],[PontosTime2]]</f>
        <v>3</v>
      </c>
    </row>
    <row r="3745" spans="1:9" ht="15" customHeight="1" x14ac:dyDescent="0.25">
      <c r="A3745" s="7">
        <v>3744</v>
      </c>
      <c r="B3745" s="1">
        <v>43629</v>
      </c>
      <c r="C3745" s="6" t="s">
        <v>10</v>
      </c>
      <c r="D3745" s="6" t="s">
        <v>18</v>
      </c>
      <c r="E3745" s="6">
        <v>3</v>
      </c>
      <c r="F3745" s="6">
        <v>0</v>
      </c>
      <c r="G3745" s="6" t="s">
        <v>11</v>
      </c>
      <c r="H3745" s="6" t="s">
        <v>13</v>
      </c>
      <c r="I3745" s="6">
        <f>TabJogos[[#This Row],[PontosTime1]]-TabJogos[[#This Row],[PontosTime2]]</f>
        <v>3</v>
      </c>
    </row>
    <row r="3746" spans="1:9" ht="15" customHeight="1" x14ac:dyDescent="0.25">
      <c r="A3746" s="7">
        <v>3745</v>
      </c>
      <c r="B3746" s="1">
        <v>43629</v>
      </c>
      <c r="C3746" s="6" t="s">
        <v>10</v>
      </c>
      <c r="D3746" s="6" t="s">
        <v>18</v>
      </c>
      <c r="E3746" s="6">
        <v>4</v>
      </c>
      <c r="F3746" s="6">
        <v>2</v>
      </c>
      <c r="G3746" s="6" t="s">
        <v>32</v>
      </c>
      <c r="H3746" s="6" t="s">
        <v>16</v>
      </c>
      <c r="I3746" s="6">
        <f>TabJogos[[#This Row],[PontosTime1]]-TabJogos[[#This Row],[PontosTime2]]</f>
        <v>2</v>
      </c>
    </row>
    <row r="3747" spans="1:9" ht="15" customHeight="1" x14ac:dyDescent="0.25">
      <c r="A3747" s="7">
        <v>3746</v>
      </c>
      <c r="B3747" s="1">
        <v>43629</v>
      </c>
      <c r="C3747" s="6" t="s">
        <v>11</v>
      </c>
      <c r="D3747" s="6" t="s">
        <v>18</v>
      </c>
      <c r="E3747" s="6">
        <v>1</v>
      </c>
      <c r="F3747" s="6">
        <v>3</v>
      </c>
      <c r="G3747" s="6" t="s">
        <v>10</v>
      </c>
      <c r="H3747" s="6" t="s">
        <v>13</v>
      </c>
      <c r="I3747" s="6">
        <f>TabJogos[[#This Row],[PontosTime1]]-TabJogos[[#This Row],[PontosTime2]]</f>
        <v>-2</v>
      </c>
    </row>
    <row r="3748" spans="1:9" ht="15" customHeight="1" x14ac:dyDescent="0.25">
      <c r="A3748" s="7">
        <v>3747</v>
      </c>
      <c r="B3748" s="1">
        <v>43629</v>
      </c>
      <c r="C3748" s="6" t="s">
        <v>13</v>
      </c>
      <c r="D3748" s="6" t="s">
        <v>10</v>
      </c>
      <c r="E3748" s="6">
        <v>3</v>
      </c>
      <c r="F3748" s="6">
        <v>1</v>
      </c>
      <c r="G3748" s="6" t="s">
        <v>16</v>
      </c>
      <c r="H3748" s="6" t="s">
        <v>32</v>
      </c>
      <c r="I3748" s="6">
        <f>TabJogos[[#This Row],[PontosTime1]]-TabJogos[[#This Row],[PontosTime2]]</f>
        <v>2</v>
      </c>
    </row>
    <row r="3749" spans="1:9" ht="15" customHeight="1" x14ac:dyDescent="0.25">
      <c r="A3749" s="7">
        <v>3748</v>
      </c>
      <c r="B3749" s="1">
        <v>43629</v>
      </c>
      <c r="C3749" s="6" t="s">
        <v>13</v>
      </c>
      <c r="D3749" s="6" t="s">
        <v>18</v>
      </c>
      <c r="E3749" s="6">
        <v>3</v>
      </c>
      <c r="F3749" s="6">
        <v>1</v>
      </c>
      <c r="G3749" s="6" t="s">
        <v>10</v>
      </c>
      <c r="H3749" s="6" t="s">
        <v>11</v>
      </c>
      <c r="I3749" s="6">
        <f>TabJogos[[#This Row],[PontosTime1]]-TabJogos[[#This Row],[PontosTime2]]</f>
        <v>2</v>
      </c>
    </row>
    <row r="3750" spans="1:9" ht="15" customHeight="1" x14ac:dyDescent="0.25">
      <c r="A3750" s="7">
        <v>3749</v>
      </c>
      <c r="B3750" s="1">
        <v>43629</v>
      </c>
      <c r="C3750" s="6" t="s">
        <v>11</v>
      </c>
      <c r="D3750" s="6" t="s">
        <v>13</v>
      </c>
      <c r="E3750" s="6">
        <v>3</v>
      </c>
      <c r="F3750" s="6">
        <v>0</v>
      </c>
      <c r="G3750" s="6" t="s">
        <v>18</v>
      </c>
      <c r="H3750" s="6" t="s">
        <v>10</v>
      </c>
      <c r="I3750" s="6">
        <f>TabJogos[[#This Row],[PontosTime1]]-TabJogos[[#This Row],[PontosTime2]]</f>
        <v>3</v>
      </c>
    </row>
    <row r="3751" spans="1:9" ht="15" customHeight="1" x14ac:dyDescent="0.25">
      <c r="A3751" s="7">
        <v>3750</v>
      </c>
      <c r="B3751" s="1">
        <v>43629</v>
      </c>
      <c r="C3751" s="6" t="s">
        <v>11</v>
      </c>
      <c r="D3751" s="6" t="s">
        <v>18</v>
      </c>
      <c r="E3751" s="6">
        <v>0</v>
      </c>
      <c r="F3751" s="6">
        <v>4</v>
      </c>
      <c r="G3751" s="6" t="s">
        <v>13</v>
      </c>
      <c r="H3751" s="6" t="s">
        <v>10</v>
      </c>
      <c r="I3751" s="6">
        <f>TabJogos[[#This Row],[PontosTime1]]-TabJogos[[#This Row],[PontosTime2]]</f>
        <v>-4</v>
      </c>
    </row>
    <row r="3752" spans="1:9" ht="15" customHeight="1" x14ac:dyDescent="0.25">
      <c r="A3752" s="7">
        <v>3751</v>
      </c>
      <c r="B3752" s="1">
        <v>43629</v>
      </c>
      <c r="C3752" s="6" t="s">
        <v>11</v>
      </c>
      <c r="D3752" s="6" t="s">
        <v>10</v>
      </c>
      <c r="E3752" s="6">
        <v>2</v>
      </c>
      <c r="F3752" s="6">
        <v>3</v>
      </c>
      <c r="G3752" s="6" t="s">
        <v>18</v>
      </c>
      <c r="H3752" s="6" t="s">
        <v>13</v>
      </c>
      <c r="I3752" s="6">
        <f>TabJogos[[#This Row],[PontosTime1]]-TabJogos[[#This Row],[PontosTime2]]</f>
        <v>-1</v>
      </c>
    </row>
    <row r="3753" spans="1:9" ht="15" customHeight="1" x14ac:dyDescent="0.25">
      <c r="A3753" s="7">
        <v>3752</v>
      </c>
      <c r="B3753" s="1">
        <v>43629</v>
      </c>
      <c r="C3753" s="6" t="s">
        <v>11</v>
      </c>
      <c r="D3753" s="6" t="s">
        <v>13</v>
      </c>
      <c r="E3753" s="6">
        <v>1</v>
      </c>
      <c r="F3753" s="6">
        <v>4</v>
      </c>
      <c r="G3753" s="6" t="s">
        <v>18</v>
      </c>
      <c r="H3753" s="6" t="s">
        <v>9</v>
      </c>
      <c r="I3753" s="6">
        <f>TabJogos[[#This Row],[PontosTime1]]-TabJogos[[#This Row],[PontosTime2]]</f>
        <v>-3</v>
      </c>
    </row>
    <row r="3754" spans="1:9" ht="15" customHeight="1" x14ac:dyDescent="0.25">
      <c r="A3754" s="7">
        <v>3753</v>
      </c>
      <c r="B3754" s="1">
        <v>43629</v>
      </c>
      <c r="C3754" s="6" t="s">
        <v>18</v>
      </c>
      <c r="D3754" s="6" t="s">
        <v>13</v>
      </c>
      <c r="E3754" s="6">
        <v>3</v>
      </c>
      <c r="F3754" s="6">
        <v>2</v>
      </c>
      <c r="G3754" s="6" t="s">
        <v>9</v>
      </c>
      <c r="H3754" s="6" t="s">
        <v>10</v>
      </c>
      <c r="I3754" s="6">
        <f>TabJogos[[#This Row],[PontosTime1]]-TabJogos[[#This Row],[PontosTime2]]</f>
        <v>1</v>
      </c>
    </row>
    <row r="3755" spans="1:9" ht="15" customHeight="1" x14ac:dyDescent="0.25">
      <c r="A3755" s="7">
        <v>3754</v>
      </c>
      <c r="B3755" s="1">
        <v>43629</v>
      </c>
      <c r="C3755" s="6" t="s">
        <v>18</v>
      </c>
      <c r="D3755" s="6" t="s">
        <v>10</v>
      </c>
      <c r="E3755" s="6">
        <v>0</v>
      </c>
      <c r="F3755" s="6">
        <v>3</v>
      </c>
      <c r="G3755" s="6" t="s">
        <v>13</v>
      </c>
      <c r="H3755" s="6" t="s">
        <v>9</v>
      </c>
      <c r="I3755" s="6">
        <f>TabJogos[[#This Row],[PontosTime1]]-TabJogos[[#This Row],[PontosTime2]]</f>
        <v>-3</v>
      </c>
    </row>
    <row r="3756" spans="1:9" ht="15" customHeight="1" x14ac:dyDescent="0.25">
      <c r="A3756" s="7">
        <v>3755</v>
      </c>
      <c r="B3756" s="1">
        <v>43630</v>
      </c>
      <c r="C3756" s="6" t="s">
        <v>9</v>
      </c>
      <c r="D3756" s="6" t="s">
        <v>18</v>
      </c>
      <c r="E3756" s="6">
        <v>3</v>
      </c>
      <c r="F3756" s="6">
        <v>0</v>
      </c>
      <c r="G3756" s="6" t="s">
        <v>16</v>
      </c>
      <c r="H3756" s="6" t="s">
        <v>10</v>
      </c>
      <c r="I3756" s="6">
        <f>TabJogos[[#This Row],[PontosTime1]]-TabJogos[[#This Row],[PontosTime2]]</f>
        <v>3</v>
      </c>
    </row>
    <row r="3757" spans="1:9" ht="15" customHeight="1" x14ac:dyDescent="0.25">
      <c r="A3757" s="7">
        <v>3756</v>
      </c>
      <c r="B3757" s="1">
        <v>43630</v>
      </c>
      <c r="C3757" s="6" t="s">
        <v>9</v>
      </c>
      <c r="D3757" s="6" t="s">
        <v>11</v>
      </c>
      <c r="E3757" s="6">
        <v>3</v>
      </c>
      <c r="F3757" s="6">
        <v>1</v>
      </c>
      <c r="G3757" s="6" t="s">
        <v>12</v>
      </c>
      <c r="H3757" s="6" t="s">
        <v>18</v>
      </c>
      <c r="I3757" s="6">
        <f>TabJogos[[#This Row],[PontosTime1]]-TabJogos[[#This Row],[PontosTime2]]</f>
        <v>2</v>
      </c>
    </row>
    <row r="3758" spans="1:9" ht="15" customHeight="1" x14ac:dyDescent="0.25">
      <c r="A3758" s="7">
        <v>3757</v>
      </c>
      <c r="B3758" s="1">
        <v>43630</v>
      </c>
      <c r="C3758" s="6" t="s">
        <v>9</v>
      </c>
      <c r="D3758" s="6" t="s">
        <v>10</v>
      </c>
      <c r="E3758" s="6">
        <v>0</v>
      </c>
      <c r="F3758" s="6">
        <v>3</v>
      </c>
      <c r="G3758" s="6" t="s">
        <v>11</v>
      </c>
      <c r="H3758" s="6" t="s">
        <v>18</v>
      </c>
      <c r="I3758" s="6">
        <f>TabJogos[[#This Row],[PontosTime1]]-TabJogos[[#This Row],[PontosTime2]]</f>
        <v>-3</v>
      </c>
    </row>
    <row r="3759" spans="1:9" ht="15" customHeight="1" x14ac:dyDescent="0.25">
      <c r="A3759" s="7">
        <v>3758</v>
      </c>
      <c r="B3759" s="1">
        <v>43630</v>
      </c>
      <c r="C3759" s="6" t="s">
        <v>11</v>
      </c>
      <c r="D3759" s="6" t="s">
        <v>12</v>
      </c>
      <c r="E3759" s="6">
        <v>0</v>
      </c>
      <c r="F3759" s="6">
        <v>3</v>
      </c>
      <c r="G3759" s="6" t="s">
        <v>10</v>
      </c>
      <c r="H3759" s="6" t="s">
        <v>18</v>
      </c>
      <c r="I3759" s="6">
        <f>TabJogos[[#This Row],[PontosTime1]]-TabJogos[[#This Row],[PontosTime2]]</f>
        <v>-3</v>
      </c>
    </row>
    <row r="3760" spans="1:9" ht="15" customHeight="1" x14ac:dyDescent="0.25">
      <c r="A3760" s="7">
        <v>3759</v>
      </c>
      <c r="B3760" s="1">
        <v>43630</v>
      </c>
      <c r="C3760" s="6" t="s">
        <v>41</v>
      </c>
      <c r="D3760" s="6" t="s">
        <v>10</v>
      </c>
      <c r="E3760" s="6">
        <v>3</v>
      </c>
      <c r="F3760" s="6">
        <v>1</v>
      </c>
      <c r="G3760" s="6" t="s">
        <v>9</v>
      </c>
      <c r="H3760" s="6" t="s">
        <v>18</v>
      </c>
      <c r="I3760" s="6">
        <f>TabJogos[[#This Row],[PontosTime1]]-TabJogos[[#This Row],[PontosTime2]]</f>
        <v>2</v>
      </c>
    </row>
    <row r="3761" spans="1:9" ht="15" customHeight="1" x14ac:dyDescent="0.25">
      <c r="A3761" s="7">
        <v>3760</v>
      </c>
      <c r="B3761" s="1">
        <v>43630</v>
      </c>
      <c r="C3761" s="6" t="s">
        <v>41</v>
      </c>
      <c r="D3761" s="6" t="s">
        <v>11</v>
      </c>
      <c r="E3761" s="6">
        <v>3</v>
      </c>
      <c r="F3761" s="6">
        <v>2</v>
      </c>
      <c r="G3761" s="6" t="s">
        <v>10</v>
      </c>
      <c r="H3761" s="6" t="s">
        <v>12</v>
      </c>
      <c r="I3761" s="6">
        <f>TabJogos[[#This Row],[PontosTime1]]-TabJogos[[#This Row],[PontosTime2]]</f>
        <v>1</v>
      </c>
    </row>
    <row r="3762" spans="1:9" ht="15" customHeight="1" x14ac:dyDescent="0.25">
      <c r="A3762" s="7">
        <v>3761</v>
      </c>
      <c r="B3762" s="1">
        <v>43630</v>
      </c>
      <c r="C3762" s="6" t="s">
        <v>41</v>
      </c>
      <c r="D3762" s="6" t="s">
        <v>18</v>
      </c>
      <c r="E3762" s="6">
        <v>5</v>
      </c>
      <c r="F3762" s="6">
        <v>0</v>
      </c>
      <c r="G3762" s="6" t="s">
        <v>17</v>
      </c>
      <c r="H3762" s="6" t="s">
        <v>11</v>
      </c>
      <c r="I3762" s="6">
        <f>TabJogos[[#This Row],[PontosTime1]]-TabJogos[[#This Row],[PontosTime2]]</f>
        <v>5</v>
      </c>
    </row>
    <row r="3763" spans="1:9" ht="15" customHeight="1" x14ac:dyDescent="0.25">
      <c r="A3763" s="7">
        <v>3762</v>
      </c>
      <c r="B3763" s="1">
        <v>43630</v>
      </c>
      <c r="C3763" s="6" t="s">
        <v>41</v>
      </c>
      <c r="D3763" s="6" t="s">
        <v>9</v>
      </c>
      <c r="E3763" s="6">
        <v>4</v>
      </c>
      <c r="F3763" s="6">
        <v>1</v>
      </c>
      <c r="G3763" s="6" t="s">
        <v>17</v>
      </c>
      <c r="H3763" s="6" t="s">
        <v>18</v>
      </c>
      <c r="I3763" s="6">
        <f>TabJogos[[#This Row],[PontosTime1]]-TabJogos[[#This Row],[PontosTime2]]</f>
        <v>3</v>
      </c>
    </row>
    <row r="3764" spans="1:9" ht="15" customHeight="1" x14ac:dyDescent="0.25">
      <c r="A3764" s="7">
        <v>3763</v>
      </c>
      <c r="B3764" s="1">
        <v>43630</v>
      </c>
      <c r="C3764" s="6" t="s">
        <v>9</v>
      </c>
      <c r="D3764" s="6" t="s">
        <v>18</v>
      </c>
      <c r="E3764" s="6">
        <v>4</v>
      </c>
      <c r="F3764" s="6">
        <v>2</v>
      </c>
      <c r="G3764" s="6" t="s">
        <v>11</v>
      </c>
      <c r="H3764" s="6" t="s">
        <v>41</v>
      </c>
      <c r="I3764" s="6">
        <f>TabJogos[[#This Row],[PontosTime1]]-TabJogos[[#This Row],[PontosTime2]]</f>
        <v>2</v>
      </c>
    </row>
    <row r="3765" spans="1:9" ht="15" customHeight="1" x14ac:dyDescent="0.25">
      <c r="A3765" s="7">
        <v>3764</v>
      </c>
      <c r="B3765" s="1">
        <v>43630</v>
      </c>
      <c r="C3765" s="6" t="s">
        <v>11</v>
      </c>
      <c r="D3765" s="6" t="s">
        <v>18</v>
      </c>
      <c r="E3765" s="6">
        <v>0</v>
      </c>
      <c r="F3765" s="6">
        <v>3</v>
      </c>
      <c r="G3765" s="6" t="s">
        <v>17</v>
      </c>
      <c r="H3765" s="6" t="s">
        <v>9</v>
      </c>
      <c r="I3765" s="6">
        <f>TabJogos[[#This Row],[PontosTime1]]-TabJogos[[#This Row],[PontosTime2]]</f>
        <v>-3</v>
      </c>
    </row>
    <row r="3766" spans="1:9" ht="15" customHeight="1" x14ac:dyDescent="0.25">
      <c r="A3766" s="7">
        <v>3765</v>
      </c>
      <c r="B3766" s="1">
        <v>43630</v>
      </c>
      <c r="C3766" s="6" t="s">
        <v>11</v>
      </c>
      <c r="D3766" s="6" t="s">
        <v>9</v>
      </c>
      <c r="E3766" s="6">
        <v>3</v>
      </c>
      <c r="F3766" s="6">
        <v>2</v>
      </c>
      <c r="G3766" s="6" t="s">
        <v>17</v>
      </c>
      <c r="H3766" s="6" t="s">
        <v>18</v>
      </c>
      <c r="I3766" s="6">
        <f>TabJogos[[#This Row],[PontosTime1]]-TabJogos[[#This Row],[PontosTime2]]</f>
        <v>1</v>
      </c>
    </row>
    <row r="3767" spans="1:9" ht="15" customHeight="1" x14ac:dyDescent="0.25">
      <c r="A3767" s="7">
        <v>3766</v>
      </c>
      <c r="B3767" s="1">
        <v>43630</v>
      </c>
      <c r="C3767" s="6" t="s">
        <v>11</v>
      </c>
      <c r="D3767" s="6" t="s">
        <v>17</v>
      </c>
      <c r="E3767" s="6">
        <v>4</v>
      </c>
      <c r="F3767" s="6">
        <v>0</v>
      </c>
      <c r="G3767" s="6" t="s">
        <v>18</v>
      </c>
      <c r="H3767" s="6" t="s">
        <v>9</v>
      </c>
      <c r="I3767" s="6">
        <f>TabJogos[[#This Row],[PontosTime1]]-TabJogos[[#This Row],[PontosTime2]]</f>
        <v>4</v>
      </c>
    </row>
    <row r="3768" spans="1:9" ht="15" customHeight="1" x14ac:dyDescent="0.25">
      <c r="A3768" s="7">
        <v>3767</v>
      </c>
      <c r="B3768" s="1">
        <v>43633</v>
      </c>
      <c r="C3768" s="6" t="s">
        <v>10</v>
      </c>
      <c r="D3768" s="6" t="s">
        <v>17</v>
      </c>
      <c r="E3768" s="6">
        <v>3</v>
      </c>
      <c r="F3768" s="6">
        <v>2</v>
      </c>
      <c r="G3768" s="6" t="s">
        <v>9</v>
      </c>
      <c r="H3768" s="6" t="s">
        <v>13</v>
      </c>
      <c r="I3768" s="6">
        <f>TabJogos[[#This Row],[PontosTime1]]-TabJogos[[#This Row],[PontosTime2]]</f>
        <v>1</v>
      </c>
    </row>
    <row r="3769" spans="1:9" ht="15" customHeight="1" x14ac:dyDescent="0.25">
      <c r="A3769" s="7">
        <v>3768</v>
      </c>
      <c r="B3769" s="1">
        <v>43633</v>
      </c>
      <c r="C3769" s="6" t="s">
        <v>10</v>
      </c>
      <c r="D3769" s="6" t="s">
        <v>13</v>
      </c>
      <c r="E3769" s="6">
        <v>1</v>
      </c>
      <c r="F3769" s="6">
        <v>3</v>
      </c>
      <c r="G3769" s="6" t="s">
        <v>17</v>
      </c>
      <c r="H3769" s="6" t="s">
        <v>9</v>
      </c>
      <c r="I3769" s="6">
        <f>TabJogos[[#This Row],[PontosTime1]]-TabJogos[[#This Row],[PontosTime2]]</f>
        <v>-2</v>
      </c>
    </row>
    <row r="3770" spans="1:9" ht="15" customHeight="1" x14ac:dyDescent="0.25">
      <c r="A3770" s="7">
        <v>3769</v>
      </c>
      <c r="B3770" s="1">
        <v>43633</v>
      </c>
      <c r="C3770" s="6" t="s">
        <v>10</v>
      </c>
      <c r="D3770" s="6" t="s">
        <v>9</v>
      </c>
      <c r="E3770" s="6">
        <v>2</v>
      </c>
      <c r="F3770" s="6">
        <v>3</v>
      </c>
      <c r="G3770" s="6" t="s">
        <v>17</v>
      </c>
      <c r="H3770" s="6" t="s">
        <v>28</v>
      </c>
      <c r="I3770" s="6">
        <f>TabJogos[[#This Row],[PontosTime1]]-TabJogos[[#This Row],[PontosTime2]]</f>
        <v>-1</v>
      </c>
    </row>
    <row r="3771" spans="1:9" ht="15" customHeight="1" x14ac:dyDescent="0.25">
      <c r="A3771" s="7">
        <v>3770</v>
      </c>
      <c r="B3771" s="1">
        <v>43633</v>
      </c>
      <c r="C3771" s="6" t="s">
        <v>10</v>
      </c>
      <c r="D3771" s="6" t="s">
        <v>13</v>
      </c>
      <c r="E3771" s="6">
        <v>0</v>
      </c>
      <c r="F3771" s="6">
        <v>4</v>
      </c>
      <c r="G3771" s="6" t="s">
        <v>17</v>
      </c>
      <c r="H3771" s="6" t="s">
        <v>9</v>
      </c>
      <c r="I3771" s="6">
        <f>TabJogos[[#This Row],[PontosTime1]]-TabJogos[[#This Row],[PontosTime2]]</f>
        <v>-4</v>
      </c>
    </row>
    <row r="3772" spans="1:9" ht="15" customHeight="1" x14ac:dyDescent="0.25">
      <c r="A3772" s="7">
        <v>3771</v>
      </c>
      <c r="B3772" s="1">
        <v>43633</v>
      </c>
      <c r="C3772" s="6" t="s">
        <v>10</v>
      </c>
      <c r="D3772" s="6" t="s">
        <v>17</v>
      </c>
      <c r="E3772" s="6">
        <v>3</v>
      </c>
      <c r="F3772" s="6">
        <v>1</v>
      </c>
      <c r="G3772" s="6" t="s">
        <v>13</v>
      </c>
      <c r="H3772" s="6" t="s">
        <v>9</v>
      </c>
      <c r="I3772" s="6">
        <f>TabJogos[[#This Row],[PontosTime1]]-TabJogos[[#This Row],[PontosTime2]]</f>
        <v>2</v>
      </c>
    </row>
    <row r="3773" spans="1:9" ht="15" customHeight="1" x14ac:dyDescent="0.25">
      <c r="A3773" s="7">
        <v>3772</v>
      </c>
      <c r="B3773" s="1">
        <v>43633</v>
      </c>
      <c r="C3773" s="6" t="s">
        <v>10</v>
      </c>
      <c r="D3773" s="6" t="s">
        <v>18</v>
      </c>
      <c r="E3773" s="6">
        <v>4</v>
      </c>
      <c r="F3773" s="6">
        <v>1</v>
      </c>
      <c r="G3773" s="6" t="s">
        <v>13</v>
      </c>
      <c r="H3773" s="6" t="s">
        <v>10</v>
      </c>
      <c r="I3773" s="6">
        <f>TabJogos[[#This Row],[PontosTime1]]-TabJogos[[#This Row],[PontosTime2]]</f>
        <v>3</v>
      </c>
    </row>
    <row r="3774" spans="1:9" ht="15" customHeight="1" x14ac:dyDescent="0.25">
      <c r="A3774" s="7">
        <v>3773</v>
      </c>
      <c r="B3774" s="1">
        <v>43633</v>
      </c>
      <c r="C3774" s="6" t="s">
        <v>17</v>
      </c>
      <c r="D3774" s="6" t="s">
        <v>9</v>
      </c>
      <c r="E3774" s="6">
        <v>0</v>
      </c>
      <c r="F3774" s="6">
        <v>3</v>
      </c>
      <c r="G3774" s="6" t="s">
        <v>18</v>
      </c>
      <c r="H3774" s="6" t="s">
        <v>13</v>
      </c>
      <c r="I3774" s="6">
        <f>TabJogos[[#This Row],[PontosTime1]]-TabJogos[[#This Row],[PontosTime2]]</f>
        <v>-3</v>
      </c>
    </row>
    <row r="3775" spans="1:9" ht="15" customHeight="1" x14ac:dyDescent="0.25">
      <c r="A3775" s="7">
        <v>3774</v>
      </c>
      <c r="B3775" s="1">
        <v>43633</v>
      </c>
      <c r="C3775" s="6" t="s">
        <v>17</v>
      </c>
      <c r="D3775" s="6" t="s">
        <v>18</v>
      </c>
      <c r="E3775" s="6">
        <v>5</v>
      </c>
      <c r="F3775" s="6">
        <v>2</v>
      </c>
      <c r="G3775" s="6" t="s">
        <v>13</v>
      </c>
      <c r="H3775" s="6" t="s">
        <v>9</v>
      </c>
      <c r="I3775" s="6">
        <f>TabJogos[[#This Row],[PontosTime1]]-TabJogos[[#This Row],[PontosTime2]]</f>
        <v>3</v>
      </c>
    </row>
    <row r="3776" spans="1:9" ht="15" customHeight="1" x14ac:dyDescent="0.25">
      <c r="A3776" s="7">
        <v>3775</v>
      </c>
      <c r="B3776" s="1">
        <v>43633</v>
      </c>
      <c r="C3776" s="6" t="s">
        <v>18</v>
      </c>
      <c r="D3776" s="6" t="s">
        <v>9</v>
      </c>
      <c r="E3776" s="6">
        <v>3</v>
      </c>
      <c r="F3776" s="6">
        <v>2</v>
      </c>
      <c r="G3776" s="6" t="s">
        <v>13</v>
      </c>
      <c r="H3776" s="6" t="s">
        <v>17</v>
      </c>
      <c r="I3776" s="6">
        <f>TabJogos[[#This Row],[PontosTime1]]-TabJogos[[#This Row],[PontosTime2]]</f>
        <v>1</v>
      </c>
    </row>
    <row r="3777" spans="1:9" ht="15" customHeight="1" x14ac:dyDescent="0.25">
      <c r="A3777" s="7">
        <v>3776</v>
      </c>
      <c r="B3777" s="1">
        <v>43633</v>
      </c>
      <c r="C3777" s="6" t="s">
        <v>9</v>
      </c>
      <c r="D3777" s="6" t="s">
        <v>17</v>
      </c>
      <c r="E3777" s="6">
        <v>3</v>
      </c>
      <c r="F3777" s="6">
        <v>2</v>
      </c>
      <c r="G3777" s="6" t="s">
        <v>18</v>
      </c>
      <c r="H3777" s="6" t="s">
        <v>13</v>
      </c>
      <c r="I3777" s="6">
        <f>TabJogos[[#This Row],[PontosTime1]]-TabJogos[[#This Row],[PontosTime2]]</f>
        <v>1</v>
      </c>
    </row>
    <row r="3778" spans="1:9" ht="15" customHeight="1" x14ac:dyDescent="0.25">
      <c r="A3778" s="7">
        <v>3777</v>
      </c>
      <c r="B3778" s="1">
        <v>43633</v>
      </c>
      <c r="C3778" s="6" t="s">
        <v>17</v>
      </c>
      <c r="D3778" s="6" t="s">
        <v>18</v>
      </c>
      <c r="E3778" s="6">
        <v>1</v>
      </c>
      <c r="F3778" s="6">
        <v>3</v>
      </c>
      <c r="G3778" s="6" t="s">
        <v>9</v>
      </c>
      <c r="H3778" s="6" t="s">
        <v>13</v>
      </c>
      <c r="I3778" s="6">
        <f>TabJogos[[#This Row],[PontosTime1]]-TabJogos[[#This Row],[PontosTime2]]</f>
        <v>-2</v>
      </c>
    </row>
    <row r="3779" spans="1:9" ht="15" customHeight="1" x14ac:dyDescent="0.25">
      <c r="A3779" s="7">
        <v>3778</v>
      </c>
      <c r="B3779" s="1">
        <v>43634</v>
      </c>
      <c r="C3779" s="6" t="s">
        <v>18</v>
      </c>
      <c r="D3779" s="6" t="s">
        <v>10</v>
      </c>
      <c r="E3779" s="6">
        <v>0</v>
      </c>
      <c r="F3779" s="6">
        <v>4</v>
      </c>
      <c r="G3779" s="6" t="s">
        <v>41</v>
      </c>
      <c r="H3779" s="6" t="s">
        <v>9</v>
      </c>
      <c r="I3779" s="6">
        <f>TabJogos[[#This Row],[PontosTime1]]-TabJogos[[#This Row],[PontosTime2]]</f>
        <v>-4</v>
      </c>
    </row>
    <row r="3780" spans="1:9" ht="15" customHeight="1" x14ac:dyDescent="0.25">
      <c r="A3780" s="7">
        <v>3779</v>
      </c>
      <c r="B3780" s="1">
        <v>43634</v>
      </c>
      <c r="C3780" s="6" t="s">
        <v>9</v>
      </c>
      <c r="D3780" s="6" t="s">
        <v>12</v>
      </c>
      <c r="E3780" s="6">
        <v>3</v>
      </c>
      <c r="F3780" s="6">
        <v>0</v>
      </c>
      <c r="G3780" s="6" t="s">
        <v>41</v>
      </c>
      <c r="H3780" s="6" t="s">
        <v>13</v>
      </c>
      <c r="I3780" s="6">
        <f>TabJogos[[#This Row],[PontosTime1]]-TabJogos[[#This Row],[PontosTime2]]</f>
        <v>3</v>
      </c>
    </row>
    <row r="3781" spans="1:9" ht="15" customHeight="1" x14ac:dyDescent="0.25">
      <c r="A3781" s="7">
        <v>3780</v>
      </c>
      <c r="B3781" s="1">
        <v>43634</v>
      </c>
      <c r="C3781" s="6" t="s">
        <v>18</v>
      </c>
      <c r="D3781" s="6" t="s">
        <v>12</v>
      </c>
      <c r="E3781" s="6">
        <v>3</v>
      </c>
      <c r="F3781" s="6">
        <v>2</v>
      </c>
      <c r="G3781" s="6" t="s">
        <v>9</v>
      </c>
      <c r="H3781" s="6" t="s">
        <v>10</v>
      </c>
      <c r="I3781" s="6">
        <f>TabJogos[[#This Row],[PontosTime1]]-TabJogos[[#This Row],[PontosTime2]]</f>
        <v>1</v>
      </c>
    </row>
    <row r="3782" spans="1:9" ht="15" customHeight="1" x14ac:dyDescent="0.25">
      <c r="A3782" s="7">
        <v>3781</v>
      </c>
      <c r="B3782" s="1">
        <v>43634</v>
      </c>
      <c r="C3782" s="6" t="s">
        <v>13</v>
      </c>
      <c r="D3782" s="6" t="s">
        <v>18</v>
      </c>
      <c r="E3782" s="6">
        <v>3</v>
      </c>
      <c r="F3782" s="6">
        <v>1</v>
      </c>
      <c r="G3782" s="6" t="s">
        <v>41</v>
      </c>
      <c r="H3782" s="6" t="s">
        <v>12</v>
      </c>
      <c r="I3782" s="6">
        <f>TabJogos[[#This Row],[PontosTime1]]-TabJogos[[#This Row],[PontosTime2]]</f>
        <v>2</v>
      </c>
    </row>
    <row r="3783" spans="1:9" ht="15" customHeight="1" x14ac:dyDescent="0.25">
      <c r="A3783" s="7">
        <v>3782</v>
      </c>
      <c r="B3783" s="1">
        <v>43634</v>
      </c>
      <c r="C3783" s="6" t="s">
        <v>13</v>
      </c>
      <c r="D3783" s="6" t="s">
        <v>9</v>
      </c>
      <c r="E3783" s="6">
        <v>1</v>
      </c>
      <c r="F3783" s="6">
        <v>3</v>
      </c>
      <c r="G3783" s="6" t="s">
        <v>41</v>
      </c>
      <c r="H3783" s="6" t="s">
        <v>18</v>
      </c>
      <c r="I3783" s="6">
        <f>TabJogos[[#This Row],[PontosTime1]]-TabJogos[[#This Row],[PontosTime2]]</f>
        <v>-2</v>
      </c>
    </row>
    <row r="3784" spans="1:9" ht="15" customHeight="1" x14ac:dyDescent="0.25">
      <c r="A3784" s="7">
        <v>3783</v>
      </c>
      <c r="B3784" s="1">
        <v>43634</v>
      </c>
      <c r="C3784" s="6" t="s">
        <v>13</v>
      </c>
      <c r="D3784" s="6" t="s">
        <v>41</v>
      </c>
      <c r="E3784" s="6">
        <v>3</v>
      </c>
      <c r="F3784" s="6">
        <v>2</v>
      </c>
      <c r="G3784" s="6" t="s">
        <v>9</v>
      </c>
      <c r="H3784" s="6" t="s">
        <v>18</v>
      </c>
      <c r="I3784" s="6">
        <f>TabJogos[[#This Row],[PontosTime1]]-TabJogos[[#This Row],[PontosTime2]]</f>
        <v>1</v>
      </c>
    </row>
    <row r="3785" spans="1:9" ht="15" customHeight="1" x14ac:dyDescent="0.25">
      <c r="A3785" s="7">
        <v>3784</v>
      </c>
      <c r="B3785" s="1">
        <v>43634</v>
      </c>
      <c r="C3785" s="6" t="s">
        <v>9</v>
      </c>
      <c r="D3785" s="6" t="s">
        <v>41</v>
      </c>
      <c r="E3785" s="6">
        <v>3</v>
      </c>
      <c r="F3785" s="6">
        <v>0</v>
      </c>
      <c r="G3785" s="6" t="s">
        <v>13</v>
      </c>
      <c r="H3785" s="6" t="s">
        <v>18</v>
      </c>
      <c r="I3785" s="6">
        <f>TabJogos[[#This Row],[PontosTime1]]-TabJogos[[#This Row],[PontosTime2]]</f>
        <v>3</v>
      </c>
    </row>
    <row r="3786" spans="1:9" ht="15" customHeight="1" x14ac:dyDescent="0.25">
      <c r="A3786" s="7">
        <v>3785</v>
      </c>
      <c r="B3786" s="1">
        <v>43634</v>
      </c>
      <c r="C3786" s="6" t="s">
        <v>13</v>
      </c>
      <c r="D3786" s="6" t="s">
        <v>9</v>
      </c>
      <c r="E3786" s="6">
        <v>0</v>
      </c>
      <c r="F3786" s="6">
        <v>3</v>
      </c>
      <c r="G3786" s="6" t="s">
        <v>41</v>
      </c>
      <c r="H3786" s="6" t="s">
        <v>18</v>
      </c>
      <c r="I3786" s="6">
        <f>TabJogos[[#This Row],[PontosTime1]]-TabJogos[[#This Row],[PontosTime2]]</f>
        <v>-3</v>
      </c>
    </row>
    <row r="3787" spans="1:9" ht="15" customHeight="1" x14ac:dyDescent="0.25">
      <c r="A3787" s="7">
        <v>3786</v>
      </c>
      <c r="B3787" s="1">
        <v>43634</v>
      </c>
      <c r="C3787" s="6" t="s">
        <v>13</v>
      </c>
      <c r="D3787" s="6" t="s">
        <v>41</v>
      </c>
      <c r="E3787" s="6">
        <v>4</v>
      </c>
      <c r="F3787" s="6">
        <v>1</v>
      </c>
      <c r="G3787" s="6" t="s">
        <v>9</v>
      </c>
      <c r="H3787" s="6" t="s">
        <v>18</v>
      </c>
      <c r="I3787" s="6">
        <f>TabJogos[[#This Row],[PontosTime1]]-TabJogos[[#This Row],[PontosTime2]]</f>
        <v>3</v>
      </c>
    </row>
    <row r="3788" spans="1:9" ht="15" customHeight="1" x14ac:dyDescent="0.25">
      <c r="A3788" s="7">
        <v>3787</v>
      </c>
      <c r="B3788" s="1">
        <v>43634</v>
      </c>
      <c r="C3788" s="6" t="s">
        <v>13</v>
      </c>
      <c r="D3788" s="6" t="s">
        <v>18</v>
      </c>
      <c r="E3788" s="6">
        <v>3</v>
      </c>
      <c r="F3788" s="6">
        <v>1</v>
      </c>
      <c r="G3788" s="6" t="s">
        <v>41</v>
      </c>
      <c r="H3788" s="6" t="s">
        <v>9</v>
      </c>
      <c r="I3788" s="6">
        <f>TabJogos[[#This Row],[PontosTime1]]-TabJogos[[#This Row],[PontosTime2]]</f>
        <v>2</v>
      </c>
    </row>
    <row r="3789" spans="1:9" ht="15" customHeight="1" x14ac:dyDescent="0.25">
      <c r="A3789" s="7">
        <v>3788</v>
      </c>
      <c r="B3789" s="1">
        <v>43634</v>
      </c>
      <c r="C3789" s="6" t="s">
        <v>41</v>
      </c>
      <c r="D3789" s="6" t="s">
        <v>18</v>
      </c>
      <c r="E3789" s="6">
        <v>3</v>
      </c>
      <c r="F3789" s="6">
        <v>1</v>
      </c>
      <c r="G3789" s="6" t="s">
        <v>13</v>
      </c>
      <c r="H3789" s="6" t="s">
        <v>9</v>
      </c>
      <c r="I3789" s="6">
        <f>TabJogos[[#This Row],[PontosTime1]]-TabJogos[[#This Row],[PontosTime2]]</f>
        <v>2</v>
      </c>
    </row>
    <row r="3790" spans="1:9" ht="15" customHeight="1" x14ac:dyDescent="0.25">
      <c r="A3790" s="7">
        <v>3789</v>
      </c>
      <c r="B3790" s="1">
        <v>43634</v>
      </c>
      <c r="C3790" s="6" t="s">
        <v>41</v>
      </c>
      <c r="D3790" s="6" t="s">
        <v>13</v>
      </c>
      <c r="E3790" s="6">
        <v>3</v>
      </c>
      <c r="F3790" s="6">
        <v>1</v>
      </c>
      <c r="G3790" s="6" t="s">
        <v>18</v>
      </c>
      <c r="H3790" s="6" t="s">
        <v>9</v>
      </c>
      <c r="I3790" s="6">
        <f>TabJogos[[#This Row],[PontosTime1]]-TabJogos[[#This Row],[PontosTime2]]</f>
        <v>2</v>
      </c>
    </row>
    <row r="3791" spans="1:9" ht="15" customHeight="1" x14ac:dyDescent="0.25">
      <c r="A3791" s="7">
        <v>3790</v>
      </c>
      <c r="B3791" s="1">
        <v>43635</v>
      </c>
      <c r="C3791" s="6" t="s">
        <v>13</v>
      </c>
      <c r="D3791" s="6" t="s">
        <v>10</v>
      </c>
      <c r="E3791" s="6">
        <v>4</v>
      </c>
      <c r="F3791" s="6">
        <v>1</v>
      </c>
      <c r="G3791" s="6" t="s">
        <v>17</v>
      </c>
      <c r="H3791" s="6" t="s">
        <v>12</v>
      </c>
      <c r="I3791" s="6">
        <f>TabJogos[[#This Row],[PontosTime1]]-TabJogos[[#This Row],[PontosTime2]]</f>
        <v>3</v>
      </c>
    </row>
    <row r="3792" spans="1:9" ht="15" customHeight="1" x14ac:dyDescent="0.25">
      <c r="A3792" s="7">
        <v>3791</v>
      </c>
      <c r="B3792" s="1">
        <v>43635</v>
      </c>
      <c r="C3792" s="6" t="s">
        <v>12</v>
      </c>
      <c r="D3792" s="6" t="s">
        <v>10</v>
      </c>
      <c r="E3792" s="6">
        <v>4</v>
      </c>
      <c r="F3792" s="6">
        <v>1</v>
      </c>
      <c r="G3792" s="6" t="s">
        <v>17</v>
      </c>
      <c r="H3792" s="6" t="s">
        <v>13</v>
      </c>
      <c r="I3792" s="6">
        <f>TabJogos[[#This Row],[PontosTime1]]-TabJogos[[#This Row],[PontosTime2]]</f>
        <v>3</v>
      </c>
    </row>
    <row r="3793" spans="1:9" ht="15" customHeight="1" x14ac:dyDescent="0.25">
      <c r="A3793" s="7">
        <v>3792</v>
      </c>
      <c r="B3793" s="1">
        <v>43635</v>
      </c>
      <c r="C3793" s="6" t="s">
        <v>17</v>
      </c>
      <c r="D3793" s="6" t="s">
        <v>10</v>
      </c>
      <c r="E3793" s="6">
        <v>6</v>
      </c>
      <c r="F3793" s="6">
        <v>1</v>
      </c>
      <c r="G3793" s="6" t="s">
        <v>12</v>
      </c>
      <c r="H3793" s="6" t="s">
        <v>13</v>
      </c>
      <c r="I3793" s="6">
        <f>TabJogos[[#This Row],[PontosTime1]]-TabJogos[[#This Row],[PontosTime2]]</f>
        <v>5</v>
      </c>
    </row>
    <row r="3794" spans="1:9" ht="15" customHeight="1" x14ac:dyDescent="0.25">
      <c r="A3794" s="7">
        <v>3793</v>
      </c>
      <c r="B3794" s="1">
        <v>43641</v>
      </c>
      <c r="C3794" s="6" t="s">
        <v>9</v>
      </c>
      <c r="D3794" s="6" t="s">
        <v>12</v>
      </c>
      <c r="E3794" s="6">
        <v>3</v>
      </c>
      <c r="F3794" s="6">
        <v>2</v>
      </c>
      <c r="G3794" s="6" t="s">
        <v>10</v>
      </c>
      <c r="H3794" s="6" t="s">
        <v>18</v>
      </c>
      <c r="I3794" s="6">
        <f>TabJogos[[#This Row],[PontosTime1]]-TabJogos[[#This Row],[PontosTime2]]</f>
        <v>1</v>
      </c>
    </row>
    <row r="3795" spans="1:9" ht="15" customHeight="1" x14ac:dyDescent="0.25">
      <c r="A3795" s="7">
        <v>3794</v>
      </c>
      <c r="B3795" s="1">
        <v>43641</v>
      </c>
      <c r="C3795" s="6" t="s">
        <v>10</v>
      </c>
      <c r="D3795" s="6" t="s">
        <v>12</v>
      </c>
      <c r="E3795" s="6">
        <v>3</v>
      </c>
      <c r="F3795" s="6">
        <v>2</v>
      </c>
      <c r="G3795" s="6" t="s">
        <v>9</v>
      </c>
      <c r="H3795" s="6" t="s">
        <v>18</v>
      </c>
      <c r="I3795" s="6">
        <f>TabJogos[[#This Row],[PontosTime1]]-TabJogos[[#This Row],[PontosTime2]]</f>
        <v>1</v>
      </c>
    </row>
    <row r="3796" spans="1:9" ht="15" customHeight="1" x14ac:dyDescent="0.25">
      <c r="A3796" s="7">
        <v>3795</v>
      </c>
      <c r="B3796" s="1">
        <v>43641</v>
      </c>
      <c r="C3796" s="6" t="s">
        <v>10</v>
      </c>
      <c r="D3796" s="6" t="s">
        <v>41</v>
      </c>
      <c r="E3796" s="6">
        <v>2</v>
      </c>
      <c r="F3796" s="6">
        <v>3</v>
      </c>
      <c r="G3796" s="6" t="s">
        <v>9</v>
      </c>
      <c r="H3796" s="6" t="s">
        <v>32</v>
      </c>
      <c r="I3796" s="6">
        <f>TabJogos[[#This Row],[PontosTime1]]-TabJogos[[#This Row],[PontosTime2]]</f>
        <v>-1</v>
      </c>
    </row>
    <row r="3797" spans="1:9" ht="15" customHeight="1" x14ac:dyDescent="0.25">
      <c r="A3797" s="7">
        <v>3796</v>
      </c>
      <c r="B3797" s="1">
        <v>43641</v>
      </c>
      <c r="C3797" s="6" t="s">
        <v>9</v>
      </c>
      <c r="D3797" s="6" t="s">
        <v>11</v>
      </c>
      <c r="E3797" s="6">
        <v>3</v>
      </c>
      <c r="F3797" s="6">
        <v>1</v>
      </c>
      <c r="G3797" s="6" t="s">
        <v>32</v>
      </c>
      <c r="H3797" s="6" t="s">
        <v>18</v>
      </c>
      <c r="I3797" s="6">
        <f>TabJogos[[#This Row],[PontosTime1]]-TabJogos[[#This Row],[PontosTime2]]</f>
        <v>2</v>
      </c>
    </row>
    <row r="3798" spans="1:9" ht="15" customHeight="1" x14ac:dyDescent="0.25">
      <c r="A3798" s="7">
        <v>3797</v>
      </c>
      <c r="B3798" s="1">
        <v>43641</v>
      </c>
      <c r="C3798" s="6" t="s">
        <v>9</v>
      </c>
      <c r="D3798" s="6" t="s">
        <v>27</v>
      </c>
      <c r="E3798" s="6">
        <v>4</v>
      </c>
      <c r="F3798" s="6">
        <v>0</v>
      </c>
      <c r="G3798" s="6" t="s">
        <v>11</v>
      </c>
      <c r="H3798" s="6" t="s">
        <v>32</v>
      </c>
      <c r="I3798" s="6">
        <f>TabJogos[[#This Row],[PontosTime1]]-TabJogos[[#This Row],[PontosTime2]]</f>
        <v>4</v>
      </c>
    </row>
    <row r="3799" spans="1:9" ht="15" customHeight="1" x14ac:dyDescent="0.25">
      <c r="A3799" s="7">
        <v>3798</v>
      </c>
      <c r="B3799" s="1">
        <v>43641</v>
      </c>
      <c r="C3799" s="6" t="s">
        <v>9</v>
      </c>
      <c r="D3799" s="6" t="s">
        <v>41</v>
      </c>
      <c r="E3799" s="6">
        <v>4</v>
      </c>
      <c r="F3799" s="6">
        <v>0</v>
      </c>
      <c r="G3799" s="6" t="s">
        <v>18</v>
      </c>
      <c r="H3799" s="6" t="s">
        <v>27</v>
      </c>
      <c r="I3799" s="6">
        <f>TabJogos[[#This Row],[PontosTime1]]-TabJogos[[#This Row],[PontosTime2]]</f>
        <v>4</v>
      </c>
    </row>
    <row r="3800" spans="1:9" ht="15" customHeight="1" x14ac:dyDescent="0.25">
      <c r="A3800" s="7">
        <v>3799</v>
      </c>
      <c r="B3800" s="1">
        <v>43641</v>
      </c>
      <c r="C3800" s="6" t="s">
        <v>9</v>
      </c>
      <c r="D3800" s="6" t="s">
        <v>11</v>
      </c>
      <c r="E3800" s="6">
        <v>1</v>
      </c>
      <c r="F3800" s="6">
        <v>3</v>
      </c>
      <c r="G3800" s="6" t="s">
        <v>41</v>
      </c>
      <c r="H3800" s="6" t="s">
        <v>27</v>
      </c>
      <c r="I3800" s="6">
        <f>TabJogos[[#This Row],[PontosTime1]]-TabJogos[[#This Row],[PontosTime2]]</f>
        <v>-2</v>
      </c>
    </row>
    <row r="3801" spans="1:9" ht="15" customHeight="1" x14ac:dyDescent="0.25">
      <c r="A3801" s="7">
        <v>3800</v>
      </c>
      <c r="B3801" s="1">
        <v>43641</v>
      </c>
      <c r="C3801" s="6" t="s">
        <v>11</v>
      </c>
      <c r="D3801" s="6" t="s">
        <v>27</v>
      </c>
      <c r="E3801" s="6">
        <v>3</v>
      </c>
      <c r="F3801" s="6">
        <v>2</v>
      </c>
      <c r="G3801" s="6" t="s">
        <v>9</v>
      </c>
      <c r="H3801" s="6" t="s">
        <v>18</v>
      </c>
      <c r="I3801" s="6">
        <f>TabJogos[[#This Row],[PontosTime1]]-TabJogos[[#This Row],[PontosTime2]]</f>
        <v>1</v>
      </c>
    </row>
    <row r="3802" spans="1:9" ht="15" customHeight="1" x14ac:dyDescent="0.25">
      <c r="A3802" s="7">
        <v>3801</v>
      </c>
      <c r="B3802" s="1">
        <v>43641</v>
      </c>
      <c r="C3802" s="6" t="s">
        <v>17</v>
      </c>
      <c r="D3802" s="6" t="s">
        <v>27</v>
      </c>
      <c r="E3802" s="6">
        <v>3</v>
      </c>
      <c r="F3802" s="6">
        <v>2</v>
      </c>
      <c r="G3802" s="6" t="s">
        <v>41</v>
      </c>
      <c r="H3802" s="6" t="s">
        <v>11</v>
      </c>
      <c r="I3802" s="6">
        <f>TabJogos[[#This Row],[PontosTime1]]-TabJogos[[#This Row],[PontosTime2]]</f>
        <v>1</v>
      </c>
    </row>
    <row r="3803" spans="1:9" ht="15" customHeight="1" x14ac:dyDescent="0.25">
      <c r="A3803" s="7">
        <v>3802</v>
      </c>
      <c r="B3803" s="1">
        <v>43641</v>
      </c>
      <c r="C3803" s="6" t="s">
        <v>11</v>
      </c>
      <c r="D3803" s="6" t="s">
        <v>17</v>
      </c>
      <c r="E3803" s="6">
        <v>4</v>
      </c>
      <c r="F3803" s="6">
        <v>0</v>
      </c>
      <c r="G3803" s="6" t="s">
        <v>18</v>
      </c>
      <c r="H3803" s="6" t="s">
        <v>27</v>
      </c>
      <c r="I3803" s="6">
        <f>TabJogos[[#This Row],[PontosTime1]]-TabJogos[[#This Row],[PontosTime2]]</f>
        <v>4</v>
      </c>
    </row>
    <row r="3804" spans="1:9" ht="15" customHeight="1" x14ac:dyDescent="0.25">
      <c r="A3804" s="7">
        <v>3803</v>
      </c>
      <c r="B3804" s="1">
        <v>43642</v>
      </c>
      <c r="C3804" s="6" t="s">
        <v>12</v>
      </c>
      <c r="D3804" s="6" t="s">
        <v>9</v>
      </c>
      <c r="E3804" s="6">
        <v>3</v>
      </c>
      <c r="F3804" s="6">
        <v>1</v>
      </c>
      <c r="G3804" s="6" t="s">
        <v>10</v>
      </c>
      <c r="H3804" s="6" t="s">
        <v>11</v>
      </c>
      <c r="I3804" s="6">
        <f>TabJogos[[#This Row],[PontosTime1]]-TabJogos[[#This Row],[PontosTime2]]</f>
        <v>2</v>
      </c>
    </row>
    <row r="3805" spans="1:9" ht="15" customHeight="1" x14ac:dyDescent="0.25">
      <c r="A3805" s="7">
        <v>3804</v>
      </c>
      <c r="B3805" s="1">
        <v>43642</v>
      </c>
      <c r="C3805" s="6" t="s">
        <v>9</v>
      </c>
      <c r="D3805" s="6" t="s">
        <v>17</v>
      </c>
      <c r="E3805" s="6">
        <v>4</v>
      </c>
      <c r="F3805" s="6">
        <v>2</v>
      </c>
      <c r="G3805" s="6" t="s">
        <v>13</v>
      </c>
      <c r="H3805" s="6" t="s">
        <v>12</v>
      </c>
      <c r="I3805" s="6">
        <f>TabJogos[[#This Row],[PontosTime1]]-TabJogos[[#This Row],[PontosTime2]]</f>
        <v>2</v>
      </c>
    </row>
    <row r="3806" spans="1:9" ht="15" customHeight="1" x14ac:dyDescent="0.25">
      <c r="A3806" s="7">
        <v>3805</v>
      </c>
      <c r="B3806" s="1">
        <v>43642</v>
      </c>
      <c r="C3806" s="6" t="s">
        <v>9</v>
      </c>
      <c r="D3806" s="6" t="s">
        <v>11</v>
      </c>
      <c r="E3806" s="6">
        <v>4</v>
      </c>
      <c r="F3806" s="6">
        <v>1</v>
      </c>
      <c r="G3806" s="6" t="s">
        <v>10</v>
      </c>
      <c r="H3806" s="6" t="s">
        <v>17</v>
      </c>
      <c r="I3806" s="6">
        <f>TabJogos[[#This Row],[PontosTime1]]-TabJogos[[#This Row],[PontosTime2]]</f>
        <v>3</v>
      </c>
    </row>
    <row r="3807" spans="1:9" ht="15" customHeight="1" x14ac:dyDescent="0.25">
      <c r="A3807" s="7">
        <v>3806</v>
      </c>
      <c r="B3807" s="1">
        <v>43642</v>
      </c>
      <c r="C3807" s="6" t="s">
        <v>9</v>
      </c>
      <c r="D3807" s="6" t="s">
        <v>13</v>
      </c>
      <c r="E3807" s="6">
        <v>3</v>
      </c>
      <c r="F3807" s="6">
        <v>0</v>
      </c>
      <c r="G3807" s="6" t="s">
        <v>41</v>
      </c>
      <c r="H3807" s="6" t="s">
        <v>11</v>
      </c>
      <c r="I3807" s="6">
        <f>TabJogos[[#This Row],[PontosTime1]]-TabJogos[[#This Row],[PontosTime2]]</f>
        <v>3</v>
      </c>
    </row>
    <row r="3808" spans="1:9" ht="15" customHeight="1" x14ac:dyDescent="0.25">
      <c r="A3808" s="7">
        <v>3807</v>
      </c>
      <c r="B3808" s="1">
        <v>43642</v>
      </c>
      <c r="C3808" s="6" t="s">
        <v>9</v>
      </c>
      <c r="D3808" s="6" t="s">
        <v>10</v>
      </c>
      <c r="E3808" s="6">
        <v>4</v>
      </c>
      <c r="F3808" s="6">
        <v>0</v>
      </c>
      <c r="G3808" s="6" t="s">
        <v>17</v>
      </c>
      <c r="H3808" s="6" t="s">
        <v>13</v>
      </c>
      <c r="I3808" s="6">
        <f>TabJogos[[#This Row],[PontosTime1]]-TabJogos[[#This Row],[PontosTime2]]</f>
        <v>4</v>
      </c>
    </row>
    <row r="3809" spans="1:9" ht="15" customHeight="1" x14ac:dyDescent="0.25">
      <c r="A3809" s="7">
        <v>3808</v>
      </c>
      <c r="B3809" s="1">
        <v>43642</v>
      </c>
      <c r="C3809" s="6" t="s">
        <v>9</v>
      </c>
      <c r="D3809" s="6" t="s">
        <v>18</v>
      </c>
      <c r="E3809" s="6">
        <v>1</v>
      </c>
      <c r="F3809" s="6">
        <v>3</v>
      </c>
      <c r="G3809" s="6" t="s">
        <v>41</v>
      </c>
      <c r="H3809" s="6" t="s">
        <v>10</v>
      </c>
      <c r="I3809" s="6">
        <f>TabJogos[[#This Row],[PontosTime1]]-TabJogos[[#This Row],[PontosTime2]]</f>
        <v>-2</v>
      </c>
    </row>
    <row r="3810" spans="1:9" ht="15" customHeight="1" x14ac:dyDescent="0.25">
      <c r="A3810" s="7">
        <v>3809</v>
      </c>
      <c r="B3810" s="1">
        <v>43642</v>
      </c>
      <c r="C3810" s="6" t="s">
        <v>13</v>
      </c>
      <c r="D3810" s="6" t="s">
        <v>41</v>
      </c>
      <c r="E3810" s="6">
        <v>2</v>
      </c>
      <c r="F3810" s="6">
        <v>3</v>
      </c>
      <c r="G3810" s="6" t="s">
        <v>11</v>
      </c>
      <c r="H3810" s="6" t="s">
        <v>10</v>
      </c>
      <c r="I3810" s="6">
        <f>TabJogos[[#This Row],[PontosTime1]]-TabJogos[[#This Row],[PontosTime2]]</f>
        <v>-1</v>
      </c>
    </row>
    <row r="3811" spans="1:9" ht="15" customHeight="1" x14ac:dyDescent="0.25">
      <c r="A3811" s="7">
        <v>3810</v>
      </c>
      <c r="B3811" s="1">
        <v>43642</v>
      </c>
      <c r="C3811" s="6" t="s">
        <v>11</v>
      </c>
      <c r="D3811" s="6" t="s">
        <v>27</v>
      </c>
      <c r="E3811" s="6">
        <v>3</v>
      </c>
      <c r="F3811" s="6">
        <v>1</v>
      </c>
      <c r="G3811" s="6" t="s">
        <v>18</v>
      </c>
      <c r="H3811" s="6" t="s">
        <v>10</v>
      </c>
      <c r="I3811" s="6">
        <f>TabJogos[[#This Row],[PontosTime1]]-TabJogos[[#This Row],[PontosTime2]]</f>
        <v>2</v>
      </c>
    </row>
    <row r="3812" spans="1:9" ht="15" customHeight="1" x14ac:dyDescent="0.25">
      <c r="A3812" s="7">
        <v>3811</v>
      </c>
      <c r="B3812" s="1">
        <v>43642</v>
      </c>
      <c r="C3812" s="6" t="s">
        <v>11</v>
      </c>
      <c r="D3812" s="6" t="s">
        <v>18</v>
      </c>
      <c r="E3812" s="6">
        <v>0</v>
      </c>
      <c r="F3812" s="6">
        <v>4</v>
      </c>
      <c r="G3812" s="6" t="s">
        <v>27</v>
      </c>
      <c r="H3812" s="6" t="s">
        <v>13</v>
      </c>
      <c r="I3812" s="6">
        <f>TabJogos[[#This Row],[PontosTime1]]-TabJogos[[#This Row],[PontosTime2]]</f>
        <v>-4</v>
      </c>
    </row>
    <row r="3813" spans="1:9" ht="15" customHeight="1" x14ac:dyDescent="0.25">
      <c r="A3813" s="7">
        <v>3812</v>
      </c>
      <c r="B3813" s="1">
        <v>43642</v>
      </c>
      <c r="C3813" s="6" t="s">
        <v>11</v>
      </c>
      <c r="D3813" s="6" t="s">
        <v>13</v>
      </c>
      <c r="E3813" s="6">
        <v>1</v>
      </c>
      <c r="F3813" s="6">
        <v>3</v>
      </c>
      <c r="G3813" s="6" t="s">
        <v>27</v>
      </c>
      <c r="H3813" s="6" t="s">
        <v>41</v>
      </c>
      <c r="I3813" s="6">
        <f>TabJogos[[#This Row],[PontosTime1]]-TabJogos[[#This Row],[PontosTime2]]</f>
        <v>-2</v>
      </c>
    </row>
    <row r="3814" spans="1:9" ht="15" customHeight="1" x14ac:dyDescent="0.25">
      <c r="A3814" s="7">
        <v>3813</v>
      </c>
      <c r="B3814" s="1">
        <v>43642</v>
      </c>
      <c r="C3814" s="6" t="s">
        <v>11</v>
      </c>
      <c r="D3814" s="6" t="s">
        <v>41</v>
      </c>
      <c r="E3814" s="6">
        <v>4</v>
      </c>
      <c r="F3814" s="6">
        <v>1</v>
      </c>
      <c r="G3814" s="6" t="s">
        <v>27</v>
      </c>
      <c r="H3814" s="6" t="s">
        <v>18</v>
      </c>
      <c r="I3814" s="6">
        <f>TabJogos[[#This Row],[PontosTime1]]-TabJogos[[#This Row],[PontosTime2]]</f>
        <v>3</v>
      </c>
    </row>
    <row r="3815" spans="1:9" ht="15" customHeight="1" x14ac:dyDescent="0.25">
      <c r="A3815" s="7">
        <v>3814</v>
      </c>
      <c r="B3815" s="1">
        <v>43642</v>
      </c>
      <c r="C3815" s="6" t="s">
        <v>11</v>
      </c>
      <c r="D3815" s="6" t="s">
        <v>18</v>
      </c>
      <c r="E3815" s="6">
        <v>3</v>
      </c>
      <c r="F3815" s="6">
        <v>1</v>
      </c>
      <c r="G3815" s="6" t="s">
        <v>41</v>
      </c>
      <c r="H3815" s="6" t="s">
        <v>13</v>
      </c>
      <c r="I3815" s="6">
        <f>TabJogos[[#This Row],[PontosTime1]]-TabJogos[[#This Row],[PontosTime2]]</f>
        <v>2</v>
      </c>
    </row>
    <row r="3816" spans="1:9" ht="15" customHeight="1" x14ac:dyDescent="0.25">
      <c r="A3816" s="7">
        <v>3815</v>
      </c>
      <c r="B3816" s="1">
        <v>43642</v>
      </c>
      <c r="C3816" s="6" t="s">
        <v>11</v>
      </c>
      <c r="D3816" s="6" t="s">
        <v>27</v>
      </c>
      <c r="E3816" s="6">
        <v>3</v>
      </c>
      <c r="F3816" s="6">
        <v>1</v>
      </c>
      <c r="G3816" s="6" t="s">
        <v>13</v>
      </c>
      <c r="H3816" s="6" t="s">
        <v>18</v>
      </c>
      <c r="I3816" s="6">
        <f>TabJogos[[#This Row],[PontosTime1]]-TabJogos[[#This Row],[PontosTime2]]</f>
        <v>2</v>
      </c>
    </row>
    <row r="3817" spans="1:9" ht="15" customHeight="1" x14ac:dyDescent="0.25">
      <c r="A3817" s="7">
        <v>3816</v>
      </c>
      <c r="B3817" s="1">
        <v>43642</v>
      </c>
      <c r="C3817" s="6" t="s">
        <v>27</v>
      </c>
      <c r="D3817" s="6" t="s">
        <v>18</v>
      </c>
      <c r="E3817" s="6">
        <v>3</v>
      </c>
      <c r="F3817" s="6">
        <v>1</v>
      </c>
      <c r="G3817" s="6" t="s">
        <v>11</v>
      </c>
      <c r="H3817" s="6" t="s">
        <v>13</v>
      </c>
      <c r="I3817" s="6">
        <f>TabJogos[[#This Row],[PontosTime1]]-TabJogos[[#This Row],[PontosTime2]]</f>
        <v>2</v>
      </c>
    </row>
    <row r="3818" spans="1:9" ht="15" customHeight="1" x14ac:dyDescent="0.25">
      <c r="A3818" s="7">
        <v>3817</v>
      </c>
      <c r="B3818" s="1">
        <v>43643</v>
      </c>
      <c r="C3818" s="6" t="s">
        <v>10</v>
      </c>
      <c r="D3818" s="6" t="s">
        <v>11</v>
      </c>
      <c r="E3818" s="6">
        <v>3</v>
      </c>
      <c r="F3818" s="6">
        <v>1</v>
      </c>
      <c r="G3818" s="6" t="s">
        <v>13</v>
      </c>
      <c r="H3818" s="6" t="s">
        <v>18</v>
      </c>
      <c r="I3818" s="6">
        <f>TabJogos[[#This Row],[PontosTime1]]-TabJogos[[#This Row],[PontosTime2]]</f>
        <v>2</v>
      </c>
    </row>
    <row r="3819" spans="1:9" ht="15" customHeight="1" x14ac:dyDescent="0.25">
      <c r="A3819" s="7">
        <v>3818</v>
      </c>
      <c r="B3819" s="1">
        <v>43643</v>
      </c>
      <c r="C3819" s="6" t="s">
        <v>11</v>
      </c>
      <c r="D3819" s="6" t="s">
        <v>18</v>
      </c>
      <c r="E3819" s="6">
        <v>1</v>
      </c>
      <c r="F3819" s="6">
        <v>3</v>
      </c>
      <c r="G3819" s="6" t="s">
        <v>10</v>
      </c>
      <c r="H3819" s="6" t="s">
        <v>13</v>
      </c>
      <c r="I3819" s="6">
        <f>TabJogos[[#This Row],[PontosTime1]]-TabJogos[[#This Row],[PontosTime2]]</f>
        <v>-2</v>
      </c>
    </row>
    <row r="3820" spans="1:9" ht="15" customHeight="1" x14ac:dyDescent="0.25">
      <c r="A3820" s="7">
        <v>3819</v>
      </c>
      <c r="B3820" s="1">
        <v>43643</v>
      </c>
      <c r="C3820" s="6" t="s">
        <v>10</v>
      </c>
      <c r="D3820" s="6" t="s">
        <v>18</v>
      </c>
      <c r="E3820" s="6">
        <v>1</v>
      </c>
      <c r="F3820" s="6">
        <v>3</v>
      </c>
      <c r="G3820" s="6" t="s">
        <v>13</v>
      </c>
      <c r="H3820" s="6" t="s">
        <v>27</v>
      </c>
      <c r="I3820" s="6">
        <f>TabJogos[[#This Row],[PontosTime1]]-TabJogos[[#This Row],[PontosTime2]]</f>
        <v>-2</v>
      </c>
    </row>
    <row r="3821" spans="1:9" ht="15" customHeight="1" x14ac:dyDescent="0.25">
      <c r="A3821" s="7">
        <v>3820</v>
      </c>
      <c r="B3821" s="1">
        <v>43643</v>
      </c>
      <c r="C3821" s="6" t="s">
        <v>27</v>
      </c>
      <c r="D3821" s="6" t="s">
        <v>18</v>
      </c>
      <c r="E3821" s="6">
        <v>6</v>
      </c>
      <c r="F3821" s="6">
        <v>0</v>
      </c>
      <c r="G3821" s="6" t="s">
        <v>11</v>
      </c>
      <c r="H3821" s="6" t="s">
        <v>13</v>
      </c>
      <c r="I3821" s="6">
        <f>TabJogos[[#This Row],[PontosTime1]]-TabJogos[[#This Row],[PontosTime2]]</f>
        <v>6</v>
      </c>
    </row>
    <row r="3822" spans="1:9" ht="15" customHeight="1" x14ac:dyDescent="0.25">
      <c r="A3822" s="7">
        <v>3821</v>
      </c>
      <c r="B3822" s="1">
        <v>43643</v>
      </c>
      <c r="C3822" s="6" t="s">
        <v>27</v>
      </c>
      <c r="D3822" s="6" t="s">
        <v>10</v>
      </c>
      <c r="E3822" s="6">
        <v>1</v>
      </c>
      <c r="F3822" s="6">
        <v>3</v>
      </c>
      <c r="G3822" s="6" t="s">
        <v>17</v>
      </c>
      <c r="H3822" s="6" t="s">
        <v>18</v>
      </c>
      <c r="I3822" s="6">
        <f>TabJogos[[#This Row],[PontosTime1]]-TabJogos[[#This Row],[PontosTime2]]</f>
        <v>-2</v>
      </c>
    </row>
    <row r="3823" spans="1:9" ht="15" customHeight="1" x14ac:dyDescent="0.25">
      <c r="A3823" s="7">
        <v>3822</v>
      </c>
      <c r="B3823" s="1">
        <v>43643</v>
      </c>
      <c r="C3823" s="6" t="s">
        <v>17</v>
      </c>
      <c r="D3823" s="6" t="s">
        <v>11</v>
      </c>
      <c r="E3823" s="6">
        <v>3</v>
      </c>
      <c r="F3823" s="6">
        <v>2</v>
      </c>
      <c r="G3823" s="6" t="s">
        <v>18</v>
      </c>
      <c r="H3823" s="6" t="s">
        <v>13</v>
      </c>
      <c r="I3823" s="6">
        <f>TabJogos[[#This Row],[PontosTime1]]-TabJogos[[#This Row],[PontosTime2]]</f>
        <v>1</v>
      </c>
    </row>
    <row r="3824" spans="1:9" ht="15" customHeight="1" x14ac:dyDescent="0.25">
      <c r="A3824" s="7">
        <v>3823</v>
      </c>
      <c r="B3824" s="1">
        <v>43643</v>
      </c>
      <c r="C3824" s="6" t="s">
        <v>11</v>
      </c>
      <c r="D3824" s="6" t="s">
        <v>27</v>
      </c>
      <c r="E3824" s="6">
        <v>3</v>
      </c>
      <c r="F3824" s="6">
        <v>2</v>
      </c>
      <c r="G3824" s="6" t="s">
        <v>17</v>
      </c>
      <c r="H3824" s="6" t="s">
        <v>10</v>
      </c>
      <c r="I3824" s="6">
        <f>TabJogos[[#This Row],[PontosTime1]]-TabJogos[[#This Row],[PontosTime2]]</f>
        <v>1</v>
      </c>
    </row>
    <row r="3825" spans="1:9" ht="15" customHeight="1" x14ac:dyDescent="0.25">
      <c r="A3825" s="7">
        <v>3824</v>
      </c>
      <c r="B3825" s="1">
        <v>43643</v>
      </c>
      <c r="C3825" s="6" t="s">
        <v>11</v>
      </c>
      <c r="D3825" s="6" t="s">
        <v>18</v>
      </c>
      <c r="E3825" s="6">
        <v>3</v>
      </c>
      <c r="F3825" s="6">
        <v>0</v>
      </c>
      <c r="G3825" s="6" t="s">
        <v>41</v>
      </c>
      <c r="H3825" s="6" t="s">
        <v>27</v>
      </c>
      <c r="I3825" s="6">
        <f>TabJogos[[#This Row],[PontosTime1]]-TabJogos[[#This Row],[PontosTime2]]</f>
        <v>3</v>
      </c>
    </row>
    <row r="3826" spans="1:9" ht="15" customHeight="1" x14ac:dyDescent="0.25">
      <c r="A3826" s="7">
        <v>3825</v>
      </c>
      <c r="B3826" s="1">
        <v>43643</v>
      </c>
      <c r="C3826" s="6" t="s">
        <v>11</v>
      </c>
      <c r="D3826" s="6" t="s">
        <v>10</v>
      </c>
      <c r="E3826" s="6">
        <v>3</v>
      </c>
      <c r="F3826" s="6">
        <v>0</v>
      </c>
      <c r="G3826" s="6" t="s">
        <v>18</v>
      </c>
      <c r="H3826" s="6" t="s">
        <v>13</v>
      </c>
      <c r="I3826" s="6">
        <f>TabJogos[[#This Row],[PontosTime1]]-TabJogos[[#This Row],[PontosTime2]]</f>
        <v>3</v>
      </c>
    </row>
    <row r="3827" spans="1:9" ht="15" customHeight="1" x14ac:dyDescent="0.25">
      <c r="A3827" s="7">
        <v>3826</v>
      </c>
      <c r="B3827" s="1">
        <v>43643</v>
      </c>
      <c r="C3827" s="6" t="s">
        <v>11</v>
      </c>
      <c r="D3827" s="6" t="s">
        <v>41</v>
      </c>
      <c r="E3827" s="6">
        <v>3</v>
      </c>
      <c r="F3827" s="6">
        <v>0</v>
      </c>
      <c r="G3827" s="6" t="s">
        <v>10</v>
      </c>
      <c r="H3827" s="6" t="s">
        <v>27</v>
      </c>
      <c r="I3827" s="6">
        <f>TabJogos[[#This Row],[PontosTime1]]-TabJogos[[#This Row],[PontosTime2]]</f>
        <v>3</v>
      </c>
    </row>
    <row r="3828" spans="1:9" ht="15" customHeight="1" x14ac:dyDescent="0.25">
      <c r="A3828" s="7">
        <v>3827</v>
      </c>
      <c r="B3828" s="1">
        <v>43643</v>
      </c>
      <c r="C3828" s="6" t="s">
        <v>11</v>
      </c>
      <c r="D3828" s="6" t="s">
        <v>13</v>
      </c>
      <c r="E3828" s="6">
        <v>3</v>
      </c>
      <c r="F3828" s="6">
        <v>1</v>
      </c>
      <c r="G3828" s="6" t="s">
        <v>41</v>
      </c>
      <c r="H3828" s="6" t="s">
        <v>18</v>
      </c>
      <c r="I3828" s="6">
        <f>TabJogos[[#This Row],[PontosTime1]]-TabJogos[[#This Row],[PontosTime2]]</f>
        <v>2</v>
      </c>
    </row>
    <row r="3829" spans="1:9" ht="15" customHeight="1" x14ac:dyDescent="0.25">
      <c r="A3829" s="7">
        <v>3828</v>
      </c>
      <c r="B3829" s="1">
        <v>43643</v>
      </c>
      <c r="C3829" s="6" t="s">
        <v>11</v>
      </c>
      <c r="D3829" s="6" t="s">
        <v>18</v>
      </c>
      <c r="E3829" s="6">
        <v>3</v>
      </c>
      <c r="F3829" s="6">
        <v>0</v>
      </c>
      <c r="G3829" s="6" t="s">
        <v>10</v>
      </c>
      <c r="H3829" s="6" t="s">
        <v>13</v>
      </c>
      <c r="I3829" s="6">
        <f>TabJogos[[#This Row],[PontosTime1]]-TabJogos[[#This Row],[PontosTime2]]</f>
        <v>3</v>
      </c>
    </row>
    <row r="3830" spans="1:9" ht="15" customHeight="1" x14ac:dyDescent="0.25">
      <c r="A3830" s="7">
        <v>3829</v>
      </c>
      <c r="B3830" s="1">
        <v>43643</v>
      </c>
      <c r="C3830" s="6" t="s">
        <v>11</v>
      </c>
      <c r="D3830" s="6" t="s">
        <v>10</v>
      </c>
      <c r="E3830" s="6">
        <v>2</v>
      </c>
      <c r="F3830" s="6">
        <v>3</v>
      </c>
      <c r="G3830" s="6" t="s">
        <v>13</v>
      </c>
      <c r="H3830" s="6" t="s">
        <v>18</v>
      </c>
      <c r="I3830" s="6">
        <f>TabJogos[[#This Row],[PontosTime1]]-TabJogos[[#This Row],[PontosTime2]]</f>
        <v>-1</v>
      </c>
    </row>
    <row r="3831" spans="1:9" ht="15" customHeight="1" x14ac:dyDescent="0.25">
      <c r="A3831" s="7">
        <v>3830</v>
      </c>
      <c r="B3831" s="1">
        <v>43643</v>
      </c>
      <c r="C3831" s="6" t="s">
        <v>11</v>
      </c>
      <c r="D3831" s="6" t="s">
        <v>13</v>
      </c>
      <c r="E3831" s="6">
        <v>3</v>
      </c>
      <c r="F3831" s="6">
        <v>0</v>
      </c>
      <c r="G3831" s="6" t="s">
        <v>18</v>
      </c>
      <c r="H3831" s="6" t="s">
        <v>10</v>
      </c>
      <c r="I3831" s="6">
        <f>TabJogos[[#This Row],[PontosTime1]]-TabJogos[[#This Row],[PontosTime2]]</f>
        <v>3</v>
      </c>
    </row>
    <row r="3832" spans="1:9" ht="15" customHeight="1" x14ac:dyDescent="0.25">
      <c r="A3832" s="7">
        <v>3831</v>
      </c>
      <c r="B3832" s="1">
        <v>43644</v>
      </c>
      <c r="C3832" s="6" t="s">
        <v>11</v>
      </c>
      <c r="D3832" s="6" t="s">
        <v>12</v>
      </c>
      <c r="E3832" s="6">
        <v>3</v>
      </c>
      <c r="F3832" s="6">
        <v>1</v>
      </c>
      <c r="G3832" s="6" t="s">
        <v>10</v>
      </c>
      <c r="H3832" s="6" t="s">
        <v>13</v>
      </c>
      <c r="I3832" s="6">
        <f>TabJogos[[#This Row],[PontosTime1]]-TabJogos[[#This Row],[PontosTime2]]</f>
        <v>2</v>
      </c>
    </row>
    <row r="3833" spans="1:9" ht="15" customHeight="1" x14ac:dyDescent="0.25">
      <c r="A3833" s="7">
        <v>3832</v>
      </c>
      <c r="B3833" s="1">
        <v>43644</v>
      </c>
      <c r="C3833" s="6" t="s">
        <v>12</v>
      </c>
      <c r="D3833" s="6" t="s">
        <v>17</v>
      </c>
      <c r="E3833" s="6">
        <v>5</v>
      </c>
      <c r="F3833" s="6">
        <v>1</v>
      </c>
      <c r="G3833" s="6" t="s">
        <v>11</v>
      </c>
      <c r="H3833" s="6" t="s">
        <v>18</v>
      </c>
      <c r="I3833" s="6">
        <f>TabJogos[[#This Row],[PontosTime1]]-TabJogos[[#This Row],[PontosTime2]]</f>
        <v>4</v>
      </c>
    </row>
    <row r="3834" spans="1:9" ht="15" customHeight="1" x14ac:dyDescent="0.25">
      <c r="A3834" s="7">
        <v>3833</v>
      </c>
      <c r="B3834" s="1">
        <v>43644</v>
      </c>
      <c r="C3834" s="6" t="s">
        <v>13</v>
      </c>
      <c r="D3834" s="6" t="s">
        <v>17</v>
      </c>
      <c r="E3834" s="6">
        <v>6</v>
      </c>
      <c r="F3834" s="6">
        <v>1</v>
      </c>
      <c r="G3834" s="6" t="s">
        <v>10</v>
      </c>
      <c r="H3834" s="6" t="s">
        <v>12</v>
      </c>
      <c r="I3834" s="6">
        <f>TabJogos[[#This Row],[PontosTime1]]-TabJogos[[#This Row],[PontosTime2]]</f>
        <v>5</v>
      </c>
    </row>
    <row r="3835" spans="1:9" ht="15" customHeight="1" x14ac:dyDescent="0.25">
      <c r="A3835" s="7">
        <v>3834</v>
      </c>
      <c r="B3835" s="1">
        <v>43644</v>
      </c>
      <c r="C3835" s="6" t="s">
        <v>18</v>
      </c>
      <c r="D3835" s="6" t="s">
        <v>13</v>
      </c>
      <c r="E3835" s="6">
        <v>1</v>
      </c>
      <c r="F3835" s="6">
        <v>3</v>
      </c>
      <c r="G3835" s="6" t="s">
        <v>17</v>
      </c>
      <c r="H3835" s="6" t="s">
        <v>11</v>
      </c>
      <c r="I3835" s="6">
        <f>TabJogos[[#This Row],[PontosTime1]]-TabJogos[[#This Row],[PontosTime2]]</f>
        <v>-2</v>
      </c>
    </row>
    <row r="3836" spans="1:9" ht="15" customHeight="1" x14ac:dyDescent="0.25">
      <c r="A3836" s="7">
        <v>3835</v>
      </c>
      <c r="B3836" s="1">
        <v>43644</v>
      </c>
      <c r="C3836" s="6" t="s">
        <v>17</v>
      </c>
      <c r="D3836" s="6" t="s">
        <v>18</v>
      </c>
      <c r="E3836" s="6">
        <v>3</v>
      </c>
      <c r="F3836" s="6">
        <v>1</v>
      </c>
      <c r="G3836" s="6" t="s">
        <v>41</v>
      </c>
      <c r="H3836" s="6" t="s">
        <v>11</v>
      </c>
      <c r="I3836" s="6">
        <f>TabJogos[[#This Row],[PontosTime1]]-TabJogos[[#This Row],[PontosTime2]]</f>
        <v>2</v>
      </c>
    </row>
    <row r="3837" spans="1:9" ht="15" customHeight="1" x14ac:dyDescent="0.25">
      <c r="A3837" s="7">
        <v>3836</v>
      </c>
      <c r="B3837" s="1">
        <v>43644</v>
      </c>
      <c r="C3837" s="6" t="s">
        <v>41</v>
      </c>
      <c r="D3837" s="6" t="s">
        <v>17</v>
      </c>
      <c r="E3837" s="6">
        <v>0</v>
      </c>
      <c r="F3837" s="6">
        <v>3</v>
      </c>
      <c r="G3837" s="6" t="s">
        <v>13</v>
      </c>
      <c r="H3837" s="6" t="s">
        <v>18</v>
      </c>
      <c r="I3837" s="6">
        <f>TabJogos[[#This Row],[PontosTime1]]-TabJogos[[#This Row],[PontosTime2]]</f>
        <v>-3</v>
      </c>
    </row>
    <row r="3838" spans="1:9" ht="15" customHeight="1" x14ac:dyDescent="0.25">
      <c r="A3838" s="7">
        <v>3837</v>
      </c>
      <c r="B3838" s="1">
        <v>43644</v>
      </c>
      <c r="C3838" s="6" t="s">
        <v>11</v>
      </c>
      <c r="D3838" s="6" t="s">
        <v>13</v>
      </c>
      <c r="E3838" s="6">
        <v>0</v>
      </c>
      <c r="F3838" s="6">
        <v>3</v>
      </c>
      <c r="G3838" s="6" t="s">
        <v>41</v>
      </c>
      <c r="H3838" s="6" t="s">
        <v>18</v>
      </c>
      <c r="I3838" s="6">
        <f>TabJogos[[#This Row],[PontosTime1]]-TabJogos[[#This Row],[PontosTime2]]</f>
        <v>-3</v>
      </c>
    </row>
    <row r="3839" spans="1:9" ht="15" customHeight="1" x14ac:dyDescent="0.25">
      <c r="A3839" s="7">
        <v>3838</v>
      </c>
      <c r="B3839" s="1">
        <v>43644</v>
      </c>
      <c r="C3839" s="6" t="s">
        <v>11</v>
      </c>
      <c r="D3839" s="6" t="s">
        <v>18</v>
      </c>
      <c r="E3839" s="6">
        <v>3</v>
      </c>
      <c r="F3839" s="6">
        <v>1</v>
      </c>
      <c r="G3839" s="6" t="s">
        <v>41</v>
      </c>
      <c r="H3839" s="6" t="s">
        <v>13</v>
      </c>
      <c r="I3839" s="6">
        <f>TabJogos[[#This Row],[PontosTime1]]-TabJogos[[#This Row],[PontosTime2]]</f>
        <v>2</v>
      </c>
    </row>
    <row r="3840" spans="1:9" ht="15" customHeight="1" x14ac:dyDescent="0.25">
      <c r="A3840" s="7">
        <v>3839</v>
      </c>
      <c r="B3840" s="1">
        <v>43644</v>
      </c>
      <c r="C3840" s="6" t="s">
        <v>11</v>
      </c>
      <c r="D3840" s="6" t="s">
        <v>41</v>
      </c>
      <c r="E3840" s="6">
        <v>1</v>
      </c>
      <c r="F3840" s="6">
        <v>3</v>
      </c>
      <c r="G3840" s="6" t="s">
        <v>18</v>
      </c>
      <c r="H3840" s="6" t="s">
        <v>13</v>
      </c>
      <c r="I3840" s="6">
        <f>TabJogos[[#This Row],[PontosTime1]]-TabJogos[[#This Row],[PontosTime2]]</f>
        <v>-2</v>
      </c>
    </row>
    <row r="3841" spans="1:9" ht="15" customHeight="1" x14ac:dyDescent="0.25">
      <c r="A3841" s="7">
        <v>3840</v>
      </c>
      <c r="B3841" s="1">
        <v>43647</v>
      </c>
      <c r="C3841" s="6" t="s">
        <v>13</v>
      </c>
      <c r="D3841" s="6" t="s">
        <v>32</v>
      </c>
      <c r="E3841" s="6">
        <v>0</v>
      </c>
      <c r="F3841" s="6">
        <v>5</v>
      </c>
      <c r="G3841" s="6" t="s">
        <v>17</v>
      </c>
      <c r="H3841" s="6" t="s">
        <v>11</v>
      </c>
      <c r="I3841" s="6">
        <f>TabJogos[[#This Row],[PontosTime1]]-TabJogos[[#This Row],[PontosTime2]]</f>
        <v>-5</v>
      </c>
    </row>
    <row r="3842" spans="1:9" ht="15" customHeight="1" x14ac:dyDescent="0.25">
      <c r="A3842" s="7">
        <v>3841</v>
      </c>
      <c r="B3842" s="1">
        <v>43647</v>
      </c>
      <c r="C3842" s="6" t="s">
        <v>11</v>
      </c>
      <c r="D3842" s="6" t="s">
        <v>32</v>
      </c>
      <c r="E3842" s="6">
        <v>3</v>
      </c>
      <c r="F3842" s="6">
        <v>2</v>
      </c>
      <c r="G3842" s="6" t="s">
        <v>13</v>
      </c>
      <c r="H3842" s="6" t="s">
        <v>17</v>
      </c>
      <c r="I3842" s="6">
        <f>TabJogos[[#This Row],[PontosTime1]]-TabJogos[[#This Row],[PontosTime2]]</f>
        <v>1</v>
      </c>
    </row>
    <row r="3843" spans="1:9" ht="15" customHeight="1" x14ac:dyDescent="0.25">
      <c r="A3843" s="7">
        <v>3842</v>
      </c>
      <c r="B3843" s="1">
        <v>43647</v>
      </c>
      <c r="C3843" s="6" t="s">
        <v>11</v>
      </c>
      <c r="D3843" s="6" t="s">
        <v>41</v>
      </c>
      <c r="E3843" s="6">
        <v>2</v>
      </c>
      <c r="F3843" s="6">
        <v>4</v>
      </c>
      <c r="G3843" s="6" t="s">
        <v>17</v>
      </c>
      <c r="H3843" s="6" t="s">
        <v>32</v>
      </c>
      <c r="I3843" s="6">
        <f>TabJogos[[#This Row],[PontosTime1]]-TabJogos[[#This Row],[PontosTime2]]</f>
        <v>-2</v>
      </c>
    </row>
    <row r="3844" spans="1:9" ht="15" customHeight="1" x14ac:dyDescent="0.25">
      <c r="A3844" s="7">
        <v>3843</v>
      </c>
      <c r="B3844" s="1">
        <v>43647</v>
      </c>
      <c r="C3844" s="6" t="s">
        <v>17</v>
      </c>
      <c r="D3844" s="6" t="s">
        <v>41</v>
      </c>
      <c r="E3844" s="6">
        <v>2</v>
      </c>
      <c r="F3844" s="6">
        <v>3</v>
      </c>
      <c r="G3844" s="6" t="s">
        <v>13</v>
      </c>
      <c r="H3844" s="6" t="s">
        <v>32</v>
      </c>
      <c r="I3844" s="6">
        <f>TabJogos[[#This Row],[PontosTime1]]-TabJogos[[#This Row],[PontosTime2]]</f>
        <v>-1</v>
      </c>
    </row>
    <row r="3845" spans="1:9" ht="15" customHeight="1" x14ac:dyDescent="0.25">
      <c r="A3845" s="7">
        <v>3844</v>
      </c>
      <c r="B3845" s="1">
        <v>43647</v>
      </c>
      <c r="C3845" s="6" t="s">
        <v>11</v>
      </c>
      <c r="D3845" s="6" t="s">
        <v>13</v>
      </c>
      <c r="E3845" s="6">
        <v>1</v>
      </c>
      <c r="F3845" s="6">
        <v>3</v>
      </c>
      <c r="G3845" s="6" t="s">
        <v>18</v>
      </c>
      <c r="H3845" s="6" t="s">
        <v>32</v>
      </c>
      <c r="I3845" s="6">
        <f>TabJogos[[#This Row],[PontosTime1]]-TabJogos[[#This Row],[PontosTime2]]</f>
        <v>-2</v>
      </c>
    </row>
    <row r="3846" spans="1:9" ht="15" customHeight="1" x14ac:dyDescent="0.25">
      <c r="A3846" s="7">
        <v>3845</v>
      </c>
      <c r="B3846" s="1">
        <v>43647</v>
      </c>
      <c r="C3846" s="6" t="s">
        <v>18</v>
      </c>
      <c r="D3846" s="6" t="s">
        <v>17</v>
      </c>
      <c r="E3846" s="6">
        <v>4</v>
      </c>
      <c r="F3846" s="6">
        <v>2</v>
      </c>
      <c r="G3846" s="6" t="s">
        <v>41</v>
      </c>
      <c r="H3846" s="6" t="s">
        <v>32</v>
      </c>
      <c r="I3846" s="6">
        <f>TabJogos[[#This Row],[PontosTime1]]-TabJogos[[#This Row],[PontosTime2]]</f>
        <v>2</v>
      </c>
    </row>
    <row r="3847" spans="1:9" ht="15" customHeight="1" x14ac:dyDescent="0.25">
      <c r="A3847" s="7">
        <v>3846</v>
      </c>
      <c r="B3847" s="1">
        <v>43647</v>
      </c>
      <c r="C3847" s="6" t="s">
        <v>11</v>
      </c>
      <c r="D3847" s="6" t="s">
        <v>17</v>
      </c>
      <c r="E3847" s="6">
        <v>3</v>
      </c>
      <c r="F3847" s="6">
        <v>2</v>
      </c>
      <c r="G3847" s="6" t="s">
        <v>13</v>
      </c>
      <c r="H3847" s="6" t="s">
        <v>18</v>
      </c>
      <c r="I3847" s="6">
        <f>TabJogos[[#This Row],[PontosTime1]]-TabJogos[[#This Row],[PontosTime2]]</f>
        <v>1</v>
      </c>
    </row>
    <row r="3848" spans="1:9" ht="15" customHeight="1" x14ac:dyDescent="0.25">
      <c r="A3848" s="7">
        <v>3847</v>
      </c>
      <c r="B3848" s="1">
        <v>43647</v>
      </c>
      <c r="C3848" s="6" t="s">
        <v>11</v>
      </c>
      <c r="D3848" s="6" t="s">
        <v>41</v>
      </c>
      <c r="E3848" s="6">
        <v>1</v>
      </c>
      <c r="F3848" s="6">
        <v>3</v>
      </c>
      <c r="G3848" s="6" t="s">
        <v>17</v>
      </c>
      <c r="H3848" s="6" t="s">
        <v>13</v>
      </c>
      <c r="I3848" s="6">
        <f>TabJogos[[#This Row],[PontosTime1]]-TabJogos[[#This Row],[PontosTime2]]</f>
        <v>-2</v>
      </c>
    </row>
    <row r="3849" spans="1:9" ht="15" customHeight="1" x14ac:dyDescent="0.25">
      <c r="A3849" s="7">
        <v>3848</v>
      </c>
      <c r="B3849" s="1">
        <v>43647</v>
      </c>
      <c r="C3849" s="6" t="s">
        <v>41</v>
      </c>
      <c r="D3849" s="6" t="s">
        <v>13</v>
      </c>
      <c r="E3849" s="6">
        <v>0</v>
      </c>
      <c r="F3849" s="6">
        <v>3</v>
      </c>
      <c r="G3849" s="6" t="s">
        <v>17</v>
      </c>
      <c r="H3849" s="6" t="s">
        <v>18</v>
      </c>
      <c r="I3849" s="6">
        <f>TabJogos[[#This Row],[PontosTime1]]-TabJogos[[#This Row],[PontosTime2]]</f>
        <v>-3</v>
      </c>
    </row>
    <row r="3850" spans="1:9" ht="15" customHeight="1" x14ac:dyDescent="0.25">
      <c r="A3850" s="7">
        <v>3849</v>
      </c>
      <c r="B3850" s="1">
        <v>43648</v>
      </c>
      <c r="C3850" s="6" t="s">
        <v>10</v>
      </c>
      <c r="D3850" s="6" t="s">
        <v>41</v>
      </c>
      <c r="E3850" s="6">
        <v>3</v>
      </c>
      <c r="F3850" s="6">
        <v>1</v>
      </c>
      <c r="G3850" s="6" t="s">
        <v>13</v>
      </c>
      <c r="H3850" s="6" t="s">
        <v>11</v>
      </c>
      <c r="I3850" s="6">
        <f>TabJogos[[#This Row],[PontosTime1]]-TabJogos[[#This Row],[PontosTime2]]</f>
        <v>2</v>
      </c>
    </row>
    <row r="3851" spans="1:9" ht="15" customHeight="1" x14ac:dyDescent="0.25">
      <c r="A3851" s="7">
        <v>3850</v>
      </c>
      <c r="B3851" s="1">
        <v>43648</v>
      </c>
      <c r="C3851" s="6" t="s">
        <v>13</v>
      </c>
      <c r="D3851" s="6" t="s">
        <v>41</v>
      </c>
      <c r="E3851" s="6">
        <v>3</v>
      </c>
      <c r="F3851" s="6">
        <v>0</v>
      </c>
      <c r="G3851" s="6" t="s">
        <v>10</v>
      </c>
      <c r="H3851" s="6" t="s">
        <v>27</v>
      </c>
      <c r="I3851" s="6">
        <f>TabJogos[[#This Row],[PontosTime1]]-TabJogos[[#This Row],[PontosTime2]]</f>
        <v>3</v>
      </c>
    </row>
    <row r="3852" spans="1:9" ht="15" customHeight="1" x14ac:dyDescent="0.25">
      <c r="A3852" s="7">
        <v>3851</v>
      </c>
      <c r="B3852" s="1">
        <v>43648</v>
      </c>
      <c r="C3852" s="6" t="s">
        <v>41</v>
      </c>
      <c r="D3852" s="6" t="s">
        <v>11</v>
      </c>
      <c r="E3852" s="6">
        <v>3</v>
      </c>
      <c r="F3852" s="6">
        <v>2</v>
      </c>
      <c r="G3852" s="6" t="s">
        <v>27</v>
      </c>
      <c r="H3852" s="6" t="s">
        <v>13</v>
      </c>
      <c r="I3852" s="6">
        <f>TabJogos[[#This Row],[PontosTime1]]-TabJogos[[#This Row],[PontosTime2]]</f>
        <v>1</v>
      </c>
    </row>
    <row r="3853" spans="1:9" ht="15" customHeight="1" x14ac:dyDescent="0.25">
      <c r="A3853" s="7">
        <v>3852</v>
      </c>
      <c r="B3853" s="1">
        <v>43648</v>
      </c>
      <c r="C3853" s="6" t="s">
        <v>27</v>
      </c>
      <c r="D3853" s="6" t="s">
        <v>11</v>
      </c>
      <c r="E3853" s="6">
        <v>3</v>
      </c>
      <c r="F3853" s="6">
        <v>1</v>
      </c>
      <c r="G3853" s="6" t="s">
        <v>13</v>
      </c>
      <c r="H3853" s="6" t="s">
        <v>41</v>
      </c>
      <c r="I3853" s="6">
        <f>TabJogos[[#This Row],[PontosTime1]]-TabJogos[[#This Row],[PontosTime2]]</f>
        <v>2</v>
      </c>
    </row>
    <row r="3854" spans="1:9" ht="15" customHeight="1" x14ac:dyDescent="0.25">
      <c r="A3854" s="7">
        <v>3853</v>
      </c>
      <c r="B3854" s="1">
        <v>43648</v>
      </c>
      <c r="C3854" s="6" t="s">
        <v>41</v>
      </c>
      <c r="D3854" s="6" t="s">
        <v>27</v>
      </c>
      <c r="E3854" s="6">
        <v>5</v>
      </c>
      <c r="F3854" s="6">
        <v>1</v>
      </c>
      <c r="G3854" s="6" t="s">
        <v>11</v>
      </c>
      <c r="H3854" s="6" t="s">
        <v>13</v>
      </c>
      <c r="I3854" s="6">
        <f>TabJogos[[#This Row],[PontosTime1]]-TabJogos[[#This Row],[PontosTime2]]</f>
        <v>4</v>
      </c>
    </row>
    <row r="3855" spans="1:9" ht="15" customHeight="1" x14ac:dyDescent="0.25">
      <c r="A3855" s="7">
        <v>3854</v>
      </c>
      <c r="B3855" s="1">
        <v>43648</v>
      </c>
      <c r="C3855" s="6" t="s">
        <v>11</v>
      </c>
      <c r="D3855" s="6" t="s">
        <v>41</v>
      </c>
      <c r="E3855" s="6">
        <v>0</v>
      </c>
      <c r="F3855" s="6">
        <v>3</v>
      </c>
      <c r="G3855" s="6" t="s">
        <v>13</v>
      </c>
      <c r="H3855" s="6" t="s">
        <v>27</v>
      </c>
      <c r="I3855" s="6">
        <f>TabJogos[[#This Row],[PontosTime1]]-TabJogos[[#This Row],[PontosTime2]]</f>
        <v>-3</v>
      </c>
    </row>
    <row r="3856" spans="1:9" ht="15" customHeight="1" x14ac:dyDescent="0.25">
      <c r="A3856" s="7">
        <v>3855</v>
      </c>
      <c r="B3856" s="1">
        <v>43648</v>
      </c>
      <c r="C3856" s="6" t="s">
        <v>11</v>
      </c>
      <c r="D3856" s="6" t="s">
        <v>27</v>
      </c>
      <c r="E3856" s="6">
        <v>3</v>
      </c>
      <c r="F3856" s="6">
        <v>2</v>
      </c>
      <c r="G3856" s="6" t="s">
        <v>41</v>
      </c>
      <c r="H3856" s="6" t="s">
        <v>13</v>
      </c>
      <c r="I3856" s="6">
        <f>TabJogos[[#This Row],[PontosTime1]]-TabJogos[[#This Row],[PontosTime2]]</f>
        <v>1</v>
      </c>
    </row>
    <row r="3857" spans="1:9" ht="15" customHeight="1" x14ac:dyDescent="0.25">
      <c r="A3857" s="7">
        <v>3856</v>
      </c>
      <c r="B3857" s="1">
        <v>43648</v>
      </c>
      <c r="C3857" s="6" t="s">
        <v>13</v>
      </c>
      <c r="D3857" s="6" t="s">
        <v>27</v>
      </c>
      <c r="E3857" s="6">
        <v>1</v>
      </c>
      <c r="F3857" s="6">
        <v>4</v>
      </c>
      <c r="G3857" s="6" t="s">
        <v>11</v>
      </c>
      <c r="H3857" s="6" t="s">
        <v>17</v>
      </c>
      <c r="I3857" s="6">
        <f>TabJogos[[#This Row],[PontosTime1]]-TabJogos[[#This Row],[PontosTime2]]</f>
        <v>-3</v>
      </c>
    </row>
    <row r="3858" spans="1:9" ht="15" customHeight="1" x14ac:dyDescent="0.25">
      <c r="A3858" s="7">
        <v>3857</v>
      </c>
      <c r="B3858" s="1">
        <v>43648</v>
      </c>
      <c r="C3858" s="6" t="s">
        <v>27</v>
      </c>
      <c r="D3858" s="6" t="s">
        <v>17</v>
      </c>
      <c r="E3858" s="6">
        <v>3</v>
      </c>
      <c r="F3858" s="6">
        <v>2</v>
      </c>
      <c r="G3858" s="6" t="s">
        <v>11</v>
      </c>
      <c r="H3858" s="6" t="s">
        <v>13</v>
      </c>
      <c r="I3858" s="6">
        <f>TabJogos[[#This Row],[PontosTime1]]-TabJogos[[#This Row],[PontosTime2]]</f>
        <v>1</v>
      </c>
    </row>
    <row r="3859" spans="1:9" ht="15" customHeight="1" x14ac:dyDescent="0.25">
      <c r="A3859" s="7">
        <v>3858</v>
      </c>
      <c r="B3859" s="1">
        <v>43649</v>
      </c>
      <c r="C3859" s="6" t="s">
        <v>13</v>
      </c>
      <c r="D3859" s="6" t="s">
        <v>9</v>
      </c>
      <c r="E3859" s="6">
        <v>3</v>
      </c>
      <c r="F3859" s="6">
        <v>2</v>
      </c>
      <c r="G3859" s="6" t="s">
        <v>17</v>
      </c>
      <c r="H3859" s="6" t="s">
        <v>11</v>
      </c>
      <c r="I3859" s="6">
        <f>TabJogos[[#This Row],[PontosTime1]]-TabJogos[[#This Row],[PontosTime2]]</f>
        <v>1</v>
      </c>
    </row>
    <row r="3860" spans="1:9" ht="15" customHeight="1" x14ac:dyDescent="0.25">
      <c r="A3860" s="7">
        <v>3859</v>
      </c>
      <c r="B3860" s="1">
        <v>43649</v>
      </c>
      <c r="C3860" s="6" t="s">
        <v>13</v>
      </c>
      <c r="D3860" s="6" t="s">
        <v>17</v>
      </c>
      <c r="E3860" s="6">
        <v>1</v>
      </c>
      <c r="F3860" s="6">
        <v>3</v>
      </c>
      <c r="G3860" s="6" t="s">
        <v>11</v>
      </c>
      <c r="H3860" s="6" t="s">
        <v>9</v>
      </c>
      <c r="I3860" s="6">
        <f>TabJogos[[#This Row],[PontosTime1]]-TabJogos[[#This Row],[PontosTime2]]</f>
        <v>-2</v>
      </c>
    </row>
    <row r="3861" spans="1:9" ht="15" customHeight="1" x14ac:dyDescent="0.25">
      <c r="A3861" s="7">
        <v>3860</v>
      </c>
      <c r="B3861" s="1">
        <v>43649</v>
      </c>
      <c r="C3861" s="6" t="s">
        <v>13</v>
      </c>
      <c r="D3861" s="6" t="s">
        <v>11</v>
      </c>
      <c r="E3861" s="6">
        <v>3</v>
      </c>
      <c r="F3861" s="6">
        <v>2</v>
      </c>
      <c r="G3861" s="6" t="s">
        <v>9</v>
      </c>
      <c r="H3861" s="6" t="s">
        <v>17</v>
      </c>
      <c r="I3861" s="6">
        <f>TabJogos[[#This Row],[PontosTime1]]-TabJogos[[#This Row],[PontosTime2]]</f>
        <v>1</v>
      </c>
    </row>
    <row r="3862" spans="1:9" ht="15" customHeight="1" x14ac:dyDescent="0.25">
      <c r="A3862" s="7">
        <v>3861</v>
      </c>
      <c r="B3862" s="1">
        <v>43649</v>
      </c>
      <c r="C3862" s="6" t="s">
        <v>10</v>
      </c>
      <c r="D3862" s="6" t="s">
        <v>11</v>
      </c>
      <c r="E3862" s="6">
        <v>4</v>
      </c>
      <c r="F3862" s="6">
        <v>0</v>
      </c>
      <c r="G3862" s="6" t="s">
        <v>9</v>
      </c>
      <c r="H3862" s="6" t="s">
        <v>13</v>
      </c>
      <c r="I3862" s="6">
        <f>TabJogos[[#This Row],[PontosTime1]]-TabJogos[[#This Row],[PontosTime2]]</f>
        <v>4</v>
      </c>
    </row>
    <row r="3863" spans="1:9" ht="15" customHeight="1" x14ac:dyDescent="0.25">
      <c r="A3863" s="7">
        <v>3862</v>
      </c>
      <c r="B3863" s="1">
        <v>43649</v>
      </c>
      <c r="C3863" s="6" t="s">
        <v>10</v>
      </c>
      <c r="D3863" s="6" t="s">
        <v>41</v>
      </c>
      <c r="E3863" s="6">
        <v>3</v>
      </c>
      <c r="F3863" s="6">
        <v>0</v>
      </c>
      <c r="G3863" s="6" t="s">
        <v>17</v>
      </c>
      <c r="H3863" s="6" t="s">
        <v>11</v>
      </c>
      <c r="I3863" s="6">
        <f>TabJogos[[#This Row],[PontosTime1]]-TabJogos[[#This Row],[PontosTime2]]</f>
        <v>3</v>
      </c>
    </row>
    <row r="3864" spans="1:9" ht="15" customHeight="1" x14ac:dyDescent="0.25">
      <c r="A3864" s="7">
        <v>3863</v>
      </c>
      <c r="B3864" s="1">
        <v>43649</v>
      </c>
      <c r="C3864" s="6" t="s">
        <v>10</v>
      </c>
      <c r="D3864" s="6" t="s">
        <v>13</v>
      </c>
      <c r="E3864" s="6">
        <v>3</v>
      </c>
      <c r="F3864" s="6">
        <v>0</v>
      </c>
      <c r="G3864" s="6" t="s">
        <v>17</v>
      </c>
      <c r="H3864" s="6" t="s">
        <v>41</v>
      </c>
      <c r="I3864" s="6">
        <f>TabJogos[[#This Row],[PontosTime1]]-TabJogos[[#This Row],[PontosTime2]]</f>
        <v>3</v>
      </c>
    </row>
    <row r="3865" spans="1:9" ht="15" customHeight="1" x14ac:dyDescent="0.25">
      <c r="A3865" s="7">
        <v>3864</v>
      </c>
      <c r="B3865" s="1">
        <v>43649</v>
      </c>
      <c r="C3865" s="6" t="s">
        <v>10</v>
      </c>
      <c r="D3865" s="6" t="s">
        <v>13</v>
      </c>
      <c r="E3865" s="6">
        <v>1</v>
      </c>
      <c r="F3865" s="6">
        <v>3</v>
      </c>
      <c r="G3865" s="6" t="s">
        <v>11</v>
      </c>
      <c r="H3865" s="6" t="s">
        <v>9</v>
      </c>
      <c r="I3865" s="6">
        <f>TabJogos[[#This Row],[PontosTime1]]-TabJogos[[#This Row],[PontosTime2]]</f>
        <v>-2</v>
      </c>
    </row>
    <row r="3866" spans="1:9" ht="15" customHeight="1" x14ac:dyDescent="0.25">
      <c r="A3866" s="7">
        <v>3865</v>
      </c>
      <c r="B3866" s="1">
        <v>43649</v>
      </c>
      <c r="C3866" s="6" t="s">
        <v>13</v>
      </c>
      <c r="D3866" s="6" t="s">
        <v>41</v>
      </c>
      <c r="E3866" s="6">
        <v>3</v>
      </c>
      <c r="F3866" s="6">
        <v>1</v>
      </c>
      <c r="G3866" s="6" t="s">
        <v>10</v>
      </c>
      <c r="H3866" s="6" t="s">
        <v>9</v>
      </c>
      <c r="I3866" s="6">
        <f>TabJogos[[#This Row],[PontosTime1]]-TabJogos[[#This Row],[PontosTime2]]</f>
        <v>2</v>
      </c>
    </row>
    <row r="3867" spans="1:9" ht="15" customHeight="1" x14ac:dyDescent="0.25">
      <c r="A3867" s="7">
        <v>3866</v>
      </c>
      <c r="B3867" s="1">
        <v>43649</v>
      </c>
      <c r="C3867" s="6" t="s">
        <v>41</v>
      </c>
      <c r="D3867" s="6" t="s">
        <v>11</v>
      </c>
      <c r="E3867" s="6">
        <v>3</v>
      </c>
      <c r="F3867" s="6">
        <v>0</v>
      </c>
      <c r="G3867" s="6" t="s">
        <v>17</v>
      </c>
      <c r="H3867" s="6" t="s">
        <v>13</v>
      </c>
      <c r="I3867" s="6">
        <f>TabJogos[[#This Row],[PontosTime1]]-TabJogos[[#This Row],[PontosTime2]]</f>
        <v>3</v>
      </c>
    </row>
    <row r="3868" spans="1:9" ht="15" customHeight="1" x14ac:dyDescent="0.25">
      <c r="A3868" s="7">
        <v>3867</v>
      </c>
      <c r="B3868" s="1">
        <v>43649</v>
      </c>
      <c r="C3868" s="6" t="s">
        <v>41</v>
      </c>
      <c r="D3868" s="6" t="s">
        <v>9</v>
      </c>
      <c r="E3868" s="6">
        <v>2</v>
      </c>
      <c r="F3868" s="6">
        <v>3</v>
      </c>
      <c r="G3868" s="6" t="s">
        <v>18</v>
      </c>
      <c r="H3868" s="6" t="s">
        <v>11</v>
      </c>
      <c r="I3868" s="6">
        <f>TabJogos[[#This Row],[PontosTime1]]-TabJogos[[#This Row],[PontosTime2]]</f>
        <v>-1</v>
      </c>
    </row>
    <row r="3869" spans="1:9" ht="15" customHeight="1" x14ac:dyDescent="0.25">
      <c r="A3869" s="7">
        <v>3868</v>
      </c>
      <c r="B3869" s="1">
        <v>43649</v>
      </c>
      <c r="C3869" s="6" t="s">
        <v>18</v>
      </c>
      <c r="D3869" s="6" t="s">
        <v>9</v>
      </c>
      <c r="E3869" s="6">
        <v>1</v>
      </c>
      <c r="F3869" s="6">
        <v>5</v>
      </c>
      <c r="G3869" s="6" t="s">
        <v>11</v>
      </c>
      <c r="H3869" s="6" t="s">
        <v>13</v>
      </c>
      <c r="I3869" s="6">
        <f>TabJogos[[#This Row],[PontosTime1]]-TabJogos[[#This Row],[PontosTime2]]</f>
        <v>-4</v>
      </c>
    </row>
    <row r="3870" spans="1:9" ht="15" customHeight="1" x14ac:dyDescent="0.25">
      <c r="A3870" s="7">
        <v>3869</v>
      </c>
      <c r="B3870" s="1">
        <v>43649</v>
      </c>
      <c r="C3870" s="6" t="s">
        <v>11</v>
      </c>
      <c r="D3870" s="6" t="s">
        <v>9</v>
      </c>
      <c r="E3870" s="6">
        <v>3</v>
      </c>
      <c r="F3870" s="6">
        <v>1</v>
      </c>
      <c r="G3870" s="6" t="s">
        <v>13</v>
      </c>
      <c r="H3870" s="6" t="s">
        <v>18</v>
      </c>
      <c r="I3870" s="6">
        <f>TabJogos[[#This Row],[PontosTime1]]-TabJogos[[#This Row],[PontosTime2]]</f>
        <v>2</v>
      </c>
    </row>
    <row r="3871" spans="1:9" ht="15" customHeight="1" x14ac:dyDescent="0.25">
      <c r="A3871" s="7">
        <v>3870</v>
      </c>
      <c r="B3871" s="1">
        <v>43649</v>
      </c>
      <c r="C3871" s="6" t="s">
        <v>11</v>
      </c>
      <c r="D3871" s="6" t="s">
        <v>18</v>
      </c>
      <c r="E3871" s="6">
        <v>1</v>
      </c>
      <c r="F3871" s="6">
        <v>3</v>
      </c>
      <c r="G3871" s="6" t="s">
        <v>9</v>
      </c>
      <c r="H3871" s="6" t="s">
        <v>13</v>
      </c>
      <c r="I3871" s="6">
        <f>TabJogos[[#This Row],[PontosTime1]]-TabJogos[[#This Row],[PontosTime2]]</f>
        <v>-2</v>
      </c>
    </row>
    <row r="3872" spans="1:9" ht="15" customHeight="1" x14ac:dyDescent="0.25">
      <c r="A3872" s="7">
        <v>3871</v>
      </c>
      <c r="B3872" s="1">
        <v>43649</v>
      </c>
      <c r="C3872" s="6" t="s">
        <v>11</v>
      </c>
      <c r="D3872" s="6" t="s">
        <v>13</v>
      </c>
      <c r="E3872" s="6">
        <v>3</v>
      </c>
      <c r="F3872" s="6">
        <v>1</v>
      </c>
      <c r="G3872" s="6" t="s">
        <v>9</v>
      </c>
      <c r="H3872" s="6" t="s">
        <v>18</v>
      </c>
      <c r="I3872" s="6">
        <v>1</v>
      </c>
    </row>
    <row r="3873" spans="1:9" ht="15" customHeight="1" x14ac:dyDescent="0.25">
      <c r="A3873" s="7">
        <v>3872</v>
      </c>
      <c r="B3873" s="1">
        <v>43649</v>
      </c>
      <c r="C3873" s="6" t="s">
        <v>11</v>
      </c>
      <c r="D3873" s="6" t="s">
        <v>9</v>
      </c>
      <c r="E3873" s="6">
        <v>3</v>
      </c>
      <c r="F3873" s="6">
        <v>2</v>
      </c>
      <c r="G3873" s="6" t="s">
        <v>13</v>
      </c>
      <c r="H3873" s="6" t="s">
        <v>9</v>
      </c>
      <c r="I3873" s="6">
        <f>TabJogos[[#This Row],[PontosTime1]]-TabJogos[[#This Row],[PontosTime2]]</f>
        <v>1</v>
      </c>
    </row>
    <row r="3874" spans="1:9" ht="15" customHeight="1" x14ac:dyDescent="0.25">
      <c r="A3874" s="7">
        <v>3873</v>
      </c>
      <c r="B3874" s="1">
        <v>43650</v>
      </c>
      <c r="C3874" s="6" t="s">
        <v>17</v>
      </c>
      <c r="D3874" s="6" t="s">
        <v>13</v>
      </c>
      <c r="E3874" s="6">
        <v>3</v>
      </c>
      <c r="F3874" s="6">
        <v>1</v>
      </c>
      <c r="G3874" s="6" t="s">
        <v>10</v>
      </c>
      <c r="H3874" s="6" t="s">
        <v>12</v>
      </c>
      <c r="I3874" s="6">
        <f>TabJogos[[#This Row],[PontosTime1]]-TabJogos[[#This Row],[PontosTime2]]</f>
        <v>2</v>
      </c>
    </row>
    <row r="3875" spans="1:9" ht="15" customHeight="1" x14ac:dyDescent="0.25">
      <c r="A3875" s="7">
        <v>3874</v>
      </c>
      <c r="B3875" s="1">
        <v>43650</v>
      </c>
      <c r="C3875" s="6" t="s">
        <v>17</v>
      </c>
      <c r="D3875" s="6" t="s">
        <v>10</v>
      </c>
      <c r="E3875" s="6">
        <v>3</v>
      </c>
      <c r="F3875" s="6">
        <v>1</v>
      </c>
      <c r="G3875" s="6" t="s">
        <v>13</v>
      </c>
      <c r="H3875" s="6" t="s">
        <v>12</v>
      </c>
      <c r="I3875" s="6">
        <f>TabJogos[[#This Row],[PontosTime1]]-TabJogos[[#This Row],[PontosTime2]]</f>
        <v>2</v>
      </c>
    </row>
    <row r="3876" spans="1:9" ht="15" customHeight="1" x14ac:dyDescent="0.25">
      <c r="A3876" s="7">
        <v>3875</v>
      </c>
      <c r="B3876" s="1">
        <v>43650</v>
      </c>
      <c r="C3876" s="6" t="s">
        <v>17</v>
      </c>
      <c r="D3876" s="6" t="s">
        <v>12</v>
      </c>
      <c r="E3876" s="6">
        <v>2</v>
      </c>
      <c r="F3876" s="6">
        <v>5</v>
      </c>
      <c r="G3876" s="6" t="s">
        <v>13</v>
      </c>
      <c r="H3876" s="6" t="s">
        <v>10</v>
      </c>
      <c r="I3876" s="6">
        <f>TabJogos[[#This Row],[PontosTime1]]-TabJogos[[#This Row],[PontosTime2]]</f>
        <v>-3</v>
      </c>
    </row>
    <row r="3877" spans="1:9" ht="15" customHeight="1" x14ac:dyDescent="0.25">
      <c r="A3877" s="7">
        <v>3876</v>
      </c>
      <c r="B3877" s="1">
        <v>43650</v>
      </c>
      <c r="C3877" s="6" t="s">
        <v>9</v>
      </c>
      <c r="D3877" s="6" t="s">
        <v>13</v>
      </c>
      <c r="E3877" s="6">
        <v>1</v>
      </c>
      <c r="F3877" s="6">
        <v>3</v>
      </c>
      <c r="G3877" s="6" t="s">
        <v>18</v>
      </c>
      <c r="H3877" s="6" t="s">
        <v>11</v>
      </c>
      <c r="I3877" s="6">
        <f>TabJogos[[#This Row],[PontosTime1]]-TabJogos[[#This Row],[PontosTime2]]</f>
        <v>-2</v>
      </c>
    </row>
    <row r="3878" spans="1:9" ht="15" customHeight="1" x14ac:dyDescent="0.25">
      <c r="A3878" s="7">
        <v>3877</v>
      </c>
      <c r="B3878" s="1">
        <v>43650</v>
      </c>
      <c r="C3878" s="6" t="s">
        <v>9</v>
      </c>
      <c r="D3878" s="6" t="s">
        <v>18</v>
      </c>
      <c r="E3878" s="6">
        <v>2</v>
      </c>
      <c r="F3878" s="6">
        <v>3</v>
      </c>
      <c r="G3878" s="6" t="s">
        <v>13</v>
      </c>
      <c r="H3878" s="6" t="s">
        <v>11</v>
      </c>
      <c r="I3878" s="6">
        <f>TabJogos[[#This Row],[PontosTime1]]-TabJogos[[#This Row],[PontosTime2]]</f>
        <v>-1</v>
      </c>
    </row>
    <row r="3879" spans="1:9" ht="15" customHeight="1" x14ac:dyDescent="0.25">
      <c r="A3879" s="7">
        <v>3878</v>
      </c>
      <c r="B3879" s="1">
        <v>43650</v>
      </c>
      <c r="C3879" s="6" t="s">
        <v>11</v>
      </c>
      <c r="D3879" s="6" t="s">
        <v>9</v>
      </c>
      <c r="E3879" s="6">
        <v>3</v>
      </c>
      <c r="F3879" s="6">
        <v>2</v>
      </c>
      <c r="G3879" s="6" t="s">
        <v>13</v>
      </c>
      <c r="H3879" s="6" t="s">
        <v>18</v>
      </c>
      <c r="I3879" s="6">
        <f>TabJogos[[#This Row],[PontosTime1]]-TabJogos[[#This Row],[PontosTime2]]</f>
        <v>1</v>
      </c>
    </row>
    <row r="3880" spans="1:9" ht="15" customHeight="1" x14ac:dyDescent="0.25">
      <c r="A3880" s="7">
        <v>3879</v>
      </c>
      <c r="B3880" s="1">
        <v>43650</v>
      </c>
      <c r="C3880" s="6" t="s">
        <v>11</v>
      </c>
      <c r="D3880" s="6" t="s">
        <v>18</v>
      </c>
      <c r="E3880" s="6">
        <v>4</v>
      </c>
      <c r="F3880" s="6">
        <v>0</v>
      </c>
      <c r="G3880" s="6" t="s">
        <v>9</v>
      </c>
      <c r="H3880" s="6" t="s">
        <v>13</v>
      </c>
      <c r="I3880" s="6">
        <f>TabJogos[[#This Row],[PontosTime1]]-TabJogos[[#This Row],[PontosTime2]]</f>
        <v>4</v>
      </c>
    </row>
    <row r="3881" spans="1:9" ht="15" customHeight="1" x14ac:dyDescent="0.25">
      <c r="A3881" s="7">
        <v>3880</v>
      </c>
      <c r="B3881" s="1">
        <v>43650</v>
      </c>
      <c r="C3881" s="6" t="s">
        <v>9</v>
      </c>
      <c r="D3881" s="6" t="s">
        <v>18</v>
      </c>
      <c r="E3881" s="6">
        <v>3</v>
      </c>
      <c r="F3881" s="6">
        <v>0</v>
      </c>
      <c r="G3881" s="6" t="s">
        <v>13</v>
      </c>
      <c r="H3881" s="6" t="s">
        <v>11</v>
      </c>
      <c r="I3881" s="6">
        <f>TabJogos[[#This Row],[PontosTime1]]-TabJogos[[#This Row],[PontosTime2]]</f>
        <v>3</v>
      </c>
    </row>
    <row r="3882" spans="1:9" ht="15" customHeight="1" x14ac:dyDescent="0.25">
      <c r="A3882" s="7">
        <v>3881</v>
      </c>
      <c r="B3882" s="1">
        <v>43650</v>
      </c>
      <c r="C3882" s="6" t="s">
        <v>11</v>
      </c>
      <c r="D3882" s="6" t="s">
        <v>9</v>
      </c>
      <c r="E3882" s="6">
        <v>3</v>
      </c>
      <c r="F3882" s="6">
        <v>1</v>
      </c>
      <c r="G3882" s="6" t="s">
        <v>13</v>
      </c>
      <c r="H3882" s="6" t="s">
        <v>18</v>
      </c>
      <c r="I3882" s="6">
        <f>TabJogos[[#This Row],[PontosTime1]]-TabJogos[[#This Row],[PontosTime2]]</f>
        <v>2</v>
      </c>
    </row>
    <row r="3883" spans="1:9" ht="15" customHeight="1" x14ac:dyDescent="0.25">
      <c r="A3883" s="7">
        <v>3882</v>
      </c>
      <c r="B3883" s="1">
        <v>43650</v>
      </c>
      <c r="C3883" s="6" t="s">
        <v>11</v>
      </c>
      <c r="D3883" s="6" t="s">
        <v>18</v>
      </c>
      <c r="E3883" s="6">
        <v>1</v>
      </c>
      <c r="F3883" s="6">
        <v>3</v>
      </c>
      <c r="G3883" s="6" t="s">
        <v>9</v>
      </c>
      <c r="H3883" s="6" t="s">
        <v>13</v>
      </c>
      <c r="I3883" s="6">
        <f>TabJogos[[#This Row],[PontosTime1]]-TabJogos[[#This Row],[PontosTime2]]</f>
        <v>-2</v>
      </c>
    </row>
    <row r="3884" spans="1:9" ht="15" customHeight="1" x14ac:dyDescent="0.25">
      <c r="A3884" s="7">
        <v>3883</v>
      </c>
      <c r="B3884" s="1">
        <v>43650</v>
      </c>
      <c r="C3884" s="6" t="s">
        <v>11</v>
      </c>
      <c r="D3884" s="6" t="s">
        <v>9</v>
      </c>
      <c r="E3884" s="6">
        <v>4</v>
      </c>
      <c r="F3884" s="6">
        <v>0</v>
      </c>
      <c r="G3884" s="6" t="s">
        <v>13</v>
      </c>
      <c r="H3884" s="6" t="s">
        <v>18</v>
      </c>
      <c r="I3884" s="6">
        <f>TabJogos[[#This Row],[PontosTime1]]-TabJogos[[#This Row],[PontosTime2]]</f>
        <v>4</v>
      </c>
    </row>
    <row r="3885" spans="1:9" ht="15" customHeight="1" x14ac:dyDescent="0.25">
      <c r="A3885" s="7">
        <v>3884</v>
      </c>
      <c r="B3885" s="1">
        <v>43650</v>
      </c>
      <c r="C3885" s="6" t="s">
        <v>11</v>
      </c>
      <c r="D3885" s="6" t="s">
        <v>13</v>
      </c>
      <c r="E3885" s="6">
        <v>2</v>
      </c>
      <c r="F3885" s="6">
        <v>4</v>
      </c>
      <c r="G3885" s="6" t="s">
        <v>9</v>
      </c>
      <c r="H3885" s="6" t="s">
        <v>18</v>
      </c>
      <c r="I3885" s="6">
        <f>TabJogos[[#This Row],[PontosTime1]]-TabJogos[[#This Row],[PontosTime2]]</f>
        <v>-2</v>
      </c>
    </row>
    <row r="3886" spans="1:9" ht="15" customHeight="1" x14ac:dyDescent="0.25">
      <c r="A3886" s="7">
        <v>3885</v>
      </c>
      <c r="B3886" s="1">
        <v>43651</v>
      </c>
      <c r="C3886" s="6" t="s">
        <v>9</v>
      </c>
      <c r="D3886" s="6" t="s">
        <v>13</v>
      </c>
      <c r="E3886" s="6">
        <v>1</v>
      </c>
      <c r="F3886" s="6">
        <v>3</v>
      </c>
      <c r="G3886" s="6" t="s">
        <v>11</v>
      </c>
      <c r="H3886" s="6" t="s">
        <v>10</v>
      </c>
      <c r="I3886" s="6">
        <f>TabJogos[[#This Row],[PontosTime1]]-TabJogos[[#This Row],[PontosTime2]]</f>
        <v>-2</v>
      </c>
    </row>
    <row r="3887" spans="1:9" ht="15" customHeight="1" x14ac:dyDescent="0.25">
      <c r="A3887" s="7">
        <v>3886</v>
      </c>
      <c r="B3887" s="1">
        <v>43651</v>
      </c>
      <c r="C3887" s="6" t="s">
        <v>11</v>
      </c>
      <c r="D3887" s="6" t="s">
        <v>9</v>
      </c>
      <c r="E3887" s="6">
        <v>3</v>
      </c>
      <c r="F3887" s="6">
        <v>2</v>
      </c>
      <c r="G3887" s="6" t="s">
        <v>13</v>
      </c>
      <c r="H3887" s="6" t="s">
        <v>10</v>
      </c>
      <c r="I3887" s="6">
        <f>TabJogos[[#This Row],[PontosTime1]]-TabJogos[[#This Row],[PontosTime2]]</f>
        <v>1</v>
      </c>
    </row>
    <row r="3888" spans="1:9" ht="15" customHeight="1" x14ac:dyDescent="0.25">
      <c r="A3888" s="7">
        <v>3887</v>
      </c>
      <c r="B3888" s="1">
        <v>43651</v>
      </c>
      <c r="C3888" s="6" t="s">
        <v>41</v>
      </c>
      <c r="D3888" s="6" t="s">
        <v>9</v>
      </c>
      <c r="E3888" s="6">
        <v>3</v>
      </c>
      <c r="F3888" s="6">
        <v>2</v>
      </c>
      <c r="G3888" s="6" t="s">
        <v>11</v>
      </c>
      <c r="H3888" s="6" t="s">
        <v>13</v>
      </c>
      <c r="I3888" s="6">
        <f>TabJogos[[#This Row],[PontosTime1]]-TabJogos[[#This Row],[PontosTime2]]</f>
        <v>1</v>
      </c>
    </row>
    <row r="3889" spans="1:9" ht="15" customHeight="1" x14ac:dyDescent="0.25">
      <c r="A3889" s="7">
        <v>3888</v>
      </c>
      <c r="B3889" s="1">
        <v>43654</v>
      </c>
      <c r="C3889" s="6" t="s">
        <v>9</v>
      </c>
      <c r="D3889" s="6" t="s">
        <v>18</v>
      </c>
      <c r="E3889" s="6">
        <v>3</v>
      </c>
      <c r="F3889" s="6">
        <v>1</v>
      </c>
      <c r="G3889" s="6" t="s">
        <v>28</v>
      </c>
      <c r="H3889" s="6" t="s">
        <v>17</v>
      </c>
      <c r="I3889" s="6">
        <f>TabJogos[[#This Row],[PontosTime1]]-TabJogos[[#This Row],[PontosTime2]]</f>
        <v>2</v>
      </c>
    </row>
    <row r="3890" spans="1:9" ht="15" customHeight="1" x14ac:dyDescent="0.25">
      <c r="A3890" s="7">
        <v>3889</v>
      </c>
      <c r="B3890" s="1">
        <v>43654</v>
      </c>
      <c r="C3890" s="6" t="s">
        <v>9</v>
      </c>
      <c r="D3890" s="6" t="s">
        <v>17</v>
      </c>
      <c r="E3890" s="6">
        <v>3</v>
      </c>
      <c r="F3890" s="6">
        <v>0</v>
      </c>
      <c r="G3890" s="6" t="s">
        <v>11</v>
      </c>
      <c r="H3890" s="6" t="s">
        <v>18</v>
      </c>
      <c r="I3890" s="6">
        <f>TabJogos[[#This Row],[PontosTime1]]-TabJogos[[#This Row],[PontosTime2]]</f>
        <v>3</v>
      </c>
    </row>
    <row r="3891" spans="1:9" ht="15" customHeight="1" x14ac:dyDescent="0.25">
      <c r="A3891" s="7">
        <v>3890</v>
      </c>
      <c r="B3891" s="1">
        <v>43654</v>
      </c>
      <c r="C3891" s="6" t="s">
        <v>11</v>
      </c>
      <c r="D3891" s="6" t="s">
        <v>17</v>
      </c>
      <c r="E3891" s="6">
        <v>3</v>
      </c>
      <c r="F3891" s="6">
        <v>0</v>
      </c>
      <c r="G3891" s="6" t="s">
        <v>9</v>
      </c>
      <c r="H3891" s="6" t="s">
        <v>28</v>
      </c>
      <c r="I3891" s="6">
        <f>TabJogos[[#This Row],[PontosTime1]]-TabJogos[[#This Row],[PontosTime2]]</f>
        <v>3</v>
      </c>
    </row>
    <row r="3892" spans="1:9" ht="15" customHeight="1" x14ac:dyDescent="0.25">
      <c r="A3892" s="7">
        <v>3891</v>
      </c>
      <c r="B3892" s="1">
        <v>43654</v>
      </c>
      <c r="C3892" s="6" t="s">
        <v>17</v>
      </c>
      <c r="D3892" s="6" t="s">
        <v>18</v>
      </c>
      <c r="E3892" s="6">
        <v>3</v>
      </c>
      <c r="F3892" s="6">
        <v>1</v>
      </c>
      <c r="G3892" s="6" t="s">
        <v>11</v>
      </c>
      <c r="H3892" s="6" t="s">
        <v>28</v>
      </c>
      <c r="I3892" s="6">
        <f>TabJogos[[#This Row],[PontosTime1]]-TabJogos[[#This Row],[PontosTime2]]</f>
        <v>2</v>
      </c>
    </row>
    <row r="3893" spans="1:9" ht="15" customHeight="1" x14ac:dyDescent="0.25">
      <c r="A3893" s="7">
        <v>3892</v>
      </c>
      <c r="B3893" s="1">
        <v>43654</v>
      </c>
      <c r="C3893" s="6" t="s">
        <v>11</v>
      </c>
      <c r="D3893" s="6" t="s">
        <v>18</v>
      </c>
      <c r="E3893" s="6">
        <v>3</v>
      </c>
      <c r="F3893" s="6">
        <v>0</v>
      </c>
      <c r="G3893" s="6" t="s">
        <v>9</v>
      </c>
      <c r="H3893" s="6" t="s">
        <v>28</v>
      </c>
      <c r="I3893" s="6">
        <f>TabJogos[[#This Row],[PontosTime1]]-TabJogos[[#This Row],[PontosTime2]]</f>
        <v>3</v>
      </c>
    </row>
    <row r="3894" spans="1:9" ht="15" customHeight="1" x14ac:dyDescent="0.25">
      <c r="I3894" s="6"/>
    </row>
    <row r="3895" spans="1:9" ht="15" customHeight="1" x14ac:dyDescent="0.25">
      <c r="I3895" s="6"/>
    </row>
    <row r="3896" spans="1:9" ht="15" customHeight="1" x14ac:dyDescent="0.25">
      <c r="I3896" s="6"/>
    </row>
    <row r="3897" spans="1:9" ht="15" customHeight="1" x14ac:dyDescent="0.25">
      <c r="I3897" s="6"/>
    </row>
    <row r="3898" spans="1:9" ht="15" customHeight="1" x14ac:dyDescent="0.25">
      <c r="I3898" s="6"/>
    </row>
    <row r="3899" spans="1:9" ht="15" customHeight="1" x14ac:dyDescent="0.25">
      <c r="I3899" s="6"/>
    </row>
    <row r="3900" spans="1:9" ht="15" customHeight="1" x14ac:dyDescent="0.25">
      <c r="I3900" s="6"/>
    </row>
    <row r="3901" spans="1:9" ht="15" customHeight="1" x14ac:dyDescent="0.25">
      <c r="I3901" s="6"/>
    </row>
    <row r="3902" spans="1:9" ht="15" customHeight="1" x14ac:dyDescent="0.25">
      <c r="I3902" s="6"/>
    </row>
    <row r="3903" spans="1:9" ht="15" customHeight="1" x14ac:dyDescent="0.25">
      <c r="I3903" s="6"/>
    </row>
    <row r="3904" spans="1:9" ht="15" customHeight="1" x14ac:dyDescent="0.25">
      <c r="I3904" s="6"/>
    </row>
    <row r="3905" spans="9:9" ht="15" customHeight="1" x14ac:dyDescent="0.25">
      <c r="I3905" s="6"/>
    </row>
    <row r="3906" spans="9:9" ht="15" customHeight="1" x14ac:dyDescent="0.25">
      <c r="I3906" s="6"/>
    </row>
    <row r="3907" spans="9:9" ht="15" customHeight="1" x14ac:dyDescent="0.25">
      <c r="I3907" s="6"/>
    </row>
    <row r="3908" spans="9:9" ht="15" customHeight="1" x14ac:dyDescent="0.25">
      <c r="I3908" s="6"/>
    </row>
    <row r="3909" spans="9:9" ht="15" customHeight="1" x14ac:dyDescent="0.25">
      <c r="I3909" s="6"/>
    </row>
    <row r="3910" spans="9:9" ht="15" customHeight="1" x14ac:dyDescent="0.25">
      <c r="I3910" s="6"/>
    </row>
    <row r="3911" spans="9:9" ht="15" customHeight="1" x14ac:dyDescent="0.25">
      <c r="I3911" s="6"/>
    </row>
    <row r="3912" spans="9:9" ht="15" customHeight="1" x14ac:dyDescent="0.25">
      <c r="I3912" s="6"/>
    </row>
    <row r="3913" spans="9:9" ht="15" customHeight="1" x14ac:dyDescent="0.25">
      <c r="I3913" s="6"/>
    </row>
    <row r="3914" spans="9:9" ht="15" customHeight="1" x14ac:dyDescent="0.25">
      <c r="I3914" s="6"/>
    </row>
    <row r="3915" spans="9:9" ht="15" customHeight="1" x14ac:dyDescent="0.25">
      <c r="I3915" s="6"/>
    </row>
    <row r="3916" spans="9:9" ht="15" customHeight="1" x14ac:dyDescent="0.25">
      <c r="I3916" s="6"/>
    </row>
    <row r="3917" spans="9:9" ht="15" customHeight="1" x14ac:dyDescent="0.25">
      <c r="I3917" s="6"/>
    </row>
    <row r="3918" spans="9:9" ht="15" customHeight="1" x14ac:dyDescent="0.25">
      <c r="I3918" s="6"/>
    </row>
    <row r="3919" spans="9:9" ht="15" customHeight="1" x14ac:dyDescent="0.25">
      <c r="I3919" s="6"/>
    </row>
    <row r="3920" spans="9:9" ht="15" customHeight="1" x14ac:dyDescent="0.25">
      <c r="I3920" s="6"/>
    </row>
    <row r="3921" spans="9:9" ht="15" customHeight="1" x14ac:dyDescent="0.25">
      <c r="I3921" s="6"/>
    </row>
    <row r="3922" spans="9:9" ht="15" customHeight="1" x14ac:dyDescent="0.25">
      <c r="I3922" s="6"/>
    </row>
    <row r="3923" spans="9:9" ht="15" customHeight="1" x14ac:dyDescent="0.25">
      <c r="I3923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763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417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346</v>
      </c>
      <c r="E3" s="3">
        <f t="shared" ca="1" si="0"/>
        <v>71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65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169</v>
      </c>
      <c r="H3" s="4">
        <f t="shared" ca="1" si="1"/>
        <v>0.54652686762778502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54.652686762778501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672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364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308</v>
      </c>
      <c r="E4" s="3">
        <f t="shared" ca="1" si="0"/>
        <v>56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83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148</v>
      </c>
      <c r="H4" s="4">
        <f t="shared" ca="1" si="1"/>
        <v>0.54166666666666663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54.166666666666664</v>
      </c>
      <c r="L4" s="12" t="s">
        <v>54</v>
      </c>
      <c r="M4" s="14">
        <f ca="1">EOMONTH(TODAY(),0)</f>
        <v>43677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1144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610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534</v>
      </c>
      <c r="E6" s="3">
        <f t="shared" ca="1" si="0"/>
        <v>76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99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184</v>
      </c>
      <c r="H6" s="4">
        <f t="shared" ca="1" si="1"/>
        <v>0.53321678321678323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53.32167832167832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383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192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191</v>
      </c>
      <c r="E7" s="3">
        <f t="shared" ca="1" si="0"/>
        <v>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34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10</v>
      </c>
      <c r="H7" s="4">
        <f t="shared" ca="1" si="1"/>
        <v>0.50130548302872058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50.130548302872057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2413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1278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1135</v>
      </c>
      <c r="E8" s="3">
        <f t="shared" ca="1" si="0"/>
        <v>143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219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488</v>
      </c>
      <c r="H8" s="4">
        <f t="shared" ca="1" si="1"/>
        <v>0.52963116452548697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52.963116452548697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1993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994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999</v>
      </c>
      <c r="E9" s="3">
        <f t="shared" ca="1" si="0"/>
        <v>-5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170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12</v>
      </c>
      <c r="H9" s="4">
        <f t="shared" ca="1" si="1"/>
        <v>0.498745609633718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49.874560963371799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928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454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474</v>
      </c>
      <c r="E10" s="3">
        <f t="shared" ca="1" si="0"/>
        <v>-20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70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-68</v>
      </c>
      <c r="H10" s="4">
        <f t="shared" ca="1" si="1"/>
        <v>0.48922413793103448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48.922413793103445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1024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509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515</v>
      </c>
      <c r="E12" s="3">
        <f t="shared" ca="1" si="0"/>
        <v>-6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99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-7</v>
      </c>
      <c r="H12" s="4">
        <f t="shared" ca="1" si="1"/>
        <v>0.4970703125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49.70703125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634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314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320</v>
      </c>
      <c r="E14" s="3">
        <f t="shared" ca="1" si="0"/>
        <v>-6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75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-29</v>
      </c>
      <c r="H14" s="4">
        <f t="shared" ca="1" si="1"/>
        <v>0.4952681388012618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49.526813880126177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614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280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334</v>
      </c>
      <c r="E15" s="3">
        <f t="shared" ca="1" si="0"/>
        <v>-54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-126</v>
      </c>
      <c r="H15" s="4">
        <f t="shared" ca="1" si="1"/>
        <v>0.4560260586319218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45.602605863192181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2290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993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1297</v>
      </c>
      <c r="E17" s="3">
        <f t="shared" ca="1" si="0"/>
        <v>-304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190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-1011</v>
      </c>
      <c r="H17" s="4">
        <f t="shared" ca="1" si="1"/>
        <v>0.43362445414847162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43.362445414847159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458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199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259</v>
      </c>
      <c r="E18" s="3">
        <f t="shared" ca="1" si="0"/>
        <v>-60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33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-191</v>
      </c>
      <c r="H18" s="4">
        <f t="shared" ca="1" si="1"/>
        <v>0.43449781659388648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43.449781659388648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2019-07-08T19:16:02Z</dcterms:modified>
  <cp:category/>
  <cp:contentStatus/>
</cp:coreProperties>
</file>
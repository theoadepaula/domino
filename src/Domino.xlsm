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D7C83374-6D9E-4C10-A355-F51CD8C69EBE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Planilha2" sheetId="6" r:id="rId2"/>
    <sheet name="Desempen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4003" i="3" l="1"/>
  <c r="I4004" i="3"/>
  <c r="I4005" i="3"/>
  <c r="I4006" i="3"/>
  <c r="I4007" i="3"/>
  <c r="I4008" i="3"/>
  <c r="I4009" i="3"/>
  <c r="I4010" i="3"/>
  <c r="I4011" i="3"/>
  <c r="I4012" i="3"/>
  <c r="I4013" i="3"/>
  <c r="I4014" i="3"/>
  <c r="I4015" i="3"/>
  <c r="I4016" i="3"/>
  <c r="I4017" i="3"/>
  <c r="I4018" i="3"/>
  <c r="I4019" i="3"/>
  <c r="I4020" i="3"/>
  <c r="I4021" i="3"/>
  <c r="I4022" i="3"/>
  <c r="I4023" i="3"/>
  <c r="I4024" i="3"/>
  <c r="I4025" i="3"/>
  <c r="I4026" i="3"/>
  <c r="I4027" i="3"/>
  <c r="I4028" i="3"/>
  <c r="I4029" i="3"/>
  <c r="I4030" i="3"/>
  <c r="I3991" i="3" l="1"/>
  <c r="I3992" i="3"/>
  <c r="I3993" i="3"/>
  <c r="I3994" i="3"/>
  <c r="I3995" i="3"/>
  <c r="I3996" i="3"/>
  <c r="I3997" i="3"/>
  <c r="I3998" i="3"/>
  <c r="I3999" i="3"/>
  <c r="I4000" i="3"/>
  <c r="I4001" i="3"/>
  <c r="I4002" i="3"/>
  <c r="I3973" i="3" l="1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69" i="3" l="1"/>
  <c r="I3970" i="3"/>
  <c r="I3971" i="3"/>
  <c r="I3972" i="3"/>
  <c r="I3958" i="3"/>
  <c r="I3959" i="3"/>
  <c r="I3960" i="3"/>
  <c r="I3961" i="3"/>
  <c r="I3962" i="3"/>
  <c r="I3963" i="3"/>
  <c r="I3964" i="3"/>
  <c r="I3965" i="3"/>
  <c r="I3966" i="3"/>
  <c r="I3967" i="3"/>
  <c r="I3968" i="3"/>
  <c r="I3947" i="3" l="1"/>
  <c r="I3948" i="3"/>
  <c r="I3949" i="3"/>
  <c r="I3950" i="3"/>
  <c r="I3951" i="3"/>
  <c r="I3952" i="3"/>
  <c r="I3953" i="3"/>
  <c r="I3954" i="3"/>
  <c r="I3955" i="3"/>
  <c r="I3956" i="3"/>
  <c r="I3957" i="3"/>
  <c r="I3932" i="3" l="1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29" i="3" l="1"/>
  <c r="I3930" i="3"/>
  <c r="I3931" i="3"/>
  <c r="I3918" i="3" l="1"/>
  <c r="I3919" i="3"/>
  <c r="I3920" i="3"/>
  <c r="I3921" i="3"/>
  <c r="I3922" i="3"/>
  <c r="I3923" i="3"/>
  <c r="I3924" i="3"/>
  <c r="I3925" i="3"/>
  <c r="I3926" i="3"/>
  <c r="I3927" i="3"/>
  <c r="I3928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886" i="3" l="1"/>
  <c r="I3887" i="3"/>
  <c r="I3888" i="3"/>
  <c r="I3889" i="3"/>
  <c r="I3890" i="3"/>
  <c r="I3891" i="3"/>
  <c r="I3892" i="3"/>
  <c r="I3893" i="3"/>
  <c r="I3831" i="3" l="1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781" i="3" l="1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2" i="3"/>
  <c r="I3783" i="3"/>
  <c r="I3784" i="3"/>
  <c r="I3785" i="3"/>
  <c r="I3786" i="3"/>
  <c r="I3787" i="3"/>
  <c r="I3788" i="3"/>
  <c r="I3789" i="3"/>
  <c r="I3790" i="3"/>
  <c r="I3731" i="3" l="1"/>
  <c r="I3720" i="3"/>
  <c r="I3721" i="3"/>
  <c r="I3722" i="3"/>
  <c r="I3723" i="3"/>
  <c r="I3724" i="3"/>
  <c r="I3725" i="3"/>
  <c r="I3726" i="3"/>
  <c r="I3727" i="3"/>
  <c r="I3728" i="3"/>
  <c r="I3729" i="3"/>
  <c r="I3730" i="3"/>
  <c r="I3713" i="3" l="1"/>
  <c r="I3714" i="3"/>
  <c r="I3715" i="3"/>
  <c r="I3716" i="3"/>
  <c r="I3717" i="3"/>
  <c r="I3718" i="3"/>
  <c r="I3719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673" i="3" l="1"/>
  <c r="I3674" i="3"/>
  <c r="I3675" i="3"/>
  <c r="I3676" i="3"/>
  <c r="I3677" i="3"/>
  <c r="I3678" i="3"/>
  <c r="I3679" i="3"/>
  <c r="I3680" i="3"/>
  <c r="I3671" i="3" l="1"/>
  <c r="I3672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<sst xmlns="http://schemas.openxmlformats.org/spreadsheetml/2006/main" count="16166" uniqueCount="63">
  <si>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</si>
  <si>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</si>
  <si>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</si>
  <si>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</si>
  <si>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</si>
  <si>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</si>
  <si>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</si>
  <si>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</si>
  <si>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</si>
  <si>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</si>
  <si>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</si>
  <si>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</si>
  <si>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</si>
  <si>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</si>
  <si>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</si>
  <si>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</si>
  <si>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</si>
  <si>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</si>
  <si>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</si>
  <si>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</si>
  <si>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</si>
  <si>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</si>
  <si>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</si>
  <si>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</si>
  <si>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</si>
  <si>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</si>
  <si>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</si>
  <si>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</si>
  <si>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</si>
  <si>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</si>
  <si>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</si>
  <si>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</si>
  <si>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</si>
  <si>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</si>
  <si>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</si>
  <si>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</si>
  <si>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</si>
  <si>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</si>
  <si>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</si>
  <si>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</si>
  <si>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</si>
  <si>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</si>
  <si>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</si>
  <si>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</si>
  <si>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</si>
  <si>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</si>
  <si>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</si>
  <si>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</si>
  <si>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</si>
  <si>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</si>
  <si>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</si>
  <si>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</si>
  <si>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</si>
  <si>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</si>
  <si>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</si>
  <si>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</si>
  <si>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</si>
  <si>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</si>
  <si>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</si>
  <si>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</si>
  <si>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</si>
  <si>
    <t>Paulo Victor</t>
  </si>
  <si>
    <t>Carlos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</si>
</sst>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fill>
        <patternFill patternType="solid">
          <bgColor theme="2"/>
        </patternFill>
      </fill>
    </dxf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4030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3">
      <calculatedColumnFormula>IFERROR(C2/B2,-0.000001)</calculatedColumnFormula>
    </tableColumn>
    <tableColumn id="15" xr3:uid="{00000000-0010-0000-0100-00000F000000}" name="KJogos" dataDxfId="2">
      <calculatedColumnFormula>_xlfn.FORECAST.LINEAR(TabResultados3[[#This Row],[Jogos]],$N$10:$N$11,$M$9:$M$11)</calculatedColumnFormula>
    </tableColumn>
    <tableColumn id="9" xr3:uid="{00000000-0010-0000-0100-000009000000}" name="Pontuação" dataDxfId="1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4040"/>
  <sheetViews>
    <sheetView tabSelected="1" zoomScaleNormal="100" workbookViewId="0">
      <pane ySplit="1" topLeftCell="A4014" activePane="bottomLeft" state="frozenSplit"/>
      <selection activeCell="D1" sqref="D1 D1"/>
      <selection pane="bottomLeft" activeCell="A4030" sqref="A4030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7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6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25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25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25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25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25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25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25">
      <c r="A3555" s="7">
        <v>3554</v>
      </c>
      <c r="B3555" s="1">
        <v>43607</v>
      </c>
      <c r="C3555" s="6" t="s">
        <v>13</v>
      </c>
      <c r="D3555" s="6" t="s">
        <v>9</v>
      </c>
      <c r="E3555" s="6">
        <v>3</v>
      </c>
      <c r="F3555" s="6">
        <v>1</v>
      </c>
      <c r="G3555" s="6" t="s">
        <v>10</v>
      </c>
      <c r="H3555" s="6" t="s">
        <v>12</v>
      </c>
      <c r="I3555" s="6">
        <f>TabJogos[[#This Row],[PontosTime1]]-TabJogos[[#This Row],[PontosTime2]]</f>
        <v>2</v>
      </c>
    </row>
    <row r="3556" spans="1:9" ht="15" customHeight="1" x14ac:dyDescent="0.25">
      <c r="A3556" s="7">
        <v>3555</v>
      </c>
      <c r="B3556" s="1">
        <v>43607</v>
      </c>
      <c r="C3556" s="6" t="s">
        <v>13</v>
      </c>
      <c r="D3556" s="6" t="s">
        <v>10</v>
      </c>
      <c r="E3556" s="6">
        <v>4</v>
      </c>
      <c r="F3556" s="6">
        <v>2</v>
      </c>
      <c r="G3556" s="6" t="s">
        <v>12</v>
      </c>
      <c r="H3556" s="6" t="s">
        <v>9</v>
      </c>
      <c r="I3556" s="6">
        <f>TabJogos[[#This Row],[PontosTime1]]-TabJogos[[#This Row],[PontosTime2]]</f>
        <v>2</v>
      </c>
    </row>
    <row r="3557" spans="1:9" ht="15" customHeight="1" x14ac:dyDescent="0.25">
      <c r="A3557" s="7">
        <v>3556</v>
      </c>
      <c r="B3557" s="1">
        <v>43607</v>
      </c>
      <c r="C3557" s="6" t="s">
        <v>13</v>
      </c>
      <c r="D3557" s="6" t="s">
        <v>12</v>
      </c>
      <c r="E3557" s="6">
        <v>2</v>
      </c>
      <c r="F3557" s="6">
        <v>3</v>
      </c>
      <c r="G3557" s="6" t="s">
        <v>10</v>
      </c>
      <c r="H3557" s="6" t="s">
        <v>9</v>
      </c>
      <c r="I3557" s="6">
        <f>TabJogos[[#This Row],[PontosTime1]]-TabJogos[[#This Row],[PontosTime2]]</f>
        <v>-1</v>
      </c>
    </row>
    <row r="3558" spans="1:9" ht="15" customHeight="1" x14ac:dyDescent="0.25">
      <c r="A3558" s="7">
        <v>3557</v>
      </c>
      <c r="B3558" s="1">
        <v>43607</v>
      </c>
      <c r="C3558" s="6" t="s">
        <v>9</v>
      </c>
      <c r="D3558" s="6" t="s">
        <v>41</v>
      </c>
      <c r="E3558" s="6">
        <v>4</v>
      </c>
      <c r="F3558" s="6">
        <v>2</v>
      </c>
      <c r="G3558" s="6" t="s">
        <v>10</v>
      </c>
      <c r="H3558" s="6" t="s">
        <v>32</v>
      </c>
      <c r="I3558" s="6">
        <f>TabJogos[[#This Row],[PontosTime1]]-TabJogos[[#This Row],[PontosTime2]]</f>
        <v>2</v>
      </c>
    </row>
    <row r="3559" spans="1:9" ht="15" customHeight="1" x14ac:dyDescent="0.25">
      <c r="A3559" s="7">
        <v>3558</v>
      </c>
      <c r="B3559" s="1">
        <v>43607</v>
      </c>
      <c r="C3559" s="6" t="s">
        <v>9</v>
      </c>
      <c r="D3559" s="6" t="s">
        <v>12</v>
      </c>
      <c r="E3559" s="6">
        <v>3</v>
      </c>
      <c r="F3559" s="6">
        <v>2</v>
      </c>
      <c r="G3559" s="6" t="s">
        <v>13</v>
      </c>
      <c r="H3559" s="6" t="s">
        <v>41</v>
      </c>
      <c r="I3559" s="6">
        <f>TabJogos[[#This Row],[PontosTime1]]-TabJogos[[#This Row],[PontosTime2]]</f>
        <v>1</v>
      </c>
    </row>
    <row r="3560" spans="1:9" ht="15" customHeight="1" x14ac:dyDescent="0.25">
      <c r="A3560" s="7">
        <v>3559</v>
      </c>
      <c r="B3560" s="1">
        <v>43607</v>
      </c>
      <c r="C3560" s="6" t="s">
        <v>9</v>
      </c>
      <c r="D3560" s="6" t="s">
        <v>13</v>
      </c>
      <c r="E3560" s="6">
        <v>5</v>
      </c>
      <c r="F3560" s="6">
        <v>1</v>
      </c>
      <c r="G3560" s="6" t="s">
        <v>32</v>
      </c>
      <c r="H3560" s="6" t="s">
        <v>41</v>
      </c>
      <c r="I3560" s="6">
        <f>TabJogos[[#This Row],[PontosTime1]]-TabJogos[[#This Row],[PontosTime2]]</f>
        <v>4</v>
      </c>
    </row>
    <row r="3561" spans="1:9" ht="15" customHeight="1" x14ac:dyDescent="0.25">
      <c r="A3561" s="7">
        <v>3560</v>
      </c>
      <c r="B3561" s="1">
        <v>43607</v>
      </c>
      <c r="C3561" s="6" t="s">
        <v>9</v>
      </c>
      <c r="D3561" s="6" t="s">
        <v>32</v>
      </c>
      <c r="E3561" s="6">
        <v>2</v>
      </c>
      <c r="F3561" s="6">
        <v>3</v>
      </c>
      <c r="G3561" s="6" t="s">
        <v>13</v>
      </c>
      <c r="H3561" s="6" t="s">
        <v>27</v>
      </c>
      <c r="I3561" s="6">
        <f>TabJogos[[#This Row],[PontosTime1]]-TabJogos[[#This Row],[PontosTime2]]</f>
        <v>-1</v>
      </c>
    </row>
    <row r="3562" spans="1:9" ht="15" customHeight="1" x14ac:dyDescent="0.25">
      <c r="A3562" s="7">
        <v>3561</v>
      </c>
      <c r="B3562" s="1">
        <v>43607</v>
      </c>
      <c r="C3562" s="6" t="s">
        <v>13</v>
      </c>
      <c r="D3562" s="6" t="s">
        <v>32</v>
      </c>
      <c r="E3562" s="6">
        <v>1</v>
      </c>
      <c r="F3562" s="6">
        <v>3</v>
      </c>
      <c r="G3562" s="6" t="s">
        <v>41</v>
      </c>
      <c r="H3562" s="6" t="s">
        <v>27</v>
      </c>
      <c r="I3562" s="6">
        <f>TabJogos[[#This Row],[PontosTime1]]-TabJogos[[#This Row],[PontosTime2]]</f>
        <v>-2</v>
      </c>
    </row>
    <row r="3563" spans="1:9" ht="15" customHeight="1" x14ac:dyDescent="0.25">
      <c r="A3563" s="7">
        <v>3562</v>
      </c>
      <c r="B3563" s="1">
        <v>43607</v>
      </c>
      <c r="C3563" s="6" t="s">
        <v>9</v>
      </c>
      <c r="D3563" s="6" t="s">
        <v>41</v>
      </c>
      <c r="E3563" s="6">
        <v>3</v>
      </c>
      <c r="F3563" s="6">
        <v>0</v>
      </c>
      <c r="G3563" s="6" t="s">
        <v>32</v>
      </c>
      <c r="H3563" s="6" t="s">
        <v>27</v>
      </c>
      <c r="I3563" s="6">
        <f>TabJogos[[#This Row],[PontosTime1]]-TabJogos[[#This Row],[PontosTime2]]</f>
        <v>3</v>
      </c>
    </row>
    <row r="3564" spans="1:9" ht="15" customHeight="1" x14ac:dyDescent="0.25">
      <c r="A3564" s="7">
        <v>3563</v>
      </c>
      <c r="B3564" s="1">
        <v>43607</v>
      </c>
      <c r="C3564" s="6" t="s">
        <v>9</v>
      </c>
      <c r="D3564" s="6" t="s">
        <v>32</v>
      </c>
      <c r="E3564" s="6">
        <v>1</v>
      </c>
      <c r="F3564" s="6">
        <v>6</v>
      </c>
      <c r="G3564" s="6" t="s">
        <v>13</v>
      </c>
      <c r="H3564" s="6" t="s">
        <v>41</v>
      </c>
      <c r="I3564" s="6">
        <f>TabJogos[[#This Row],[PontosTime1]]-TabJogos[[#This Row],[PontosTime2]]</f>
        <v>-5</v>
      </c>
    </row>
    <row r="3565" spans="1:9" ht="15" customHeight="1" x14ac:dyDescent="0.25">
      <c r="A3565" s="7">
        <v>3564</v>
      </c>
      <c r="B3565" s="1">
        <v>43608</v>
      </c>
      <c r="C3565" s="6" t="s">
        <v>10</v>
      </c>
      <c r="D3565" s="6" t="s">
        <v>9</v>
      </c>
      <c r="E3565" s="6">
        <v>3</v>
      </c>
      <c r="F3565" s="6">
        <v>2</v>
      </c>
      <c r="G3565" s="6" t="s">
        <v>18</v>
      </c>
      <c r="H3565" s="6" t="s">
        <v>13</v>
      </c>
      <c r="I3565" s="6">
        <f>TabJogos[[#This Row],[PontosTime1]]-TabJogos[[#This Row],[PontosTime2]]</f>
        <v>1</v>
      </c>
    </row>
    <row r="3566" spans="1:9" ht="15" customHeight="1" x14ac:dyDescent="0.25">
      <c r="A3566" s="7">
        <v>3565</v>
      </c>
      <c r="B3566" s="1">
        <v>43608</v>
      </c>
      <c r="C3566" s="6" t="s">
        <v>10</v>
      </c>
      <c r="D3566" s="6" t="s">
        <v>12</v>
      </c>
      <c r="E3566" s="6">
        <v>3</v>
      </c>
      <c r="F3566" s="6">
        <v>1</v>
      </c>
      <c r="G3566" s="6" t="s">
        <v>9</v>
      </c>
      <c r="H3566" s="6" t="s">
        <v>18</v>
      </c>
      <c r="I3566" s="6">
        <f>TabJogos[[#This Row],[PontosTime1]]-TabJogos[[#This Row],[PontosTime2]]</f>
        <v>2</v>
      </c>
    </row>
    <row r="3567" spans="1:9" ht="15" customHeight="1" x14ac:dyDescent="0.25">
      <c r="A3567" s="7">
        <v>3566</v>
      </c>
      <c r="B3567" s="1">
        <v>43608</v>
      </c>
      <c r="C3567" s="6" t="s">
        <v>10</v>
      </c>
      <c r="D3567" s="6" t="s">
        <v>13</v>
      </c>
      <c r="E3567" s="6">
        <v>3</v>
      </c>
      <c r="F3567" s="6">
        <v>2</v>
      </c>
      <c r="G3567" s="6" t="s">
        <v>12</v>
      </c>
      <c r="H3567" s="6" t="s">
        <v>18</v>
      </c>
      <c r="I3567" s="6">
        <f>TabJogos[[#This Row],[PontosTime1]]-TabJogos[[#This Row],[PontosTime2]]</f>
        <v>1</v>
      </c>
    </row>
    <row r="3568" spans="1:9" ht="15" customHeight="1" x14ac:dyDescent="0.25">
      <c r="A3568" s="7">
        <v>3567</v>
      </c>
      <c r="B3568" s="1">
        <v>43608</v>
      </c>
      <c r="C3568" s="6" t="s">
        <v>10</v>
      </c>
      <c r="D3568" s="6" t="s">
        <v>41</v>
      </c>
      <c r="E3568" s="6">
        <v>3</v>
      </c>
      <c r="F3568" s="6">
        <v>1</v>
      </c>
      <c r="G3568" s="6" t="s">
        <v>9</v>
      </c>
      <c r="H3568" s="6" t="s">
        <v>13</v>
      </c>
      <c r="I3568" s="6">
        <f>TabJogos[[#This Row],[PontosTime1]]-TabJogos[[#This Row],[PontosTime2]]</f>
        <v>2</v>
      </c>
    </row>
    <row r="3569" spans="1:9" ht="15" customHeight="1" x14ac:dyDescent="0.25">
      <c r="A3569" s="7">
        <v>3568</v>
      </c>
      <c r="B3569" s="1">
        <v>43608</v>
      </c>
      <c r="C3569" s="6" t="s">
        <v>10</v>
      </c>
      <c r="D3569" s="6" t="s">
        <v>18</v>
      </c>
      <c r="E3569" s="6">
        <v>3</v>
      </c>
      <c r="F3569" s="6">
        <v>0</v>
      </c>
      <c r="G3569" s="6" t="s">
        <v>41</v>
      </c>
      <c r="H3569" s="6" t="s">
        <v>12</v>
      </c>
      <c r="I3569" s="6">
        <f>TabJogos[[#This Row],[PontosTime1]]-TabJogos[[#This Row],[PontosTime2]]</f>
        <v>3</v>
      </c>
    </row>
    <row r="3570" spans="1:9" ht="15" customHeight="1" x14ac:dyDescent="0.25">
      <c r="A3570" s="7">
        <v>3569</v>
      </c>
      <c r="B3570" s="1">
        <v>43608</v>
      </c>
      <c r="C3570" s="6" t="s">
        <v>9</v>
      </c>
      <c r="D3570" s="6" t="s">
        <v>41</v>
      </c>
      <c r="E3570" s="6">
        <v>2</v>
      </c>
      <c r="F3570" s="6">
        <v>3</v>
      </c>
      <c r="G3570" s="6" t="s">
        <v>13</v>
      </c>
      <c r="H3570" s="6" t="s">
        <v>18</v>
      </c>
      <c r="I3570" s="6">
        <f>TabJogos[[#This Row],[PontosTime1]]-TabJogos[[#This Row],[PontosTime2]]</f>
        <v>-1</v>
      </c>
    </row>
    <row r="3571" spans="1:9" ht="15" customHeight="1" x14ac:dyDescent="0.25">
      <c r="A3571" s="7">
        <v>3570</v>
      </c>
      <c r="B3571" s="1">
        <v>43608</v>
      </c>
      <c r="C3571" s="6" t="s">
        <v>9</v>
      </c>
      <c r="D3571" s="6" t="s">
        <v>18</v>
      </c>
      <c r="E3571" s="6">
        <v>1</v>
      </c>
      <c r="F3571" s="6">
        <v>3</v>
      </c>
      <c r="G3571" s="6" t="s">
        <v>13</v>
      </c>
      <c r="H3571" s="6" t="s">
        <v>41</v>
      </c>
      <c r="I3571" s="6">
        <f>TabJogos[[#This Row],[PontosTime1]]-TabJogos[[#This Row],[PontosTime2]]</f>
        <v>-2</v>
      </c>
    </row>
    <row r="3572" spans="1:9" ht="15" customHeight="1" x14ac:dyDescent="0.25">
      <c r="A3572" s="7">
        <v>3571</v>
      </c>
      <c r="B3572" s="1">
        <v>43608</v>
      </c>
      <c r="C3572" s="6" t="s">
        <v>9</v>
      </c>
      <c r="D3572" s="6" t="s">
        <v>13</v>
      </c>
      <c r="E3572" s="6">
        <v>3</v>
      </c>
      <c r="F3572" s="6">
        <v>0</v>
      </c>
      <c r="G3572" s="6" t="s">
        <v>18</v>
      </c>
      <c r="H3572" s="6" t="s">
        <v>41</v>
      </c>
      <c r="I3572" s="6">
        <f>TabJogos[[#This Row],[PontosTime1]]-TabJogos[[#This Row],[PontosTime2]]</f>
        <v>3</v>
      </c>
    </row>
    <row r="3573" spans="1:9" ht="15" customHeight="1" x14ac:dyDescent="0.25">
      <c r="A3573" s="7">
        <v>3572</v>
      </c>
      <c r="B3573" s="1">
        <v>43608</v>
      </c>
      <c r="C3573" s="6" t="s">
        <v>9</v>
      </c>
      <c r="D3573" s="6" t="s">
        <v>32</v>
      </c>
      <c r="E3573" s="6">
        <v>0</v>
      </c>
      <c r="F3573" s="6">
        <v>3</v>
      </c>
      <c r="G3573" s="6" t="s">
        <v>18</v>
      </c>
      <c r="H3573" s="6" t="s">
        <v>13</v>
      </c>
      <c r="I3573" s="6">
        <f>TabJogos[[#This Row],[PontosTime1]]-TabJogos[[#This Row],[PontosTime2]]</f>
        <v>-3</v>
      </c>
    </row>
    <row r="3574" spans="1:9" ht="15" customHeight="1" x14ac:dyDescent="0.25">
      <c r="A3574" s="7">
        <v>3573</v>
      </c>
      <c r="B3574" s="1">
        <v>43608</v>
      </c>
      <c r="C3574" s="6" t="s">
        <v>13</v>
      </c>
      <c r="D3574" s="6" t="s">
        <v>41</v>
      </c>
      <c r="E3574" s="6">
        <v>0</v>
      </c>
      <c r="F3574" s="6">
        <v>3</v>
      </c>
      <c r="G3574" s="6" t="s">
        <v>32</v>
      </c>
      <c r="H3574" s="6" t="s">
        <v>18</v>
      </c>
      <c r="I3574" s="6">
        <f>TabJogos[[#This Row],[PontosTime1]]-TabJogos[[#This Row],[PontosTime2]]</f>
        <v>-3</v>
      </c>
    </row>
    <row r="3575" spans="1:9" ht="15" customHeight="1" x14ac:dyDescent="0.25">
      <c r="A3575" s="7">
        <v>3574</v>
      </c>
      <c r="B3575" s="1">
        <v>43608</v>
      </c>
      <c r="C3575" s="6" t="s">
        <v>41</v>
      </c>
      <c r="D3575" s="6" t="s">
        <v>32</v>
      </c>
      <c r="E3575" s="6">
        <v>3</v>
      </c>
      <c r="F3575" s="6">
        <v>1</v>
      </c>
      <c r="G3575" s="6" t="s">
        <v>18</v>
      </c>
      <c r="H3575" s="6" t="s">
        <v>9</v>
      </c>
      <c r="I3575" s="6">
        <f>TabJogos[[#This Row],[PontosTime1]]-TabJogos[[#This Row],[PontosTime2]]</f>
        <v>2</v>
      </c>
    </row>
    <row r="3576" spans="1:9" ht="15" customHeight="1" x14ac:dyDescent="0.25">
      <c r="A3576" s="7">
        <v>3575</v>
      </c>
      <c r="B3576" s="1">
        <v>43608</v>
      </c>
      <c r="C3576" s="6" t="s">
        <v>27</v>
      </c>
      <c r="D3576" s="6" t="s">
        <v>32</v>
      </c>
      <c r="E3576" s="6">
        <v>4</v>
      </c>
      <c r="F3576" s="6">
        <v>1</v>
      </c>
      <c r="G3576" s="6" t="s">
        <v>13</v>
      </c>
      <c r="H3576" s="6" t="s">
        <v>41</v>
      </c>
      <c r="I3576" s="6">
        <f>TabJogos[[#This Row],[PontosTime1]]-TabJogos[[#This Row],[PontosTime2]]</f>
        <v>3</v>
      </c>
    </row>
    <row r="3577" spans="1:9" ht="15" customHeight="1" x14ac:dyDescent="0.25">
      <c r="A3577" s="7">
        <v>3576</v>
      </c>
      <c r="B3577" s="1">
        <v>43608</v>
      </c>
      <c r="C3577" s="6" t="s">
        <v>32</v>
      </c>
      <c r="D3577" s="6" t="s">
        <v>9</v>
      </c>
      <c r="E3577" s="6">
        <v>3</v>
      </c>
      <c r="F3577" s="6">
        <v>1</v>
      </c>
      <c r="G3577" s="6" t="s">
        <v>27</v>
      </c>
      <c r="H3577" s="6" t="s">
        <v>18</v>
      </c>
      <c r="I3577" s="6">
        <f>TabJogos[[#This Row],[PontosTime1]]-TabJogos[[#This Row],[PontosTime2]]</f>
        <v>2</v>
      </c>
    </row>
    <row r="3578" spans="1:9" ht="15" customHeight="1" x14ac:dyDescent="0.25">
      <c r="A3578" s="7">
        <v>3577</v>
      </c>
      <c r="B3578" s="1">
        <v>43608</v>
      </c>
      <c r="C3578" s="6" t="s">
        <v>27</v>
      </c>
      <c r="D3578" s="6" t="s">
        <v>13</v>
      </c>
      <c r="E3578" s="6">
        <v>1</v>
      </c>
      <c r="F3578" s="6">
        <v>3</v>
      </c>
      <c r="G3578" s="6" t="s">
        <v>18</v>
      </c>
      <c r="H3578" s="6" t="s">
        <v>9</v>
      </c>
      <c r="I3578" s="6">
        <f>TabJogos[[#This Row],[PontosTime1]]-TabJogos[[#This Row],[PontosTime2]]</f>
        <v>-2</v>
      </c>
    </row>
    <row r="3579" spans="1:9" ht="15" customHeight="1" x14ac:dyDescent="0.25">
      <c r="A3579" s="7">
        <v>3578</v>
      </c>
      <c r="B3579" s="1">
        <v>43609</v>
      </c>
      <c r="C3579" s="6" t="s">
        <v>10</v>
      </c>
      <c r="D3579" s="6" t="s">
        <v>12</v>
      </c>
      <c r="E3579" s="6">
        <v>3</v>
      </c>
      <c r="F3579" s="6">
        <v>1</v>
      </c>
      <c r="G3579" s="6" t="s">
        <v>13</v>
      </c>
      <c r="H3579" s="6" t="s">
        <v>18</v>
      </c>
      <c r="I3579" s="6">
        <f>TabJogos[[#This Row],[PontosTime1]]-TabJogos[[#This Row],[PontosTime2]]</f>
        <v>2</v>
      </c>
    </row>
    <row r="3580" spans="1:9" ht="15" customHeight="1" x14ac:dyDescent="0.25">
      <c r="A3580" s="7">
        <v>3579</v>
      </c>
      <c r="B3580" s="1">
        <v>43609</v>
      </c>
      <c r="C3580" s="6" t="s">
        <v>10</v>
      </c>
      <c r="D3580" s="6" t="s">
        <v>13</v>
      </c>
      <c r="E3580" s="6">
        <v>2</v>
      </c>
      <c r="F3580" s="6">
        <v>3</v>
      </c>
      <c r="G3580" s="6" t="s">
        <v>12</v>
      </c>
      <c r="H3580" s="6" t="s">
        <v>18</v>
      </c>
      <c r="I3580" s="6">
        <f>TabJogos[[#This Row],[PontosTime1]]-TabJogos[[#This Row],[PontosTime2]]</f>
        <v>-1</v>
      </c>
    </row>
    <row r="3581" spans="1:9" ht="15" customHeight="1" x14ac:dyDescent="0.25">
      <c r="A3581" s="7">
        <v>3580</v>
      </c>
      <c r="B3581" s="1">
        <v>43609</v>
      </c>
      <c r="C3581" s="6" t="s">
        <v>10</v>
      </c>
      <c r="D3581" s="6" t="s">
        <v>18</v>
      </c>
      <c r="E3581" s="6">
        <v>1</v>
      </c>
      <c r="F3581" s="6">
        <v>3</v>
      </c>
      <c r="G3581" s="6" t="s">
        <v>13</v>
      </c>
      <c r="H3581" s="6" t="s">
        <v>12</v>
      </c>
      <c r="I3581" s="6">
        <f>TabJogos[[#This Row],[PontosTime1]]-TabJogos[[#This Row],[PontosTime2]]</f>
        <v>-2</v>
      </c>
    </row>
    <row r="3582" spans="1:9" ht="15" customHeight="1" x14ac:dyDescent="0.25">
      <c r="A3582" s="7">
        <v>3581</v>
      </c>
      <c r="B3582" s="1">
        <v>43609</v>
      </c>
      <c r="C3582" s="6" t="s">
        <v>10</v>
      </c>
      <c r="D3582" s="6" t="s">
        <v>13</v>
      </c>
      <c r="E3582" s="6">
        <v>3</v>
      </c>
      <c r="F3582" s="6">
        <v>2</v>
      </c>
      <c r="G3582" s="6" t="s">
        <v>12</v>
      </c>
      <c r="H3582" s="6" t="s">
        <v>41</v>
      </c>
      <c r="I3582" s="6">
        <f>TabJogos[[#This Row],[PontosTime1]]-TabJogos[[#This Row],[PontosTime2]]</f>
        <v>1</v>
      </c>
    </row>
    <row r="3583" spans="1:9" ht="15" customHeight="1" x14ac:dyDescent="0.25">
      <c r="A3583" s="7">
        <v>3582</v>
      </c>
      <c r="B3583" s="1">
        <v>43609</v>
      </c>
      <c r="C3583" s="6" t="s">
        <v>10</v>
      </c>
      <c r="D3583" s="6" t="s">
        <v>32</v>
      </c>
      <c r="E3583" s="6">
        <v>3</v>
      </c>
      <c r="F3583" s="6">
        <v>0</v>
      </c>
      <c r="G3583" s="6" t="s">
        <v>18</v>
      </c>
      <c r="H3583" s="6" t="s">
        <v>13</v>
      </c>
      <c r="I3583" s="6">
        <f>TabJogos[[#This Row],[PontosTime1]]-TabJogos[[#This Row],[PontosTime2]]</f>
        <v>3</v>
      </c>
    </row>
    <row r="3584" spans="1:9" ht="15" customHeight="1" x14ac:dyDescent="0.25">
      <c r="A3584" s="7">
        <v>3583</v>
      </c>
      <c r="B3584" s="1">
        <v>43609</v>
      </c>
      <c r="C3584" s="6" t="s">
        <v>10</v>
      </c>
      <c r="D3584" s="6" t="s">
        <v>41</v>
      </c>
      <c r="E3584" s="6">
        <v>1</v>
      </c>
      <c r="F3584" s="6">
        <v>5</v>
      </c>
      <c r="G3584" s="6" t="s">
        <v>12</v>
      </c>
      <c r="H3584" s="6" t="s">
        <v>32</v>
      </c>
      <c r="I3584" s="6">
        <f>TabJogos[[#This Row],[PontosTime1]]-TabJogos[[#This Row],[PontosTime2]]</f>
        <v>-4</v>
      </c>
    </row>
    <row r="3585" spans="1:9" ht="15" customHeight="1" x14ac:dyDescent="0.25">
      <c r="A3585" s="7">
        <v>3584</v>
      </c>
      <c r="B3585" s="1">
        <v>43609</v>
      </c>
      <c r="C3585" s="6" t="s">
        <v>32</v>
      </c>
      <c r="D3585" s="6" t="s">
        <v>18</v>
      </c>
      <c r="E3585" s="6">
        <v>2</v>
      </c>
      <c r="F3585" s="6">
        <v>4</v>
      </c>
      <c r="G3585" s="6" t="s">
        <v>12</v>
      </c>
      <c r="H3585" s="6" t="s">
        <v>13</v>
      </c>
      <c r="I3585" s="6">
        <f>TabJogos[[#This Row],[PontosTime1]]-TabJogos[[#This Row],[PontosTime2]]</f>
        <v>-2</v>
      </c>
    </row>
    <row r="3586" spans="1:9" ht="15" customHeight="1" x14ac:dyDescent="0.25">
      <c r="A3586" s="7">
        <v>3585</v>
      </c>
      <c r="B3586" s="1">
        <v>43609</v>
      </c>
      <c r="C3586" s="6" t="s">
        <v>13</v>
      </c>
      <c r="D3586" s="6" t="s">
        <v>27</v>
      </c>
      <c r="E3586" s="6">
        <v>3</v>
      </c>
      <c r="F3586" s="6">
        <v>2</v>
      </c>
      <c r="G3586" s="6" t="s">
        <v>32</v>
      </c>
      <c r="H3586" s="6" t="s">
        <v>41</v>
      </c>
      <c r="I3586" s="6">
        <f>TabJogos[[#This Row],[PontosTime1]]-TabJogos[[#This Row],[PontosTime2]]</f>
        <v>1</v>
      </c>
    </row>
    <row r="3587" spans="1:9" ht="15" customHeight="1" x14ac:dyDescent="0.25">
      <c r="A3587" s="7">
        <v>3586</v>
      </c>
      <c r="B3587" s="1">
        <v>43609</v>
      </c>
      <c r="C3587" s="6" t="s">
        <v>32</v>
      </c>
      <c r="D3587" s="6" t="s">
        <v>27</v>
      </c>
      <c r="E3587" s="6">
        <v>4</v>
      </c>
      <c r="F3587" s="6">
        <v>1</v>
      </c>
      <c r="G3587" s="6" t="s">
        <v>41</v>
      </c>
      <c r="H3587" s="6" t="s">
        <v>18</v>
      </c>
      <c r="I3587" s="6">
        <f>TabJogos[[#This Row],[PontosTime1]]-TabJogos[[#This Row],[PontosTime2]]</f>
        <v>3</v>
      </c>
    </row>
    <row r="3588" spans="1:9" ht="15" customHeight="1" x14ac:dyDescent="0.25">
      <c r="A3588" s="7">
        <v>3587</v>
      </c>
      <c r="B3588" s="1">
        <v>43609</v>
      </c>
      <c r="C3588" s="6" t="s">
        <v>27</v>
      </c>
      <c r="D3588" s="6" t="s">
        <v>18</v>
      </c>
      <c r="E3588" s="6">
        <v>3</v>
      </c>
      <c r="F3588" s="6">
        <v>0</v>
      </c>
      <c r="G3588" s="6" t="s">
        <v>32</v>
      </c>
      <c r="H3588" s="6" t="s">
        <v>13</v>
      </c>
      <c r="I3588" s="6">
        <f>TabJogos[[#This Row],[PontosTime1]]-TabJogos[[#This Row],[PontosTime2]]</f>
        <v>3</v>
      </c>
    </row>
    <row r="3589" spans="1:9" ht="15" customHeight="1" x14ac:dyDescent="0.25">
      <c r="A3589" s="7">
        <v>3588</v>
      </c>
      <c r="B3589" s="1">
        <v>43609</v>
      </c>
      <c r="C3589" s="6" t="s">
        <v>32</v>
      </c>
      <c r="D3589" s="6" t="s">
        <v>18</v>
      </c>
      <c r="E3589" s="6">
        <v>4</v>
      </c>
      <c r="F3589" s="6">
        <v>1</v>
      </c>
      <c r="G3589" s="6" t="s">
        <v>27</v>
      </c>
      <c r="H3589" s="6" t="s">
        <v>13</v>
      </c>
      <c r="I3589" s="6">
        <f>TabJogos[[#This Row],[PontosTime1]]-TabJogos[[#This Row],[PontosTime2]]</f>
        <v>3</v>
      </c>
    </row>
    <row r="3590" spans="1:9" ht="15" customHeight="1" x14ac:dyDescent="0.25">
      <c r="A3590" s="7">
        <v>3589</v>
      </c>
      <c r="B3590" s="1">
        <v>43612</v>
      </c>
      <c r="C3590" s="6" t="s">
        <v>32</v>
      </c>
      <c r="D3590" s="6" t="s">
        <v>11</v>
      </c>
      <c r="E3590" s="6">
        <v>3</v>
      </c>
      <c r="F3590" s="6">
        <v>2</v>
      </c>
      <c r="G3590" s="6" t="s">
        <v>13</v>
      </c>
      <c r="H3590" s="6" t="s">
        <v>18</v>
      </c>
      <c r="I3590" s="6">
        <f>TabJogos[[#This Row],[PontosTime1]]-TabJogos[[#This Row],[PontosTime2]]</f>
        <v>1</v>
      </c>
    </row>
    <row r="3591" spans="1:9" ht="15" customHeight="1" x14ac:dyDescent="0.25">
      <c r="A3591" s="7">
        <v>3590</v>
      </c>
      <c r="B3591" s="1">
        <v>43612</v>
      </c>
      <c r="C3591" s="6" t="s">
        <v>32</v>
      </c>
      <c r="D3591" s="6" t="s">
        <v>18</v>
      </c>
      <c r="E3591" s="6">
        <v>2</v>
      </c>
      <c r="F3591" s="6">
        <v>3</v>
      </c>
      <c r="G3591" s="6" t="s">
        <v>13</v>
      </c>
      <c r="H3591" s="6" t="s">
        <v>11</v>
      </c>
      <c r="I3591" s="6">
        <f>TabJogos[[#This Row],[PontosTime1]]-TabJogos[[#This Row],[PontosTime2]]</f>
        <v>-1</v>
      </c>
    </row>
    <row r="3592" spans="1:9" ht="15" customHeight="1" x14ac:dyDescent="0.25">
      <c r="A3592" s="7">
        <v>3591</v>
      </c>
      <c r="B3592" s="1">
        <v>43612</v>
      </c>
      <c r="C3592" s="6" t="s">
        <v>13</v>
      </c>
      <c r="D3592" s="6" t="s">
        <v>32</v>
      </c>
      <c r="E3592" s="6">
        <v>3</v>
      </c>
      <c r="F3592" s="6">
        <v>1</v>
      </c>
      <c r="G3592" s="6" t="s">
        <v>11</v>
      </c>
      <c r="H3592" s="6" t="s">
        <v>41</v>
      </c>
      <c r="I3592" s="6">
        <f>TabJogos[[#This Row],[PontosTime1]]-TabJogos[[#This Row],[PontosTime2]]</f>
        <v>2</v>
      </c>
    </row>
    <row r="3593" spans="1:9" ht="15" customHeight="1" x14ac:dyDescent="0.25">
      <c r="A3593" s="7">
        <v>3592</v>
      </c>
      <c r="B3593" s="1">
        <v>43612</v>
      </c>
      <c r="C3593" s="6" t="s">
        <v>41</v>
      </c>
      <c r="D3593" s="6" t="s">
        <v>32</v>
      </c>
      <c r="E3593" s="6">
        <v>3</v>
      </c>
      <c r="F3593" s="6">
        <v>2</v>
      </c>
      <c r="G3593" s="6" t="s">
        <v>18</v>
      </c>
      <c r="H3593" s="6" t="s">
        <v>13</v>
      </c>
      <c r="I3593" s="6">
        <f>TabJogos[[#This Row],[PontosTime1]]-TabJogos[[#This Row],[PontosTime2]]</f>
        <v>1</v>
      </c>
    </row>
    <row r="3594" spans="1:9" ht="15" customHeight="1" x14ac:dyDescent="0.25">
      <c r="A3594" s="7">
        <v>3593</v>
      </c>
      <c r="B3594" s="1">
        <v>43612</v>
      </c>
      <c r="C3594" s="6" t="s">
        <v>32</v>
      </c>
      <c r="D3594" s="6" t="s">
        <v>11</v>
      </c>
      <c r="E3594" s="6">
        <v>3</v>
      </c>
      <c r="F3594" s="6">
        <v>0</v>
      </c>
      <c r="G3594" s="6" t="s">
        <v>41</v>
      </c>
      <c r="H3594" s="6" t="s">
        <v>18</v>
      </c>
      <c r="I3594" s="6">
        <f>TabJogos[[#This Row],[PontosTime1]]-TabJogos[[#This Row],[PontosTime2]]</f>
        <v>3</v>
      </c>
    </row>
    <row r="3595" spans="1:9" ht="15" customHeight="1" x14ac:dyDescent="0.25">
      <c r="A3595" s="7">
        <v>3594</v>
      </c>
      <c r="B3595" s="1">
        <v>43612</v>
      </c>
      <c r="C3595" s="6" t="s">
        <v>32</v>
      </c>
      <c r="D3595" s="6" t="s">
        <v>13</v>
      </c>
      <c r="E3595" s="6">
        <v>3</v>
      </c>
      <c r="F3595" s="6">
        <v>2</v>
      </c>
      <c r="G3595" s="6" t="s">
        <v>11</v>
      </c>
      <c r="H3595" s="6" t="s">
        <v>41</v>
      </c>
      <c r="I3595" s="6">
        <f>TabJogos[[#This Row],[PontosTime1]]-TabJogos[[#This Row],[PontosTime2]]</f>
        <v>1</v>
      </c>
    </row>
    <row r="3596" spans="1:9" ht="15" customHeight="1" x14ac:dyDescent="0.25">
      <c r="A3596" s="7">
        <v>3595</v>
      </c>
      <c r="B3596" s="1">
        <v>43612</v>
      </c>
      <c r="C3596" s="6" t="s">
        <v>32</v>
      </c>
      <c r="D3596" s="6" t="s">
        <v>18</v>
      </c>
      <c r="E3596" s="6">
        <v>4</v>
      </c>
      <c r="F3596" s="6">
        <v>1</v>
      </c>
      <c r="G3596" s="6" t="s">
        <v>27</v>
      </c>
      <c r="H3596" s="6" t="s">
        <v>13</v>
      </c>
      <c r="I3596" s="6">
        <f>TabJogos[[#This Row],[PontosTime1]]-TabJogos[[#This Row],[PontosTime2]]</f>
        <v>3</v>
      </c>
    </row>
    <row r="3597" spans="1:9" ht="15" customHeight="1" x14ac:dyDescent="0.25">
      <c r="A3597" s="7">
        <v>3596</v>
      </c>
      <c r="B3597" s="1">
        <v>43612</v>
      </c>
      <c r="C3597" s="6" t="s">
        <v>32</v>
      </c>
      <c r="D3597" s="6" t="s">
        <v>41</v>
      </c>
      <c r="E3597" s="6">
        <v>3</v>
      </c>
      <c r="F3597" s="6">
        <v>1</v>
      </c>
      <c r="G3597" s="6" t="s">
        <v>18</v>
      </c>
      <c r="H3597" s="6" t="s">
        <v>11</v>
      </c>
      <c r="I3597" s="6">
        <f>TabJogos[[#This Row],[PontosTime1]]-TabJogos[[#This Row],[PontosTime2]]</f>
        <v>2</v>
      </c>
    </row>
    <row r="3598" spans="1:9" ht="15" customHeight="1" x14ac:dyDescent="0.25">
      <c r="A3598" s="7">
        <v>3597</v>
      </c>
      <c r="B3598" s="1">
        <v>43612</v>
      </c>
      <c r="C3598" s="6" t="s">
        <v>27</v>
      </c>
      <c r="D3598" s="6" t="s">
        <v>32</v>
      </c>
      <c r="E3598" s="6">
        <v>3</v>
      </c>
      <c r="F3598" s="6">
        <v>2</v>
      </c>
      <c r="G3598" s="6" t="s">
        <v>13</v>
      </c>
      <c r="H3598" s="6" t="s">
        <v>41</v>
      </c>
      <c r="I3598" s="6">
        <f>TabJogos[[#This Row],[PontosTime1]]-TabJogos[[#This Row],[PontosTime2]]</f>
        <v>1</v>
      </c>
    </row>
    <row r="3599" spans="1:9" ht="15" customHeight="1" x14ac:dyDescent="0.25">
      <c r="A3599" s="7">
        <v>3598</v>
      </c>
      <c r="B3599" s="1">
        <v>43612</v>
      </c>
      <c r="C3599" s="6" t="s">
        <v>11</v>
      </c>
      <c r="D3599" s="6" t="s">
        <v>32</v>
      </c>
      <c r="E3599" s="6">
        <v>0</v>
      </c>
      <c r="F3599" s="6">
        <v>3</v>
      </c>
      <c r="G3599" s="6" t="s">
        <v>27</v>
      </c>
      <c r="H3599" s="6" t="s">
        <v>18</v>
      </c>
      <c r="I3599" s="6">
        <f>TabJogos[[#This Row],[PontosTime1]]-TabJogos[[#This Row],[PontosTime2]]</f>
        <v>-3</v>
      </c>
    </row>
    <row r="3600" spans="1:9" ht="15" customHeight="1" x14ac:dyDescent="0.25">
      <c r="A3600" s="7">
        <v>3599</v>
      </c>
      <c r="B3600" s="1">
        <v>43612</v>
      </c>
      <c r="C3600" s="6" t="s">
        <v>27</v>
      </c>
      <c r="D3600" s="6" t="s">
        <v>11</v>
      </c>
      <c r="E3600" s="6">
        <v>3</v>
      </c>
      <c r="F3600" s="6">
        <v>0</v>
      </c>
      <c r="G3600" s="6" t="s">
        <v>13</v>
      </c>
      <c r="H3600" s="6" t="s">
        <v>18</v>
      </c>
      <c r="I3600" s="6">
        <f>TabJogos[[#This Row],[PontosTime1]]-TabJogos[[#This Row],[PontosTime2]]</f>
        <v>3</v>
      </c>
    </row>
    <row r="3601" spans="1:9" ht="15" customHeight="1" x14ac:dyDescent="0.25">
      <c r="A3601" s="7">
        <v>3600</v>
      </c>
      <c r="B3601" s="1">
        <v>43612</v>
      </c>
      <c r="C3601" s="6" t="s">
        <v>27</v>
      </c>
      <c r="D3601" s="6" t="s">
        <v>13</v>
      </c>
      <c r="E3601" s="6">
        <v>4</v>
      </c>
      <c r="F3601" s="6">
        <v>0</v>
      </c>
      <c r="G3601" s="6" t="s">
        <v>11</v>
      </c>
      <c r="H3601" s="6" t="s">
        <v>18</v>
      </c>
      <c r="I3601" s="6">
        <f>TabJogos[[#This Row],[PontosTime1]]-TabJogos[[#This Row],[PontosTime2]]</f>
        <v>4</v>
      </c>
    </row>
    <row r="3602" spans="1:9" ht="15" customHeight="1" x14ac:dyDescent="0.25">
      <c r="A3602" s="7">
        <v>3601</v>
      </c>
      <c r="B3602" s="1">
        <v>43613</v>
      </c>
      <c r="C3602" s="6" t="s">
        <v>11</v>
      </c>
      <c r="D3602" s="6" t="s">
        <v>13</v>
      </c>
      <c r="E3602" s="6">
        <v>2</v>
      </c>
      <c r="F3602" s="6">
        <v>3</v>
      </c>
      <c r="G3602" s="6" t="s">
        <v>18</v>
      </c>
      <c r="H3602" s="6" t="s">
        <v>12</v>
      </c>
      <c r="I3602" s="6">
        <f>TabJogos[[#This Row],[PontosTime1]]-TabJogos[[#This Row],[PontosTime2]]</f>
        <v>-1</v>
      </c>
    </row>
    <row r="3603" spans="1:9" ht="15" customHeight="1" x14ac:dyDescent="0.25">
      <c r="A3603" s="7">
        <v>3602</v>
      </c>
      <c r="B3603" s="1">
        <v>43613</v>
      </c>
      <c r="C3603" s="6" t="s">
        <v>27</v>
      </c>
      <c r="D3603" s="6" t="s">
        <v>12</v>
      </c>
      <c r="E3603" s="6">
        <v>3</v>
      </c>
      <c r="F3603" s="6">
        <v>0</v>
      </c>
      <c r="G3603" s="6" t="s">
        <v>18</v>
      </c>
      <c r="H3603" s="6" t="s">
        <v>41</v>
      </c>
      <c r="I3603" s="6">
        <f>TabJogos[[#This Row],[PontosTime1]]-TabJogos[[#This Row],[PontosTime2]]</f>
        <v>3</v>
      </c>
    </row>
    <row r="3604" spans="1:9" ht="15" customHeight="1" x14ac:dyDescent="0.25">
      <c r="A3604" s="7">
        <v>3603</v>
      </c>
      <c r="B3604" s="1">
        <v>43613</v>
      </c>
      <c r="C3604" s="6" t="s">
        <v>11</v>
      </c>
      <c r="D3604" s="6" t="s">
        <v>27</v>
      </c>
      <c r="E3604" s="6">
        <v>0</v>
      </c>
      <c r="F3604" s="6">
        <v>3</v>
      </c>
      <c r="G3604" s="6" t="s">
        <v>12</v>
      </c>
      <c r="H3604" s="6" t="s">
        <v>13</v>
      </c>
      <c r="I3604" s="6">
        <f>TabJogos[[#This Row],[PontosTime1]]-TabJogos[[#This Row],[PontosTime2]]</f>
        <v>-3</v>
      </c>
    </row>
    <row r="3605" spans="1:9" ht="15" customHeight="1" x14ac:dyDescent="0.25">
      <c r="A3605" s="7">
        <v>3604</v>
      </c>
      <c r="B3605" s="1">
        <v>43613</v>
      </c>
      <c r="C3605" s="6" t="s">
        <v>12</v>
      </c>
      <c r="D3605" s="6" t="s">
        <v>41</v>
      </c>
      <c r="E3605" s="6">
        <v>3</v>
      </c>
      <c r="F3605" s="6">
        <v>1</v>
      </c>
      <c r="G3605" s="6" t="s">
        <v>13</v>
      </c>
      <c r="H3605" s="6" t="s">
        <v>18</v>
      </c>
      <c r="I3605" s="6">
        <f>TabJogos[[#This Row],[PontosTime1]]-TabJogos[[#This Row],[PontosTime2]]</f>
        <v>2</v>
      </c>
    </row>
    <row r="3606" spans="1:9" ht="15" customHeight="1" x14ac:dyDescent="0.25">
      <c r="A3606" s="7">
        <v>3605</v>
      </c>
      <c r="B3606" s="1">
        <v>43613</v>
      </c>
      <c r="C3606" s="6" t="s">
        <v>11</v>
      </c>
      <c r="D3606" s="6" t="s">
        <v>18</v>
      </c>
      <c r="E3606" s="6">
        <v>4</v>
      </c>
      <c r="F3606" s="6">
        <v>1</v>
      </c>
      <c r="G3606" s="6" t="s">
        <v>27</v>
      </c>
      <c r="H3606" s="6" t="s">
        <v>41</v>
      </c>
      <c r="I3606" s="6">
        <f>TabJogos[[#This Row],[PontosTime1]]-TabJogos[[#This Row],[PontosTime2]]</f>
        <v>3</v>
      </c>
    </row>
    <row r="3607" spans="1:9" ht="15" customHeight="1" x14ac:dyDescent="0.25">
      <c r="A3607" s="7">
        <v>3606</v>
      </c>
      <c r="B3607" s="1">
        <v>43613</v>
      </c>
      <c r="C3607" s="6" t="s">
        <v>13</v>
      </c>
      <c r="D3607" s="6" t="s">
        <v>11</v>
      </c>
      <c r="E3607" s="6">
        <v>0</v>
      </c>
      <c r="F3607" s="6">
        <v>3</v>
      </c>
      <c r="G3607" s="6" t="s">
        <v>17</v>
      </c>
      <c r="H3607" s="6" t="s">
        <v>18</v>
      </c>
      <c r="I3607" s="6">
        <f>TabJogos[[#This Row],[PontosTime1]]-TabJogos[[#This Row],[PontosTime2]]</f>
        <v>-3</v>
      </c>
    </row>
    <row r="3608" spans="1:9" ht="15" customHeight="1" x14ac:dyDescent="0.25">
      <c r="A3608" s="7">
        <v>3607</v>
      </c>
      <c r="B3608" s="1">
        <v>43613</v>
      </c>
      <c r="C3608" s="6" t="s">
        <v>27</v>
      </c>
      <c r="D3608" s="6" t="s">
        <v>18</v>
      </c>
      <c r="E3608" s="6">
        <v>0</v>
      </c>
      <c r="F3608" s="6">
        <v>3</v>
      </c>
      <c r="G3608" s="6" t="s">
        <v>17</v>
      </c>
      <c r="H3608" s="6" t="s">
        <v>41</v>
      </c>
      <c r="I3608" s="6">
        <f>TabJogos[[#This Row],[PontosTime1]]-TabJogos[[#This Row],[PontosTime2]]</f>
        <v>-3</v>
      </c>
    </row>
    <row r="3609" spans="1:9" ht="15" customHeight="1" x14ac:dyDescent="0.25">
      <c r="A3609" s="7">
        <v>3608</v>
      </c>
      <c r="B3609" s="1">
        <v>43613</v>
      </c>
      <c r="C3609" s="6" t="s">
        <v>41</v>
      </c>
      <c r="D3609" s="6" t="s">
        <v>13</v>
      </c>
      <c r="E3609" s="6">
        <v>4</v>
      </c>
      <c r="F3609" s="6">
        <v>0</v>
      </c>
      <c r="G3609" s="6" t="s">
        <v>11</v>
      </c>
      <c r="H3609" s="6" t="s">
        <v>17</v>
      </c>
      <c r="I3609" s="6">
        <f>TabJogos[[#This Row],[PontosTime1]]-TabJogos[[#This Row],[PontosTime2]]</f>
        <v>4</v>
      </c>
    </row>
    <row r="3610" spans="1:9" ht="15" customHeight="1" x14ac:dyDescent="0.25">
      <c r="A3610" s="7">
        <v>3609</v>
      </c>
      <c r="B3610" s="1">
        <v>43613</v>
      </c>
      <c r="C3610" s="6" t="s">
        <v>27</v>
      </c>
      <c r="D3610" s="6" t="s">
        <v>13</v>
      </c>
      <c r="E3610" s="6">
        <v>3</v>
      </c>
      <c r="F3610" s="6">
        <v>0</v>
      </c>
      <c r="G3610" s="6" t="s">
        <v>18</v>
      </c>
      <c r="H3610" s="6" t="s">
        <v>41</v>
      </c>
      <c r="I3610" s="6">
        <f>TabJogos[[#This Row],[PontosTime1]]-TabJogos[[#This Row],[PontosTime2]]</f>
        <v>3</v>
      </c>
    </row>
    <row r="3611" spans="1:9" ht="15" customHeight="1" x14ac:dyDescent="0.25">
      <c r="A3611" s="7">
        <v>3610</v>
      </c>
      <c r="B3611" s="1">
        <v>43613</v>
      </c>
      <c r="C3611" s="6" t="s">
        <v>17</v>
      </c>
      <c r="D3611" s="6" t="s">
        <v>13</v>
      </c>
      <c r="E3611" s="6">
        <v>3</v>
      </c>
      <c r="F3611" s="6">
        <v>0</v>
      </c>
      <c r="G3611" s="6" t="s">
        <v>27</v>
      </c>
      <c r="H3611" s="6" t="s">
        <v>11</v>
      </c>
      <c r="I3611" s="6">
        <f>TabJogos[[#This Row],[PontosTime1]]-TabJogos[[#This Row],[PontosTime2]]</f>
        <v>3</v>
      </c>
    </row>
    <row r="3612" spans="1:9" ht="15" customHeight="1" x14ac:dyDescent="0.25">
      <c r="A3612" s="7">
        <v>3611</v>
      </c>
      <c r="B3612" s="1">
        <v>43613</v>
      </c>
      <c r="C3612" s="6" t="s">
        <v>17</v>
      </c>
      <c r="D3612" s="6" t="s">
        <v>18</v>
      </c>
      <c r="E3612" s="6">
        <v>2</v>
      </c>
      <c r="F3612" s="6">
        <v>3</v>
      </c>
      <c r="G3612" s="6" t="s">
        <v>13</v>
      </c>
      <c r="H3612" s="6" t="s">
        <v>41</v>
      </c>
      <c r="I3612" s="6">
        <f>TabJogos[[#This Row],[PontosTime1]]-TabJogos[[#This Row],[PontosTime2]]</f>
        <v>-1</v>
      </c>
    </row>
    <row r="3613" spans="1:9" ht="15" customHeight="1" x14ac:dyDescent="0.25">
      <c r="A3613" s="7">
        <v>3612</v>
      </c>
      <c r="B3613" s="1">
        <v>43613</v>
      </c>
      <c r="C3613" s="6" t="s">
        <v>27</v>
      </c>
      <c r="D3613" s="6" t="s">
        <v>13</v>
      </c>
      <c r="E3613" s="6">
        <v>1</v>
      </c>
      <c r="F3613" s="6">
        <v>3</v>
      </c>
      <c r="G3613" s="6" t="s">
        <v>41</v>
      </c>
      <c r="H3613" s="6" t="s">
        <v>11</v>
      </c>
      <c r="I3613" s="6">
        <f>TabJogos[[#This Row],[PontosTime1]]-TabJogos[[#This Row],[PontosTime2]]</f>
        <v>-2</v>
      </c>
    </row>
    <row r="3614" spans="1:9" ht="15" customHeight="1" x14ac:dyDescent="0.25">
      <c r="A3614" s="7">
        <v>3613</v>
      </c>
      <c r="B3614" s="1">
        <v>43613</v>
      </c>
      <c r="C3614" s="6" t="s">
        <v>11</v>
      </c>
      <c r="D3614" s="6" t="s">
        <v>17</v>
      </c>
      <c r="E3614" s="6">
        <v>4</v>
      </c>
      <c r="F3614" s="6">
        <v>0</v>
      </c>
      <c r="G3614" s="6" t="s">
        <v>13</v>
      </c>
      <c r="H3614" s="6" t="s">
        <v>18</v>
      </c>
      <c r="I3614" s="6">
        <f>TabJogos[[#This Row],[PontosTime1]]-TabJogos[[#This Row],[PontosTime2]]</f>
        <v>4</v>
      </c>
    </row>
    <row r="3615" spans="1:9" ht="15" customHeight="1" x14ac:dyDescent="0.25">
      <c r="A3615" s="7">
        <v>3614</v>
      </c>
      <c r="B3615" s="1">
        <v>43613</v>
      </c>
      <c r="C3615" s="6" t="s">
        <v>11</v>
      </c>
      <c r="D3615" s="6" t="s">
        <v>18</v>
      </c>
      <c r="E3615" s="6">
        <v>1</v>
      </c>
      <c r="F3615" s="6">
        <v>3</v>
      </c>
      <c r="G3615" s="6" t="s">
        <v>17</v>
      </c>
      <c r="H3615" s="6" t="s">
        <v>13</v>
      </c>
      <c r="I3615" s="6">
        <f>TabJogos[[#This Row],[PontosTime1]]-TabJogos[[#This Row],[PontosTime2]]</f>
        <v>-2</v>
      </c>
    </row>
    <row r="3616" spans="1:9" ht="15" customHeight="1" x14ac:dyDescent="0.25">
      <c r="A3616" s="7">
        <v>3615</v>
      </c>
      <c r="B3616" s="1">
        <v>43613</v>
      </c>
      <c r="C3616" s="6" t="s">
        <v>13</v>
      </c>
      <c r="D3616" s="6" t="s">
        <v>11</v>
      </c>
      <c r="E3616" s="6">
        <v>2</v>
      </c>
      <c r="F3616" s="6">
        <v>3</v>
      </c>
      <c r="G3616" s="6" t="s">
        <v>17</v>
      </c>
      <c r="H3616" s="6" t="s">
        <v>18</v>
      </c>
      <c r="I3616" s="6">
        <f>TabJogos[[#This Row],[PontosTime1]]-TabJogos[[#This Row],[PontosTime2]]</f>
        <v>-1</v>
      </c>
    </row>
    <row r="3617" spans="1:9" ht="15" customHeight="1" x14ac:dyDescent="0.25">
      <c r="A3617" s="7">
        <v>3616</v>
      </c>
      <c r="B3617" s="1">
        <v>43614</v>
      </c>
      <c r="C3617" s="6" t="s">
        <v>12</v>
      </c>
      <c r="D3617" s="6" t="s">
        <v>18</v>
      </c>
      <c r="E3617" s="6">
        <v>3</v>
      </c>
      <c r="F3617" s="6">
        <v>1</v>
      </c>
      <c r="G3617" s="6" t="s">
        <v>17</v>
      </c>
      <c r="H3617" s="6" t="s">
        <v>10</v>
      </c>
      <c r="I3617" s="6">
        <f>TabJogos[[#This Row],[PontosTime1]]-TabJogos[[#This Row],[PontosTime2]]</f>
        <v>2</v>
      </c>
    </row>
    <row r="3618" spans="1:9" ht="15" customHeight="1" x14ac:dyDescent="0.25">
      <c r="A3618" s="7">
        <v>3617</v>
      </c>
      <c r="B3618" s="1">
        <v>43614</v>
      </c>
      <c r="C3618" s="6" t="s">
        <v>12</v>
      </c>
      <c r="D3618" s="6" t="s">
        <v>13</v>
      </c>
      <c r="E3618" s="6">
        <v>3</v>
      </c>
      <c r="F3618" s="6">
        <v>0</v>
      </c>
      <c r="G3618" s="6" t="s">
        <v>17</v>
      </c>
      <c r="H3618" s="6" t="s">
        <v>18</v>
      </c>
      <c r="I3618" s="6">
        <f>TabJogos[[#This Row],[PontosTime1]]-TabJogos[[#This Row],[PontosTime2]]</f>
        <v>3</v>
      </c>
    </row>
    <row r="3619" spans="1:9" ht="15" customHeight="1" x14ac:dyDescent="0.25">
      <c r="A3619" s="7">
        <v>3618</v>
      </c>
      <c r="B3619" s="1">
        <v>43614</v>
      </c>
      <c r="C3619" s="6" t="s">
        <v>13</v>
      </c>
      <c r="D3619" s="6" t="s">
        <v>17</v>
      </c>
      <c r="E3619" s="6">
        <v>0</v>
      </c>
      <c r="F3619" s="6">
        <v>3</v>
      </c>
      <c r="G3619" s="6" t="s">
        <v>10</v>
      </c>
      <c r="H3619" s="6" t="s">
        <v>12</v>
      </c>
      <c r="I3619" s="6">
        <f>TabJogos[[#This Row],[PontosTime1]]-TabJogos[[#This Row],[PontosTime2]]</f>
        <v>-3</v>
      </c>
    </row>
    <row r="3620" spans="1:9" ht="15" customHeight="1" x14ac:dyDescent="0.25">
      <c r="A3620" s="7">
        <v>3619</v>
      </c>
      <c r="B3620" s="1">
        <v>43614</v>
      </c>
      <c r="C3620" s="6" t="s">
        <v>10</v>
      </c>
      <c r="D3620" s="6" t="s">
        <v>13</v>
      </c>
      <c r="E3620" s="6">
        <v>3</v>
      </c>
      <c r="F3620" s="6">
        <v>2</v>
      </c>
      <c r="G3620" s="6" t="s">
        <v>18</v>
      </c>
      <c r="H3620" s="6" t="s">
        <v>12</v>
      </c>
      <c r="I3620" s="6">
        <f>TabJogos[[#This Row],[PontosTime1]]-TabJogos[[#This Row],[PontosTime2]]</f>
        <v>1</v>
      </c>
    </row>
    <row r="3621" spans="1:9" ht="15" customHeight="1" x14ac:dyDescent="0.25">
      <c r="A3621" s="7">
        <v>3620</v>
      </c>
      <c r="B3621" s="1">
        <v>43614</v>
      </c>
      <c r="C3621" s="6" t="s">
        <v>10</v>
      </c>
      <c r="D3621" s="6" t="s">
        <v>32</v>
      </c>
      <c r="E3621" s="6">
        <v>3</v>
      </c>
      <c r="F3621" s="6">
        <v>0</v>
      </c>
      <c r="G3621" s="6" t="s">
        <v>18</v>
      </c>
      <c r="H3621" s="6" t="s">
        <v>13</v>
      </c>
      <c r="I3621" s="6">
        <f>TabJogos[[#This Row],[PontosTime1]]-TabJogos[[#This Row],[PontosTime2]]</f>
        <v>3</v>
      </c>
    </row>
    <row r="3622" spans="1:9" ht="15" customHeight="1" x14ac:dyDescent="0.25">
      <c r="A3622" s="7">
        <v>3621</v>
      </c>
      <c r="B3622" s="1">
        <v>43614</v>
      </c>
      <c r="C3622" s="6" t="s">
        <v>10</v>
      </c>
      <c r="D3622" s="6" t="s">
        <v>18</v>
      </c>
      <c r="E3622" s="6">
        <v>1</v>
      </c>
      <c r="F3622" s="6">
        <v>3</v>
      </c>
      <c r="G3622" s="6" t="s">
        <v>13</v>
      </c>
      <c r="H3622" s="6" t="s">
        <v>32</v>
      </c>
      <c r="I3622" s="6">
        <f>TabJogos[[#This Row],[PontosTime1]]-TabJogos[[#This Row],[PontosTime2]]</f>
        <v>-2</v>
      </c>
    </row>
    <row r="3623" spans="1:9" ht="15" customHeight="1" x14ac:dyDescent="0.25">
      <c r="A3623" s="7">
        <v>3622</v>
      </c>
      <c r="B3623" s="1">
        <v>43614</v>
      </c>
      <c r="C3623" s="6" t="s">
        <v>10</v>
      </c>
      <c r="D3623" s="6" t="s">
        <v>13</v>
      </c>
      <c r="E3623" s="6">
        <v>1</v>
      </c>
      <c r="F3623" s="6">
        <v>4</v>
      </c>
      <c r="G3623" s="6" t="s">
        <v>32</v>
      </c>
      <c r="H3623" s="6" t="s">
        <v>18</v>
      </c>
      <c r="I3623" s="6">
        <f>TabJogos[[#This Row],[PontosTime1]]-TabJogos[[#This Row],[PontosTime2]]</f>
        <v>-3</v>
      </c>
    </row>
    <row r="3624" spans="1:9" ht="15" customHeight="1" x14ac:dyDescent="0.25">
      <c r="A3624" s="7">
        <v>3623</v>
      </c>
      <c r="B3624" s="1">
        <v>43614</v>
      </c>
      <c r="C3624" s="6" t="s">
        <v>10</v>
      </c>
      <c r="D3624" s="6" t="s">
        <v>32</v>
      </c>
      <c r="E3624" s="6">
        <v>3</v>
      </c>
      <c r="F3624" s="6">
        <v>0</v>
      </c>
      <c r="G3624" s="6" t="s">
        <v>13</v>
      </c>
      <c r="H3624" s="6" t="s">
        <v>18</v>
      </c>
      <c r="I3624" s="6">
        <f>TabJogos[[#This Row],[PontosTime1]]-TabJogos[[#This Row],[PontosTime2]]</f>
        <v>3</v>
      </c>
    </row>
    <row r="3625" spans="1:9" ht="15" customHeight="1" x14ac:dyDescent="0.25">
      <c r="A3625" s="7">
        <v>3624</v>
      </c>
      <c r="B3625" s="1">
        <v>43614</v>
      </c>
      <c r="C3625" s="6" t="s">
        <v>10</v>
      </c>
      <c r="D3625" s="6" t="s">
        <v>18</v>
      </c>
      <c r="E3625" s="6">
        <v>2</v>
      </c>
      <c r="F3625" s="6">
        <v>3</v>
      </c>
      <c r="G3625" s="6" t="s">
        <v>13</v>
      </c>
      <c r="H3625" s="6" t="s">
        <v>32</v>
      </c>
      <c r="I3625" s="6">
        <f>TabJogos[[#This Row],[PontosTime1]]-TabJogos[[#This Row],[PontosTime2]]</f>
        <v>-1</v>
      </c>
    </row>
    <row r="3626" spans="1:9" ht="15" customHeight="1" x14ac:dyDescent="0.25">
      <c r="A3626" s="7">
        <v>3625</v>
      </c>
      <c r="B3626" s="1">
        <v>43614</v>
      </c>
      <c r="C3626" s="6" t="s">
        <v>18</v>
      </c>
      <c r="D3626" s="6" t="s">
        <v>32</v>
      </c>
      <c r="E3626" s="6">
        <v>3</v>
      </c>
      <c r="F3626" s="6">
        <v>2</v>
      </c>
      <c r="G3626" s="6" t="s">
        <v>17</v>
      </c>
      <c r="H3626" s="6" t="s">
        <v>13</v>
      </c>
      <c r="I3626" s="6">
        <f>TabJogos[[#This Row],[PontosTime1]]-TabJogos[[#This Row],[PontosTime2]]</f>
        <v>1</v>
      </c>
    </row>
    <row r="3627" spans="1:9" ht="15" customHeight="1" x14ac:dyDescent="0.25">
      <c r="A3627" s="7">
        <v>3626</v>
      </c>
      <c r="B3627" s="1">
        <v>43614</v>
      </c>
      <c r="C3627" s="6" t="s">
        <v>32</v>
      </c>
      <c r="D3627" s="6" t="s">
        <v>17</v>
      </c>
      <c r="E3627" s="6">
        <v>0</v>
      </c>
      <c r="F3627" s="6">
        <v>3</v>
      </c>
      <c r="G3627" s="6" t="s">
        <v>18</v>
      </c>
      <c r="H3627" s="6" t="s">
        <v>27</v>
      </c>
      <c r="I3627" s="6">
        <f>TabJogos[[#This Row],[PontosTime1]]-TabJogos[[#This Row],[PontosTime2]]</f>
        <v>-3</v>
      </c>
    </row>
    <row r="3628" spans="1:9" ht="15" customHeight="1" x14ac:dyDescent="0.25">
      <c r="A3628" s="7">
        <v>3627</v>
      </c>
      <c r="B3628" s="1">
        <v>43614</v>
      </c>
      <c r="C3628" s="6" t="s">
        <v>17</v>
      </c>
      <c r="D3628" s="6" t="s">
        <v>27</v>
      </c>
      <c r="E3628" s="6">
        <v>4</v>
      </c>
      <c r="F3628" s="6">
        <v>2</v>
      </c>
      <c r="G3628" s="6" t="s">
        <v>18</v>
      </c>
      <c r="H3628" s="6" t="s">
        <v>13</v>
      </c>
      <c r="I3628" s="6">
        <f>TabJogos[[#This Row],[PontosTime1]]-TabJogos[[#This Row],[PontosTime2]]</f>
        <v>2</v>
      </c>
    </row>
    <row r="3629" spans="1:9" ht="15" customHeight="1" x14ac:dyDescent="0.25">
      <c r="A3629" s="7">
        <v>3628</v>
      </c>
      <c r="B3629" s="1">
        <v>43614</v>
      </c>
      <c r="C3629" s="6" t="s">
        <v>17</v>
      </c>
      <c r="D3629" s="6" t="s">
        <v>41</v>
      </c>
      <c r="E3629" s="6">
        <v>2</v>
      </c>
      <c r="F3629" s="6">
        <v>3</v>
      </c>
      <c r="G3629" s="6" t="s">
        <v>32</v>
      </c>
      <c r="H3629" s="6" t="s">
        <v>27</v>
      </c>
      <c r="I3629" s="6">
        <f>TabJogos[[#This Row],[PontosTime1]]-TabJogos[[#This Row],[PontosTime2]]</f>
        <v>-1</v>
      </c>
    </row>
    <row r="3630" spans="1:9" ht="15" customHeight="1" x14ac:dyDescent="0.25">
      <c r="A3630" s="7">
        <v>3629</v>
      </c>
      <c r="B3630" s="1">
        <v>43614</v>
      </c>
      <c r="C3630" s="6" t="s">
        <v>13</v>
      </c>
      <c r="D3630" s="6" t="s">
        <v>27</v>
      </c>
      <c r="E3630" s="6">
        <v>3</v>
      </c>
      <c r="F3630" s="6">
        <v>2</v>
      </c>
      <c r="G3630" s="6" t="s">
        <v>17</v>
      </c>
      <c r="H3630" s="6" t="s">
        <v>18</v>
      </c>
      <c r="I3630" s="6">
        <f>TabJogos[[#This Row],[PontosTime1]]-TabJogos[[#This Row],[PontosTime2]]</f>
        <v>1</v>
      </c>
    </row>
    <row r="3631" spans="1:9" ht="15" customHeight="1" x14ac:dyDescent="0.25">
      <c r="A3631" s="7">
        <v>3630</v>
      </c>
      <c r="B3631" s="1">
        <v>43614</v>
      </c>
      <c r="C3631" s="6" t="s">
        <v>18</v>
      </c>
      <c r="D3631" s="6" t="s">
        <v>27</v>
      </c>
      <c r="E3631" s="6">
        <v>4</v>
      </c>
      <c r="F3631" s="6">
        <v>1</v>
      </c>
      <c r="G3631" s="6" t="s">
        <v>17</v>
      </c>
      <c r="H3631" s="6" t="s">
        <v>13</v>
      </c>
      <c r="I3631" s="6">
        <f>TabJogos[[#This Row],[PontosTime1]]-TabJogos[[#This Row],[PontosTime2]]</f>
        <v>3</v>
      </c>
    </row>
    <row r="3632" spans="1:9" ht="15" customHeight="1" x14ac:dyDescent="0.25">
      <c r="A3632" s="7">
        <v>3631</v>
      </c>
      <c r="B3632" s="1">
        <v>43614</v>
      </c>
      <c r="C3632" s="6" t="s">
        <v>27</v>
      </c>
      <c r="D3632" s="6" t="s">
        <v>17</v>
      </c>
      <c r="E3632" s="6">
        <v>3</v>
      </c>
      <c r="F3632" s="6">
        <v>0</v>
      </c>
      <c r="G3632" s="6" t="s">
        <v>13</v>
      </c>
      <c r="H3632" s="6" t="s">
        <v>18</v>
      </c>
      <c r="I3632" s="6">
        <f>TabJogos[[#This Row],[PontosTime1]]-TabJogos[[#This Row],[PontosTime2]]</f>
        <v>3</v>
      </c>
    </row>
    <row r="3633" spans="1:9" ht="15" customHeight="1" x14ac:dyDescent="0.25">
      <c r="A3633" s="7">
        <v>3632</v>
      </c>
      <c r="B3633" s="1">
        <v>43615</v>
      </c>
      <c r="C3633" s="6" t="s">
        <v>10</v>
      </c>
      <c r="D3633" s="6" t="s">
        <v>17</v>
      </c>
      <c r="E3633" s="6">
        <v>3</v>
      </c>
      <c r="F3633" s="6">
        <v>2</v>
      </c>
      <c r="G3633" s="6" t="s">
        <v>13</v>
      </c>
      <c r="H3633" s="6" t="s">
        <v>11</v>
      </c>
      <c r="I3633" s="6">
        <f>TabJogos[[#This Row],[PontosTime1]]-TabJogos[[#This Row],[PontosTime2]]</f>
        <v>1</v>
      </c>
    </row>
    <row r="3634" spans="1:9" ht="15" customHeight="1" x14ac:dyDescent="0.25">
      <c r="A3634" s="7">
        <v>3633</v>
      </c>
      <c r="B3634" s="1">
        <v>43615</v>
      </c>
      <c r="C3634" s="6" t="s">
        <v>10</v>
      </c>
      <c r="D3634" s="6" t="s">
        <v>11</v>
      </c>
      <c r="E3634" s="6">
        <v>4</v>
      </c>
      <c r="F3634" s="6">
        <v>0</v>
      </c>
      <c r="G3634" s="6" t="s">
        <v>13</v>
      </c>
      <c r="H3634" s="6" t="s">
        <v>17</v>
      </c>
      <c r="I3634" s="6">
        <f>TabJogos[[#This Row],[PontosTime1]]-TabJogos[[#This Row],[PontosTime2]]</f>
        <v>4</v>
      </c>
    </row>
    <row r="3635" spans="1:9" ht="15" customHeight="1" x14ac:dyDescent="0.25">
      <c r="A3635" s="7">
        <v>3634</v>
      </c>
      <c r="B3635" s="1">
        <v>43615</v>
      </c>
      <c r="C3635" s="6" t="s">
        <v>10</v>
      </c>
      <c r="D3635" s="6" t="s">
        <v>13</v>
      </c>
      <c r="E3635" s="6">
        <v>0</v>
      </c>
      <c r="F3635" s="6">
        <v>3</v>
      </c>
      <c r="G3635" s="6" t="s">
        <v>11</v>
      </c>
      <c r="H3635" s="6" t="s">
        <v>17</v>
      </c>
      <c r="I3635" s="6">
        <f>TabJogos[[#This Row],[PontosTime1]]-TabJogos[[#This Row],[PontosTime2]]</f>
        <v>-3</v>
      </c>
    </row>
    <row r="3636" spans="1:9" ht="15" customHeight="1" x14ac:dyDescent="0.25">
      <c r="A3636" s="7">
        <v>3635</v>
      </c>
      <c r="B3636" s="1">
        <v>43615</v>
      </c>
      <c r="C3636" s="6" t="s">
        <v>11</v>
      </c>
      <c r="D3636" s="6" t="s">
        <v>13</v>
      </c>
      <c r="E3636" s="6">
        <v>3</v>
      </c>
      <c r="F3636" s="6">
        <v>2</v>
      </c>
      <c r="G3636" s="6" t="s">
        <v>10</v>
      </c>
      <c r="H3636" s="6" t="s">
        <v>17</v>
      </c>
      <c r="I3636" s="6">
        <f>TabJogos[[#This Row],[PontosTime1]]-TabJogos[[#This Row],[PontosTime2]]</f>
        <v>1</v>
      </c>
    </row>
    <row r="3637" spans="1:9" ht="15" customHeight="1" x14ac:dyDescent="0.25">
      <c r="A3637" s="7">
        <v>3636</v>
      </c>
      <c r="B3637" s="1">
        <v>43615</v>
      </c>
      <c r="C3637" s="6" t="s">
        <v>17</v>
      </c>
      <c r="D3637" s="6" t="s">
        <v>13</v>
      </c>
      <c r="E3637" s="6">
        <v>3</v>
      </c>
      <c r="F3637" s="6">
        <v>2</v>
      </c>
      <c r="G3637" s="6" t="s">
        <v>11</v>
      </c>
      <c r="H3637" s="6" t="s">
        <v>10</v>
      </c>
      <c r="I3637" s="6">
        <f>TabJogos[[#This Row],[PontosTime1]]-TabJogos[[#This Row],[PontosTime2]]</f>
        <v>1</v>
      </c>
    </row>
    <row r="3638" spans="1:9" ht="15" customHeight="1" x14ac:dyDescent="0.25">
      <c r="A3638" s="7">
        <v>3637</v>
      </c>
      <c r="B3638" s="1">
        <v>43615</v>
      </c>
      <c r="C3638" s="6" t="s">
        <v>13</v>
      </c>
      <c r="D3638" s="6" t="s">
        <v>32</v>
      </c>
      <c r="E3638" s="6">
        <v>3</v>
      </c>
      <c r="F3638" s="6">
        <v>0</v>
      </c>
      <c r="G3638" s="6" t="s">
        <v>17</v>
      </c>
      <c r="H3638" s="6" t="s">
        <v>11</v>
      </c>
      <c r="I3638" s="6">
        <f>TabJogos[[#This Row],[PontosTime1]]-TabJogos[[#This Row],[PontosTime2]]</f>
        <v>3</v>
      </c>
    </row>
    <row r="3639" spans="1:9" ht="15" customHeight="1" x14ac:dyDescent="0.25">
      <c r="A3639" s="7">
        <v>3638</v>
      </c>
      <c r="B3639" s="1">
        <v>43615</v>
      </c>
      <c r="C3639" s="6" t="s">
        <v>11</v>
      </c>
      <c r="D3639" s="6" t="s">
        <v>32</v>
      </c>
      <c r="E3639" s="6">
        <v>3</v>
      </c>
      <c r="F3639" s="6">
        <v>2</v>
      </c>
      <c r="G3639" s="6" t="s">
        <v>10</v>
      </c>
      <c r="H3639" s="6" t="s">
        <v>13</v>
      </c>
      <c r="I3639" s="6">
        <f>TabJogos[[#This Row],[PontosTime1]]-TabJogos[[#This Row],[PontosTime2]]</f>
        <v>1</v>
      </c>
    </row>
    <row r="3640" spans="1:9" ht="15" customHeight="1" x14ac:dyDescent="0.25">
      <c r="A3640" s="7">
        <v>3639</v>
      </c>
      <c r="B3640" s="1">
        <v>43615</v>
      </c>
      <c r="C3640" s="6" t="s">
        <v>32</v>
      </c>
      <c r="D3640" s="6" t="s">
        <v>10</v>
      </c>
      <c r="E3640" s="6">
        <v>1</v>
      </c>
      <c r="F3640" s="6">
        <v>3</v>
      </c>
      <c r="G3640" s="6" t="s">
        <v>13</v>
      </c>
      <c r="H3640" s="6" t="s">
        <v>11</v>
      </c>
      <c r="I3640" s="6">
        <f>TabJogos[[#This Row],[PontosTime1]]-TabJogos[[#This Row],[PontosTime2]]</f>
        <v>-2</v>
      </c>
    </row>
    <row r="3641" spans="1:9" ht="15" customHeight="1" x14ac:dyDescent="0.25">
      <c r="A3641" s="7">
        <v>3640</v>
      </c>
      <c r="B3641" s="1">
        <v>43615</v>
      </c>
      <c r="C3641" s="6" t="s">
        <v>32</v>
      </c>
      <c r="D3641" s="6" t="s">
        <v>13</v>
      </c>
      <c r="E3641" s="6">
        <v>3</v>
      </c>
      <c r="F3641" s="6">
        <v>0</v>
      </c>
      <c r="G3641" s="6" t="s">
        <v>11</v>
      </c>
      <c r="H3641" s="6" t="s">
        <v>41</v>
      </c>
      <c r="I3641" s="6">
        <f>TabJogos[[#This Row],[PontosTime1]]-TabJogos[[#This Row],[PontosTime2]]</f>
        <v>3</v>
      </c>
    </row>
    <row r="3642" spans="1:9" ht="15" customHeight="1" x14ac:dyDescent="0.25">
      <c r="A3642" s="7">
        <v>3641</v>
      </c>
      <c r="B3642" s="1">
        <v>43615</v>
      </c>
      <c r="C3642" s="6" t="s">
        <v>11</v>
      </c>
      <c r="D3642" s="6" t="s">
        <v>32</v>
      </c>
      <c r="E3642" s="6">
        <v>0</v>
      </c>
      <c r="F3642" s="6">
        <v>3</v>
      </c>
      <c r="G3642" s="6" t="s">
        <v>41</v>
      </c>
      <c r="H3642" s="6" t="s">
        <v>13</v>
      </c>
      <c r="I3642" s="6">
        <f>TabJogos[[#This Row],[PontosTime1]]-TabJogos[[#This Row],[PontosTime2]]</f>
        <v>-3</v>
      </c>
    </row>
    <row r="3643" spans="1:9" ht="15" customHeight="1" x14ac:dyDescent="0.25">
      <c r="A3643" s="7">
        <v>3642</v>
      </c>
      <c r="B3643" s="1">
        <v>43615</v>
      </c>
      <c r="C3643" s="6" t="s">
        <v>41</v>
      </c>
      <c r="D3643" s="6" t="s">
        <v>32</v>
      </c>
      <c r="E3643" s="6">
        <v>2</v>
      </c>
      <c r="F3643" s="6">
        <v>3</v>
      </c>
      <c r="G3643" s="6" t="s">
        <v>11</v>
      </c>
      <c r="H3643" s="6" t="s">
        <v>13</v>
      </c>
      <c r="I3643" s="6">
        <f>TabJogos[[#This Row],[PontosTime1]]-TabJogos[[#This Row],[PontosTime2]]</f>
        <v>-1</v>
      </c>
    </row>
    <row r="3644" spans="1:9" ht="15" customHeight="1" x14ac:dyDescent="0.25">
      <c r="A3644" s="7">
        <v>3643</v>
      </c>
      <c r="B3644" s="1">
        <v>43615</v>
      </c>
      <c r="C3644" s="6" t="s">
        <v>11</v>
      </c>
      <c r="D3644" s="6" t="s">
        <v>41</v>
      </c>
      <c r="E3644" s="6">
        <v>3</v>
      </c>
      <c r="F3644" s="6">
        <v>2</v>
      </c>
      <c r="G3644" s="6" t="s">
        <v>13</v>
      </c>
      <c r="H3644" s="6" t="s">
        <v>18</v>
      </c>
      <c r="I3644" s="6">
        <f>TabJogos[[#This Row],[PontosTime1]]-TabJogos[[#This Row],[PontosTime2]]</f>
        <v>1</v>
      </c>
    </row>
    <row r="3645" spans="1:9" ht="15" customHeight="1" x14ac:dyDescent="0.25">
      <c r="A3645" s="7">
        <v>3644</v>
      </c>
      <c r="B3645" s="1">
        <v>43615</v>
      </c>
      <c r="C3645" s="6" t="s">
        <v>11</v>
      </c>
      <c r="D3645" s="6" t="s">
        <v>18</v>
      </c>
      <c r="E3645" s="6">
        <v>2</v>
      </c>
      <c r="F3645" s="6">
        <v>3</v>
      </c>
      <c r="G3645" s="6" t="s">
        <v>13</v>
      </c>
      <c r="H3645" s="6" t="s">
        <v>41</v>
      </c>
      <c r="I3645" s="6">
        <f>TabJogos[[#This Row],[PontosTime1]]-TabJogos[[#This Row],[PontosTime2]]</f>
        <v>-1</v>
      </c>
    </row>
    <row r="3646" spans="1:9" ht="15" customHeight="1" x14ac:dyDescent="0.25">
      <c r="A3646" s="7">
        <v>3645</v>
      </c>
      <c r="B3646" s="1">
        <v>43615</v>
      </c>
      <c r="C3646" s="6" t="s">
        <v>11</v>
      </c>
      <c r="D3646" s="6" t="s">
        <v>13</v>
      </c>
      <c r="E3646" s="6">
        <v>3</v>
      </c>
      <c r="F3646" s="6">
        <v>1</v>
      </c>
      <c r="G3646" s="6" t="s">
        <v>41</v>
      </c>
      <c r="H3646" s="6" t="s">
        <v>18</v>
      </c>
      <c r="I3646" s="6">
        <f>TabJogos[[#This Row],[PontosTime1]]-TabJogos[[#This Row],[PontosTime2]]</f>
        <v>2</v>
      </c>
    </row>
    <row r="3647" spans="1:9" ht="15" customHeight="1" x14ac:dyDescent="0.25">
      <c r="A3647" s="7">
        <v>3646</v>
      </c>
      <c r="B3647" s="1">
        <v>43616</v>
      </c>
      <c r="C3647" s="6" t="s">
        <v>13</v>
      </c>
      <c r="D3647" s="6" t="s">
        <v>18</v>
      </c>
      <c r="E3647" s="6">
        <v>3</v>
      </c>
      <c r="F3647" s="6">
        <v>0</v>
      </c>
      <c r="G3647" s="6" t="s">
        <v>11</v>
      </c>
      <c r="H3647" s="6" t="s">
        <v>12</v>
      </c>
      <c r="I3647" s="6">
        <f>TabJogos[[#This Row],[PontosTime1]]-TabJogos[[#This Row],[PontosTime2]]</f>
        <v>3</v>
      </c>
    </row>
    <row r="3648" spans="1:9" ht="15" customHeight="1" x14ac:dyDescent="0.25">
      <c r="A3648" s="7">
        <v>3647</v>
      </c>
      <c r="B3648" s="1">
        <v>43616</v>
      </c>
      <c r="C3648" s="6" t="s">
        <v>11</v>
      </c>
      <c r="D3648" s="6" t="s">
        <v>13</v>
      </c>
      <c r="E3648" s="6">
        <v>1</v>
      </c>
      <c r="F3648" s="6">
        <v>6</v>
      </c>
      <c r="G3648" s="6" t="s">
        <v>10</v>
      </c>
      <c r="H3648" s="6" t="s">
        <v>18</v>
      </c>
      <c r="I3648" s="6">
        <f>TabJogos[[#This Row],[PontosTime1]]-TabJogos[[#This Row],[PontosTime2]]</f>
        <v>-5</v>
      </c>
    </row>
    <row r="3649" spans="1:9" ht="15" customHeight="1" x14ac:dyDescent="0.25">
      <c r="A3649" s="7">
        <v>3648</v>
      </c>
      <c r="B3649" s="1">
        <v>43616</v>
      </c>
      <c r="C3649" s="6" t="s">
        <v>10</v>
      </c>
      <c r="D3649" s="6" t="s">
        <v>13</v>
      </c>
      <c r="E3649" s="6">
        <v>3</v>
      </c>
      <c r="F3649" s="6">
        <v>2</v>
      </c>
      <c r="G3649" s="6" t="s">
        <v>18</v>
      </c>
      <c r="H3649" s="6" t="s">
        <v>9</v>
      </c>
      <c r="I3649" s="6">
        <f>TabJogos[[#This Row],[PontosTime1]]-TabJogos[[#This Row],[PontosTime2]]</f>
        <v>1</v>
      </c>
    </row>
    <row r="3650" spans="1:9" ht="15" customHeight="1" x14ac:dyDescent="0.25">
      <c r="A3650" s="7">
        <v>3649</v>
      </c>
      <c r="B3650" s="1">
        <v>43616</v>
      </c>
      <c r="C3650" s="6" t="s">
        <v>9</v>
      </c>
      <c r="D3650" s="6" t="s">
        <v>13</v>
      </c>
      <c r="E3650" s="6">
        <v>3</v>
      </c>
      <c r="F3650" s="6">
        <v>0</v>
      </c>
      <c r="G3650" s="6" t="s">
        <v>10</v>
      </c>
      <c r="H3650" s="6" t="s">
        <v>11</v>
      </c>
      <c r="I3650" s="6">
        <f>TabJogos[[#This Row],[PontosTime1]]-TabJogos[[#This Row],[PontosTime2]]</f>
        <v>3</v>
      </c>
    </row>
    <row r="3651" spans="1:9" ht="15" customHeight="1" x14ac:dyDescent="0.25">
      <c r="A3651" s="7">
        <v>3650</v>
      </c>
      <c r="B3651" s="1">
        <v>43616</v>
      </c>
      <c r="C3651" s="6" t="s">
        <v>9</v>
      </c>
      <c r="D3651" s="6" t="s">
        <v>11</v>
      </c>
      <c r="E3651" s="6">
        <v>5</v>
      </c>
      <c r="F3651" s="6">
        <v>1</v>
      </c>
      <c r="G3651" s="6" t="s">
        <v>13</v>
      </c>
      <c r="H3651" s="6" t="s">
        <v>18</v>
      </c>
      <c r="I3651" s="6">
        <f>TabJogos[[#This Row],[PontosTime1]]-TabJogos[[#This Row],[PontosTime2]]</f>
        <v>4</v>
      </c>
    </row>
    <row r="3652" spans="1:9" ht="15" customHeight="1" x14ac:dyDescent="0.25">
      <c r="A3652" s="7">
        <v>3651</v>
      </c>
      <c r="B3652" s="1">
        <v>43616</v>
      </c>
      <c r="C3652" s="6" t="s">
        <v>11</v>
      </c>
      <c r="D3652" s="6" t="s">
        <v>18</v>
      </c>
      <c r="E3652" s="6">
        <v>4</v>
      </c>
      <c r="F3652" s="6">
        <v>0</v>
      </c>
      <c r="G3652" s="6" t="s">
        <v>9</v>
      </c>
      <c r="H3652" s="6" t="s">
        <v>13</v>
      </c>
      <c r="I3652" s="6">
        <f>TabJogos[[#This Row],[PontosTime1]]-TabJogos[[#This Row],[PontosTime2]]</f>
        <v>4</v>
      </c>
    </row>
    <row r="3653" spans="1:9" ht="15" customHeight="1" x14ac:dyDescent="0.25">
      <c r="A3653" s="7">
        <v>3652</v>
      </c>
      <c r="B3653" s="1">
        <v>43616</v>
      </c>
      <c r="C3653" s="6" t="s">
        <v>11</v>
      </c>
      <c r="D3653" s="6" t="s">
        <v>13</v>
      </c>
      <c r="E3653" s="6">
        <v>1</v>
      </c>
      <c r="F3653" s="6">
        <v>3</v>
      </c>
      <c r="G3653" s="6" t="s">
        <v>18</v>
      </c>
      <c r="H3653" s="6" t="s">
        <v>9</v>
      </c>
      <c r="I3653" s="6">
        <f>TabJogos[[#This Row],[PontosTime1]]-TabJogos[[#This Row],[PontosTime2]]</f>
        <v>-2</v>
      </c>
    </row>
    <row r="3654" spans="1:9" ht="15" customHeight="1" x14ac:dyDescent="0.25">
      <c r="A3654" s="7">
        <v>3653</v>
      </c>
      <c r="B3654" s="1">
        <v>43616</v>
      </c>
      <c r="C3654" s="6" t="s">
        <v>9</v>
      </c>
      <c r="D3654" s="6" t="s">
        <v>11</v>
      </c>
      <c r="E3654" s="6">
        <v>3</v>
      </c>
      <c r="F3654" s="6">
        <v>1</v>
      </c>
      <c r="G3654" s="6" t="s">
        <v>13</v>
      </c>
      <c r="H3654" s="6" t="s">
        <v>18</v>
      </c>
      <c r="I3654" s="6">
        <f>TabJogos[[#This Row],[PontosTime1]]-TabJogos[[#This Row],[PontosTime2]]</f>
        <v>2</v>
      </c>
    </row>
    <row r="3655" spans="1:9" ht="15" customHeight="1" x14ac:dyDescent="0.25">
      <c r="A3655" s="7">
        <v>3654</v>
      </c>
      <c r="B3655" s="1">
        <v>43616</v>
      </c>
      <c r="C3655" s="6" t="s">
        <v>9</v>
      </c>
      <c r="D3655" s="6" t="s">
        <v>61</v>
      </c>
      <c r="E3655" s="6">
        <v>3</v>
      </c>
      <c r="F3655" s="6">
        <v>2</v>
      </c>
      <c r="G3655" s="6" t="s">
        <v>11</v>
      </c>
      <c r="H3655" s="6" t="s">
        <v>41</v>
      </c>
      <c r="I3655" s="6">
        <f>TabJogos[[#This Row],[PontosTime1]]-TabJogos[[#This Row],[PontosTime2]]</f>
        <v>1</v>
      </c>
    </row>
    <row r="3656" spans="1:9" ht="15" customHeight="1" x14ac:dyDescent="0.25">
      <c r="A3656" s="7">
        <v>3655</v>
      </c>
      <c r="B3656" s="1">
        <v>43616</v>
      </c>
      <c r="C3656" s="6" t="s">
        <v>61</v>
      </c>
      <c r="D3656" s="6" t="s">
        <v>18</v>
      </c>
      <c r="E3656" s="6">
        <v>1</v>
      </c>
      <c r="F3656" s="6">
        <v>3</v>
      </c>
      <c r="G3656" s="6" t="s">
        <v>17</v>
      </c>
      <c r="H3656" s="6" t="s">
        <v>9</v>
      </c>
      <c r="I3656" s="6">
        <f>TabJogos[[#This Row],[PontosTime1]]-TabJogos[[#This Row],[PontosTime2]]</f>
        <v>-2</v>
      </c>
    </row>
    <row r="3657" spans="1:9" ht="15" customHeight="1" x14ac:dyDescent="0.25">
      <c r="A3657" s="7">
        <v>3656</v>
      </c>
      <c r="B3657" s="1">
        <v>43616</v>
      </c>
      <c r="C3657" s="6" t="s">
        <v>11</v>
      </c>
      <c r="D3657" s="6" t="s">
        <v>17</v>
      </c>
      <c r="E3657" s="6">
        <v>3</v>
      </c>
      <c r="F3657" s="6">
        <v>0</v>
      </c>
      <c r="G3657" s="6" t="s">
        <v>9</v>
      </c>
      <c r="H3657" s="6" t="s">
        <v>13</v>
      </c>
      <c r="I3657" s="6">
        <f>TabJogos[[#This Row],[PontosTime1]]-TabJogos[[#This Row],[PontosTime2]]</f>
        <v>3</v>
      </c>
    </row>
    <row r="3658" spans="1:9" ht="15" customHeight="1" x14ac:dyDescent="0.25">
      <c r="A3658" s="7">
        <v>3657</v>
      </c>
      <c r="B3658" s="1">
        <v>43616</v>
      </c>
      <c r="C3658" s="6" t="s">
        <v>41</v>
      </c>
      <c r="D3658" s="6" t="s">
        <v>17</v>
      </c>
      <c r="E3658" s="6">
        <v>3</v>
      </c>
      <c r="F3658" s="6">
        <v>2</v>
      </c>
      <c r="G3658" s="6" t="s">
        <v>61</v>
      </c>
      <c r="H3658" s="6" t="s">
        <v>11</v>
      </c>
      <c r="I3658" s="6">
        <f>TabJogos[[#This Row],[PontosTime1]]-TabJogos[[#This Row],[PontosTime2]]</f>
        <v>1</v>
      </c>
    </row>
    <row r="3659" spans="1:9" ht="15" customHeight="1" x14ac:dyDescent="0.25">
      <c r="A3659" s="7">
        <v>3658</v>
      </c>
      <c r="B3659" s="1">
        <v>43616</v>
      </c>
      <c r="C3659" s="6" t="s">
        <v>9</v>
      </c>
      <c r="D3659" s="6" t="s">
        <v>11</v>
      </c>
      <c r="E3659" s="6">
        <v>4</v>
      </c>
      <c r="F3659" s="6">
        <v>0</v>
      </c>
      <c r="G3659" s="6" t="s">
        <v>13</v>
      </c>
      <c r="H3659" s="6" t="s">
        <v>17</v>
      </c>
      <c r="I3659" s="6">
        <f>TabJogos[[#This Row],[PontosTime1]]-TabJogos[[#This Row],[PontosTime2]]</f>
        <v>4</v>
      </c>
    </row>
    <row r="3660" spans="1:9" ht="15" customHeight="1" x14ac:dyDescent="0.25">
      <c r="A3660" s="7">
        <v>3659</v>
      </c>
      <c r="B3660" s="1">
        <v>43616</v>
      </c>
      <c r="C3660" s="6" t="s">
        <v>11</v>
      </c>
      <c r="D3660" s="6" t="s">
        <v>13</v>
      </c>
      <c r="E3660" s="6">
        <v>4</v>
      </c>
      <c r="F3660" s="6">
        <v>2</v>
      </c>
      <c r="G3660" s="6" t="s">
        <v>9</v>
      </c>
      <c r="H3660" s="6" t="s">
        <v>17</v>
      </c>
      <c r="I3660" s="6">
        <f>TabJogos[[#This Row],[PontosTime1]]-TabJogos[[#This Row],[PontosTime2]]</f>
        <v>2</v>
      </c>
    </row>
    <row r="3661" spans="1:9" ht="15" customHeight="1" x14ac:dyDescent="0.25">
      <c r="A3661" s="7">
        <v>3660</v>
      </c>
      <c r="B3661" s="1">
        <v>43616</v>
      </c>
      <c r="C3661" s="6" t="s">
        <v>11</v>
      </c>
      <c r="D3661" s="6" t="s">
        <v>17</v>
      </c>
      <c r="E3661" s="6">
        <v>3</v>
      </c>
      <c r="F3661" s="6">
        <v>0</v>
      </c>
      <c r="G3661" s="6" t="s">
        <v>9</v>
      </c>
      <c r="H3661" s="6" t="s">
        <v>13</v>
      </c>
      <c r="I3661" s="6">
        <f>TabJogos[[#This Row],[PontosTime1]]-TabJogos[[#This Row],[PontosTime2]]</f>
        <v>3</v>
      </c>
    </row>
    <row r="3662" spans="1:9" ht="15" customHeight="1" x14ac:dyDescent="0.25">
      <c r="A3662" s="7">
        <v>3661</v>
      </c>
      <c r="B3662" s="1">
        <v>43616</v>
      </c>
      <c r="C3662" s="6" t="s">
        <v>11</v>
      </c>
      <c r="D3662" s="6" t="s">
        <v>9</v>
      </c>
      <c r="E3662" s="6">
        <v>3</v>
      </c>
      <c r="F3662" s="6">
        <v>2</v>
      </c>
      <c r="G3662" s="6" t="s">
        <v>13</v>
      </c>
      <c r="H3662" s="6" t="s">
        <v>17</v>
      </c>
      <c r="I3662" s="6">
        <f>TabJogos[[#This Row],[PontosTime1]]-TabJogos[[#This Row],[PontosTime2]]</f>
        <v>1</v>
      </c>
    </row>
    <row r="3663" spans="1:9" ht="15" customHeight="1" x14ac:dyDescent="0.25">
      <c r="A3663" s="7">
        <v>3662</v>
      </c>
      <c r="B3663" s="1">
        <v>43619</v>
      </c>
      <c r="C3663" s="6" t="s">
        <v>18</v>
      </c>
      <c r="D3663" s="6" t="s">
        <v>11</v>
      </c>
      <c r="E3663" s="6">
        <v>1</v>
      </c>
      <c r="F3663" s="6">
        <v>4</v>
      </c>
      <c r="G3663" s="6" t="s">
        <v>32</v>
      </c>
      <c r="H3663" s="6" t="s">
        <v>13</v>
      </c>
      <c r="I3663" s="6">
        <f>TabJogos[[#This Row],[PontosTime1]]-TabJogos[[#This Row],[PontosTime2]]</f>
        <v>-3</v>
      </c>
    </row>
    <row r="3664" spans="1:9" ht="15" customHeight="1" x14ac:dyDescent="0.25">
      <c r="A3664" s="7">
        <v>3663</v>
      </c>
      <c r="B3664" s="1">
        <v>43619</v>
      </c>
      <c r="C3664" s="6" t="s">
        <v>41</v>
      </c>
      <c r="D3664" s="6" t="s">
        <v>32</v>
      </c>
      <c r="E3664" s="6">
        <v>3</v>
      </c>
      <c r="F3664" s="6">
        <v>1</v>
      </c>
      <c r="G3664" s="6" t="s">
        <v>13</v>
      </c>
      <c r="H3664" s="6" t="s">
        <v>11</v>
      </c>
      <c r="I3664" s="6">
        <f>TabJogos[[#This Row],[PontosTime1]]-TabJogos[[#This Row],[PontosTime2]]</f>
        <v>2</v>
      </c>
    </row>
    <row r="3665" spans="1:9" ht="15" customHeight="1" x14ac:dyDescent="0.25">
      <c r="A3665" s="7">
        <v>3664</v>
      </c>
      <c r="B3665" s="1">
        <v>43619</v>
      </c>
      <c r="C3665" s="6" t="s">
        <v>32</v>
      </c>
      <c r="D3665" s="6" t="s">
        <v>18</v>
      </c>
      <c r="E3665" s="6">
        <v>1</v>
      </c>
      <c r="F3665" s="6">
        <v>3</v>
      </c>
      <c r="G3665" s="6" t="s">
        <v>41</v>
      </c>
      <c r="H3665" s="6" t="s">
        <v>13</v>
      </c>
      <c r="I3665" s="6">
        <f>TabJogos[[#This Row],[PontosTime1]]-TabJogos[[#This Row],[PontosTime2]]</f>
        <v>-2</v>
      </c>
    </row>
    <row r="3666" spans="1:9" ht="15" customHeight="1" x14ac:dyDescent="0.25">
      <c r="A3666" s="7">
        <v>3665</v>
      </c>
      <c r="B3666" s="1">
        <v>43619</v>
      </c>
      <c r="C3666" s="6" t="s">
        <v>11</v>
      </c>
      <c r="D3666" s="6" t="s">
        <v>41</v>
      </c>
      <c r="E3666" s="6">
        <v>3</v>
      </c>
      <c r="F3666" s="6">
        <v>2</v>
      </c>
      <c r="G3666" s="6" t="s">
        <v>13</v>
      </c>
      <c r="H3666" s="6" t="s">
        <v>32</v>
      </c>
      <c r="I3666" s="6">
        <f>TabJogos[[#This Row],[PontosTime1]]-TabJogos[[#This Row],[PontosTime2]]</f>
        <v>1</v>
      </c>
    </row>
    <row r="3667" spans="1:9" ht="15" customHeight="1" x14ac:dyDescent="0.25">
      <c r="A3667" s="7">
        <v>3666</v>
      </c>
      <c r="B3667" s="1">
        <v>43619</v>
      </c>
      <c r="C3667" s="6" t="s">
        <v>41</v>
      </c>
      <c r="D3667" s="6" t="s">
        <v>18</v>
      </c>
      <c r="E3667" s="6">
        <v>2</v>
      </c>
      <c r="F3667" s="6">
        <v>3</v>
      </c>
      <c r="G3667" s="6" t="s">
        <v>32</v>
      </c>
      <c r="H3667" s="6" t="s">
        <v>11</v>
      </c>
      <c r="I3667" s="6">
        <f>TabJogos[[#This Row],[PontosTime1]]-TabJogos[[#This Row],[PontosTime2]]</f>
        <v>-1</v>
      </c>
    </row>
    <row r="3668" spans="1:9" ht="15" customHeight="1" x14ac:dyDescent="0.25">
      <c r="A3668" s="7">
        <v>3667</v>
      </c>
      <c r="B3668" s="1">
        <v>43619</v>
      </c>
      <c r="C3668" s="6" t="s">
        <v>9</v>
      </c>
      <c r="D3668" s="6" t="s">
        <v>32</v>
      </c>
      <c r="E3668" s="6">
        <v>3</v>
      </c>
      <c r="F3668" s="6">
        <v>0</v>
      </c>
      <c r="G3668" s="6" t="s">
        <v>11</v>
      </c>
      <c r="H3668" s="6" t="s">
        <v>13</v>
      </c>
      <c r="I3668" s="6">
        <f>TabJogos[[#This Row],[PontosTime1]]-TabJogos[[#This Row],[PontosTime2]]</f>
        <v>3</v>
      </c>
    </row>
    <row r="3669" spans="1:9" ht="15" customHeight="1" x14ac:dyDescent="0.25">
      <c r="A3669" s="7">
        <v>3668</v>
      </c>
      <c r="B3669" s="1">
        <v>43619</v>
      </c>
      <c r="C3669" s="6" t="s">
        <v>18</v>
      </c>
      <c r="D3669" s="6" t="s">
        <v>32</v>
      </c>
      <c r="E3669" s="6">
        <v>5</v>
      </c>
      <c r="F3669" s="6">
        <v>2</v>
      </c>
      <c r="G3669" s="6" t="s">
        <v>9</v>
      </c>
      <c r="H3669" s="6" t="s">
        <v>41</v>
      </c>
      <c r="I3669" s="6">
        <f>TabJogos[[#This Row],[PontosTime1]]-TabJogos[[#This Row],[PontosTime2]]</f>
        <v>3</v>
      </c>
    </row>
    <row r="3670" spans="1:9" ht="15" customHeight="1" x14ac:dyDescent="0.25">
      <c r="A3670" s="7">
        <v>3669</v>
      </c>
      <c r="B3670" s="1">
        <v>43619</v>
      </c>
      <c r="C3670" s="6" t="s">
        <v>13</v>
      </c>
      <c r="D3670" s="6" t="s">
        <v>41</v>
      </c>
      <c r="E3670" s="6">
        <v>3</v>
      </c>
      <c r="F3670" s="6">
        <v>1</v>
      </c>
      <c r="G3670" s="6" t="s">
        <v>11</v>
      </c>
      <c r="H3670" s="6" t="s">
        <v>18</v>
      </c>
      <c r="I3670" s="6">
        <f>TabJogos[[#This Row],[PontosTime1]]-TabJogos[[#This Row],[PontosTime2]]</f>
        <v>2</v>
      </c>
    </row>
    <row r="3671" spans="1:9" ht="15" customHeight="1" x14ac:dyDescent="0.25">
      <c r="A3671" s="7">
        <v>3670</v>
      </c>
      <c r="B3671" s="1">
        <v>43619</v>
      </c>
      <c r="C3671" s="6" t="s">
        <v>11</v>
      </c>
      <c r="D3671" s="6" t="s">
        <v>41</v>
      </c>
      <c r="E3671" s="6">
        <v>1</v>
      </c>
      <c r="F3671" s="6">
        <v>3</v>
      </c>
      <c r="G3671" s="6" t="s">
        <v>9</v>
      </c>
      <c r="H3671" s="6" t="s">
        <v>13</v>
      </c>
      <c r="I3671" s="6">
        <f>TabJogos[[#This Row],[PontosTime1]]-TabJogos[[#This Row],[PontosTime2]]</f>
        <v>-2</v>
      </c>
    </row>
    <row r="3672" spans="1:9" ht="15" customHeight="1" x14ac:dyDescent="0.25">
      <c r="A3672" s="7">
        <v>3671</v>
      </c>
      <c r="B3672" s="1">
        <v>43619</v>
      </c>
      <c r="C3672" s="6" t="s">
        <v>18</v>
      </c>
      <c r="D3672" s="6" t="s">
        <v>41</v>
      </c>
      <c r="E3672" s="6">
        <v>3</v>
      </c>
      <c r="F3672" s="6">
        <v>2</v>
      </c>
      <c r="G3672" s="6" t="s">
        <v>11</v>
      </c>
      <c r="H3672" s="6" t="s">
        <v>13</v>
      </c>
      <c r="I3672" s="6">
        <f>TabJogos[[#This Row],[PontosTime1]]-TabJogos[[#This Row],[PontosTime2]]</f>
        <v>1</v>
      </c>
    </row>
    <row r="3673" spans="1:9" ht="15" customHeight="1" x14ac:dyDescent="0.25">
      <c r="A3673" s="7">
        <v>3672</v>
      </c>
      <c r="B3673" s="1">
        <v>43620</v>
      </c>
      <c r="C3673" s="6" t="s">
        <v>13</v>
      </c>
      <c r="D3673" s="6" t="s">
        <v>17</v>
      </c>
      <c r="E3673" s="6">
        <v>0</v>
      </c>
      <c r="F3673" s="6">
        <v>3</v>
      </c>
      <c r="G3673" s="6" t="s">
        <v>11</v>
      </c>
      <c r="H3673" s="6" t="s">
        <v>12</v>
      </c>
      <c r="I3673" s="6">
        <f>TabJogos[[#This Row],[PontosTime1]]-TabJogos[[#This Row],[PontosTime2]]</f>
        <v>-3</v>
      </c>
    </row>
    <row r="3674" spans="1:9" ht="15" customHeight="1" x14ac:dyDescent="0.25">
      <c r="A3674" s="7">
        <v>3673</v>
      </c>
      <c r="B3674" s="1">
        <v>43620</v>
      </c>
      <c r="C3674" s="6" t="s">
        <v>13</v>
      </c>
      <c r="D3674" s="6" t="s">
        <v>12</v>
      </c>
      <c r="E3674" s="6">
        <v>3</v>
      </c>
      <c r="F3674" s="6">
        <v>0</v>
      </c>
      <c r="G3674" s="6" t="s">
        <v>11</v>
      </c>
      <c r="H3674" s="6" t="s">
        <v>17</v>
      </c>
      <c r="I3674" s="6">
        <f>TabJogos[[#This Row],[PontosTime1]]-TabJogos[[#This Row],[PontosTime2]]</f>
        <v>3</v>
      </c>
    </row>
    <row r="3675" spans="1:9" ht="15" customHeight="1" x14ac:dyDescent="0.25">
      <c r="A3675" s="7">
        <v>3674</v>
      </c>
      <c r="B3675" s="1">
        <v>43620</v>
      </c>
      <c r="C3675" s="6" t="s">
        <v>9</v>
      </c>
      <c r="D3675" s="6" t="s">
        <v>32</v>
      </c>
      <c r="E3675" s="6">
        <v>3</v>
      </c>
      <c r="F3675" s="6">
        <v>1</v>
      </c>
      <c r="G3675" s="6" t="s">
        <v>13</v>
      </c>
      <c r="H3675" s="6" t="s">
        <v>11</v>
      </c>
      <c r="I3675" s="6">
        <f>TabJogos[[#This Row],[PontosTime1]]-TabJogos[[#This Row],[PontosTime2]]</f>
        <v>2</v>
      </c>
    </row>
    <row r="3676" spans="1:9" ht="15" customHeight="1" x14ac:dyDescent="0.25">
      <c r="A3676" s="7">
        <v>3675</v>
      </c>
      <c r="B3676" s="1">
        <v>43620</v>
      </c>
      <c r="C3676" s="6" t="s">
        <v>9</v>
      </c>
      <c r="D3676" s="6" t="s">
        <v>13</v>
      </c>
      <c r="E3676" s="6">
        <v>1</v>
      </c>
      <c r="F3676" s="6">
        <v>3</v>
      </c>
      <c r="G3676" s="6" t="s">
        <v>32</v>
      </c>
      <c r="H3676" s="6" t="s">
        <v>11</v>
      </c>
      <c r="I3676" s="6">
        <f>TabJogos[[#This Row],[PontosTime1]]-TabJogos[[#This Row],[PontosTime2]]</f>
        <v>-2</v>
      </c>
    </row>
    <row r="3677" spans="1:9" ht="15" customHeight="1" x14ac:dyDescent="0.25">
      <c r="A3677" s="7">
        <v>3676</v>
      </c>
      <c r="B3677" s="1">
        <v>43620</v>
      </c>
      <c r="C3677" s="6" t="s">
        <v>9</v>
      </c>
      <c r="D3677" s="6" t="s">
        <v>11</v>
      </c>
      <c r="E3677" s="6">
        <v>5</v>
      </c>
      <c r="F3677" s="6">
        <v>1</v>
      </c>
      <c r="G3677" s="6" t="s">
        <v>32</v>
      </c>
      <c r="H3677" s="6" t="s">
        <v>41</v>
      </c>
      <c r="I3677" s="6">
        <f>TabJogos[[#This Row],[PontosTime1]]-TabJogos[[#This Row],[PontosTime2]]</f>
        <v>4</v>
      </c>
    </row>
    <row r="3678" spans="1:9" ht="15" customHeight="1" x14ac:dyDescent="0.25">
      <c r="A3678" s="7">
        <v>3677</v>
      </c>
      <c r="B3678" s="1">
        <v>43620</v>
      </c>
      <c r="C3678" s="6" t="s">
        <v>9</v>
      </c>
      <c r="D3678" s="6" t="s">
        <v>32</v>
      </c>
      <c r="E3678" s="6">
        <v>3</v>
      </c>
      <c r="F3678" s="6">
        <v>1</v>
      </c>
      <c r="G3678" s="6" t="s">
        <v>13</v>
      </c>
      <c r="H3678" s="6" t="s">
        <v>11</v>
      </c>
      <c r="I3678" s="6">
        <f>TabJogos[[#This Row],[PontosTime1]]-TabJogos[[#This Row],[PontosTime2]]</f>
        <v>2</v>
      </c>
    </row>
    <row r="3679" spans="1:9" ht="15" customHeight="1" x14ac:dyDescent="0.25">
      <c r="A3679" s="7">
        <v>3678</v>
      </c>
      <c r="B3679" s="1">
        <v>43620</v>
      </c>
      <c r="C3679" s="6" t="s">
        <v>9</v>
      </c>
      <c r="D3679" s="6" t="s">
        <v>41</v>
      </c>
      <c r="E3679" s="6">
        <v>1</v>
      </c>
      <c r="F3679" s="6">
        <v>3</v>
      </c>
      <c r="G3679" s="6" t="s">
        <v>13</v>
      </c>
      <c r="H3679" s="6" t="s">
        <v>32</v>
      </c>
      <c r="I3679" s="6">
        <f>TabJogos[[#This Row],[PontosTime1]]-TabJogos[[#This Row],[PontosTime2]]</f>
        <v>-2</v>
      </c>
    </row>
    <row r="3680" spans="1:9" ht="15" customHeight="1" x14ac:dyDescent="0.25">
      <c r="A3680" s="7">
        <v>3679</v>
      </c>
      <c r="B3680" s="1">
        <v>43621</v>
      </c>
      <c r="C3680" s="6" t="s">
        <v>10</v>
      </c>
      <c r="D3680" s="6" t="s">
        <v>18</v>
      </c>
      <c r="E3680" s="6">
        <v>2</v>
      </c>
      <c r="F3680" s="6">
        <v>3</v>
      </c>
      <c r="G3680" s="6" t="s">
        <v>12</v>
      </c>
      <c r="H3680" s="6" t="s">
        <v>11</v>
      </c>
      <c r="I3680" s="6">
        <f>TabJogos[[#This Row],[PontosTime1]]-TabJogos[[#This Row],[PontosTime2]]</f>
        <v>-1</v>
      </c>
    </row>
    <row r="3681" spans="1:9" ht="15" customHeight="1" x14ac:dyDescent="0.25">
      <c r="A3681" s="7">
        <v>3680</v>
      </c>
      <c r="B3681" s="1">
        <v>43621</v>
      </c>
      <c r="C3681" s="6" t="s">
        <v>12</v>
      </c>
      <c r="D3681" s="6" t="s">
        <v>13</v>
      </c>
      <c r="E3681" s="6">
        <v>2</v>
      </c>
      <c r="F3681" s="6">
        <v>3</v>
      </c>
      <c r="G3681" s="6" t="s">
        <v>9</v>
      </c>
      <c r="H3681" s="6" t="s">
        <v>11</v>
      </c>
      <c r="I3681" s="6">
        <f>TabJogos[[#This Row],[PontosTime1]]-TabJogos[[#This Row],[PontosTime2]]</f>
        <v>-1</v>
      </c>
    </row>
    <row r="3682" spans="1:9" ht="15" customHeight="1" x14ac:dyDescent="0.25">
      <c r="A3682" s="7">
        <v>3681</v>
      </c>
      <c r="B3682" s="1">
        <v>43621</v>
      </c>
      <c r="C3682" s="6" t="s">
        <v>9</v>
      </c>
      <c r="D3682" s="6" t="s">
        <v>18</v>
      </c>
      <c r="E3682" s="6">
        <v>2</v>
      </c>
      <c r="F3682" s="6">
        <v>3</v>
      </c>
      <c r="G3682" s="6" t="s">
        <v>10</v>
      </c>
      <c r="H3682" s="6" t="s">
        <v>11</v>
      </c>
      <c r="I3682" s="6">
        <f>TabJogos[[#This Row],[PontosTime1]]-TabJogos[[#This Row],[PontosTime2]]</f>
        <v>-1</v>
      </c>
    </row>
    <row r="3683" spans="1:9" ht="15" customHeight="1" x14ac:dyDescent="0.25">
      <c r="A3683" s="7">
        <v>3682</v>
      </c>
      <c r="B3683" s="1">
        <v>43621</v>
      </c>
      <c r="C3683" s="6" t="s">
        <v>11</v>
      </c>
      <c r="D3683" s="6" t="s">
        <v>32</v>
      </c>
      <c r="E3683" s="6">
        <v>3</v>
      </c>
      <c r="F3683" s="6">
        <v>2</v>
      </c>
      <c r="G3683" s="6" t="s">
        <v>10</v>
      </c>
      <c r="H3683" s="6" t="s">
        <v>12</v>
      </c>
      <c r="I3683" s="6">
        <f>TabJogos[[#This Row],[PontosTime1]]-TabJogos[[#This Row],[PontosTime2]]</f>
        <v>1</v>
      </c>
    </row>
    <row r="3684" spans="1:9" ht="15" customHeight="1" x14ac:dyDescent="0.25">
      <c r="A3684" s="7">
        <v>3683</v>
      </c>
      <c r="B3684" s="1">
        <v>43621</v>
      </c>
      <c r="C3684" s="6" t="s">
        <v>11</v>
      </c>
      <c r="D3684" s="6" t="s">
        <v>18</v>
      </c>
      <c r="E3684" s="6">
        <v>2</v>
      </c>
      <c r="F3684" s="6">
        <v>3</v>
      </c>
      <c r="G3684" s="6" t="s">
        <v>32</v>
      </c>
      <c r="H3684" s="6" t="s">
        <v>13</v>
      </c>
      <c r="I3684" s="6">
        <f>TabJogos[[#This Row],[PontosTime1]]-TabJogos[[#This Row],[PontosTime2]]</f>
        <v>-1</v>
      </c>
    </row>
    <row r="3685" spans="1:9" ht="15" customHeight="1" x14ac:dyDescent="0.25">
      <c r="A3685" s="7">
        <v>3684</v>
      </c>
      <c r="B3685" s="1">
        <v>43621</v>
      </c>
      <c r="C3685" s="6" t="s">
        <v>32</v>
      </c>
      <c r="D3685" s="6" t="s">
        <v>10</v>
      </c>
      <c r="E3685" s="6">
        <v>3</v>
      </c>
      <c r="F3685" s="6">
        <v>2</v>
      </c>
      <c r="G3685" s="6" t="s">
        <v>13</v>
      </c>
      <c r="H3685" s="6" t="s">
        <v>9</v>
      </c>
      <c r="I3685" s="6">
        <f>TabJogos[[#This Row],[PontosTime1]]-TabJogos[[#This Row],[PontosTime2]]</f>
        <v>1</v>
      </c>
    </row>
    <row r="3686" spans="1:9" ht="15" customHeight="1" x14ac:dyDescent="0.25">
      <c r="A3686" s="7">
        <v>3685</v>
      </c>
      <c r="B3686" s="1">
        <v>43621</v>
      </c>
      <c r="C3686" s="6" t="s">
        <v>32</v>
      </c>
      <c r="D3686" s="6" t="s">
        <v>18</v>
      </c>
      <c r="E3686" s="6">
        <v>3</v>
      </c>
      <c r="F3686" s="6">
        <v>2</v>
      </c>
      <c r="G3686" s="6" t="s">
        <v>11</v>
      </c>
      <c r="H3686" s="6" t="s">
        <v>10</v>
      </c>
      <c r="I3686" s="6">
        <f>TabJogos[[#This Row],[PontosTime1]]-TabJogos[[#This Row],[PontosTime2]]</f>
        <v>1</v>
      </c>
    </row>
    <row r="3687" spans="1:9" ht="15" customHeight="1" x14ac:dyDescent="0.25">
      <c r="A3687" s="7">
        <v>3686</v>
      </c>
      <c r="B3687" s="1">
        <v>43621</v>
      </c>
      <c r="C3687" s="6" t="s">
        <v>11</v>
      </c>
      <c r="D3687" s="6" t="s">
        <v>32</v>
      </c>
      <c r="E3687" s="6">
        <v>3</v>
      </c>
      <c r="F3687" s="6">
        <v>2</v>
      </c>
      <c r="G3687" s="6" t="s">
        <v>18</v>
      </c>
      <c r="H3687" s="6" t="s">
        <v>13</v>
      </c>
      <c r="I3687" s="6">
        <f>TabJogos[[#This Row],[PontosTime1]]-TabJogos[[#This Row],[PontosTime2]]</f>
        <v>1</v>
      </c>
    </row>
    <row r="3688" spans="1:9" ht="15" customHeight="1" x14ac:dyDescent="0.25">
      <c r="A3688" s="7">
        <v>3687</v>
      </c>
      <c r="B3688" s="1">
        <v>43621</v>
      </c>
      <c r="C3688" s="6" t="s">
        <v>10</v>
      </c>
      <c r="D3688" s="6" t="s">
        <v>32</v>
      </c>
      <c r="E3688" s="6">
        <v>3</v>
      </c>
      <c r="F3688" s="6">
        <v>2</v>
      </c>
      <c r="G3688" s="6" t="s">
        <v>41</v>
      </c>
      <c r="H3688" s="6" t="s">
        <v>11</v>
      </c>
      <c r="I3688" s="6">
        <f>TabJogos[[#This Row],[PontosTime1]]-TabJogos[[#This Row],[PontosTime2]]</f>
        <v>1</v>
      </c>
    </row>
    <row r="3689" spans="1:9" ht="15" customHeight="1" x14ac:dyDescent="0.25">
      <c r="A3689" s="7">
        <v>3688</v>
      </c>
      <c r="B3689" s="1">
        <v>43621</v>
      </c>
      <c r="C3689" s="6" t="s">
        <v>13</v>
      </c>
      <c r="D3689" s="6" t="s">
        <v>32</v>
      </c>
      <c r="E3689" s="6">
        <v>3</v>
      </c>
      <c r="F3689" s="6">
        <v>2</v>
      </c>
      <c r="G3689" s="6" t="s">
        <v>10</v>
      </c>
      <c r="H3689" s="6" t="s">
        <v>18</v>
      </c>
      <c r="I3689" s="6">
        <f>TabJogos[[#This Row],[PontosTime1]]-TabJogos[[#This Row],[PontosTime2]]</f>
        <v>1</v>
      </c>
    </row>
    <row r="3690" spans="1:9" ht="15" customHeight="1" x14ac:dyDescent="0.25">
      <c r="A3690" s="7">
        <v>3689</v>
      </c>
      <c r="B3690" s="1">
        <v>43621</v>
      </c>
      <c r="C3690" s="6" t="s">
        <v>11</v>
      </c>
      <c r="D3690" s="6" t="s">
        <v>13</v>
      </c>
      <c r="E3690" s="6">
        <v>3</v>
      </c>
      <c r="F3690" s="6">
        <v>1</v>
      </c>
      <c r="G3690" s="6" t="s">
        <v>17</v>
      </c>
      <c r="H3690" s="6" t="s">
        <v>32</v>
      </c>
      <c r="I3690" s="6">
        <f>TabJogos[[#This Row],[PontosTime1]]-TabJogos[[#This Row],[PontosTime2]]</f>
        <v>2</v>
      </c>
    </row>
    <row r="3691" spans="1:9" ht="15" customHeight="1" x14ac:dyDescent="0.25">
      <c r="A3691" s="7">
        <v>3690</v>
      </c>
      <c r="B3691" s="1">
        <v>43621</v>
      </c>
      <c r="C3691" s="6" t="s">
        <v>18</v>
      </c>
      <c r="D3691" s="6" t="s">
        <v>13</v>
      </c>
      <c r="E3691" s="6">
        <v>3</v>
      </c>
      <c r="F3691" s="6">
        <v>2</v>
      </c>
      <c r="G3691" s="6" t="s">
        <v>11</v>
      </c>
      <c r="H3691" s="6" t="s">
        <v>17</v>
      </c>
      <c r="I3691" s="6">
        <f>TabJogos[[#This Row],[PontosTime1]]-TabJogos[[#This Row],[PontosTime2]]</f>
        <v>1</v>
      </c>
    </row>
    <row r="3692" spans="1:9" ht="15" customHeight="1" x14ac:dyDescent="0.25">
      <c r="A3692" s="7">
        <v>3691</v>
      </c>
      <c r="B3692" s="1">
        <v>43621</v>
      </c>
      <c r="C3692" s="6" t="s">
        <v>17</v>
      </c>
      <c r="D3692" s="6" t="s">
        <v>13</v>
      </c>
      <c r="E3692" s="6">
        <v>4</v>
      </c>
      <c r="F3692" s="6">
        <v>2</v>
      </c>
      <c r="G3692" s="6" t="s">
        <v>11</v>
      </c>
      <c r="H3692" s="6" t="s">
        <v>18</v>
      </c>
      <c r="I3692" s="6">
        <f>TabJogos[[#This Row],[PontosTime1]]-TabJogos[[#This Row],[PontosTime2]]</f>
        <v>2</v>
      </c>
    </row>
    <row r="3693" spans="1:9" ht="15" customHeight="1" x14ac:dyDescent="0.25">
      <c r="A3693" s="7">
        <v>3692</v>
      </c>
      <c r="B3693" s="1">
        <v>43621</v>
      </c>
      <c r="C3693" s="6" t="s">
        <v>11</v>
      </c>
      <c r="D3693" s="6" t="s">
        <v>13</v>
      </c>
      <c r="E3693" s="6">
        <v>3</v>
      </c>
      <c r="F3693" s="6">
        <v>2</v>
      </c>
      <c r="G3693" s="6" t="s">
        <v>17</v>
      </c>
      <c r="H3693" s="6" t="s">
        <v>18</v>
      </c>
      <c r="I3693" s="6">
        <f>TabJogos[[#This Row],[PontosTime1]]-TabJogos[[#This Row],[PontosTime2]]</f>
        <v>1</v>
      </c>
    </row>
    <row r="3694" spans="1:9" ht="15" customHeight="1" x14ac:dyDescent="0.25">
      <c r="A3694" s="7">
        <v>3693</v>
      </c>
      <c r="B3694" s="1">
        <v>43621</v>
      </c>
      <c r="C3694" s="6" t="s">
        <v>11</v>
      </c>
      <c r="D3694" s="6" t="s">
        <v>17</v>
      </c>
      <c r="E3694" s="6">
        <v>3</v>
      </c>
      <c r="F3694" s="6">
        <v>2</v>
      </c>
      <c r="G3694" s="6" t="s">
        <v>18</v>
      </c>
      <c r="H3694" s="6" t="s">
        <v>13</v>
      </c>
      <c r="I3694" s="6">
        <f>TabJogos[[#This Row],[PontosTime1]]-TabJogos[[#This Row],[PontosTime2]]</f>
        <v>1</v>
      </c>
    </row>
    <row r="3695" spans="1:9" ht="15" customHeight="1" x14ac:dyDescent="0.25">
      <c r="A3695" s="7">
        <v>3694</v>
      </c>
      <c r="B3695" s="1">
        <v>43622</v>
      </c>
      <c r="C3695" s="6" t="s">
        <v>11</v>
      </c>
      <c r="D3695" s="6" t="s">
        <v>12</v>
      </c>
      <c r="E3695" s="6">
        <v>3</v>
      </c>
      <c r="F3695" s="6">
        <v>2</v>
      </c>
      <c r="G3695" s="6" t="s">
        <v>13</v>
      </c>
      <c r="H3695" s="6" t="s">
        <v>17</v>
      </c>
      <c r="I3695" s="6">
        <f>TabJogos[[#This Row],[PontosTime1]]-TabJogos[[#This Row],[PontosTime2]]</f>
        <v>1</v>
      </c>
    </row>
    <row r="3696" spans="1:9" ht="15" customHeight="1" x14ac:dyDescent="0.25">
      <c r="A3696" s="7">
        <v>3695</v>
      </c>
      <c r="B3696" s="1">
        <v>43622</v>
      </c>
      <c r="C3696" s="6" t="s">
        <v>11</v>
      </c>
      <c r="D3696" s="6" t="s">
        <v>41</v>
      </c>
      <c r="E3696" s="6">
        <v>4</v>
      </c>
      <c r="F3696" s="6">
        <v>2</v>
      </c>
      <c r="G3696" s="6" t="s">
        <v>17</v>
      </c>
      <c r="H3696" s="6" t="s">
        <v>12</v>
      </c>
      <c r="I3696" s="6">
        <f>TabJogos[[#This Row],[PontosTime1]]-TabJogos[[#This Row],[PontosTime2]]</f>
        <v>2</v>
      </c>
    </row>
    <row r="3697" spans="1:9" ht="15" customHeight="1" x14ac:dyDescent="0.25">
      <c r="A3697" s="7">
        <v>3696</v>
      </c>
      <c r="B3697" s="1">
        <v>43622</v>
      </c>
      <c r="C3697" s="6" t="s">
        <v>11</v>
      </c>
      <c r="D3697" s="6" t="s">
        <v>13</v>
      </c>
      <c r="E3697" s="6">
        <v>4</v>
      </c>
      <c r="F3697" s="6">
        <v>0</v>
      </c>
      <c r="G3697" s="6" t="s">
        <v>41</v>
      </c>
      <c r="H3697" s="6" t="s">
        <v>12</v>
      </c>
      <c r="I3697" s="6">
        <f>TabJogos[[#This Row],[PontosTime1]]-TabJogos[[#This Row],[PontosTime2]]</f>
        <v>4</v>
      </c>
    </row>
    <row r="3698" spans="1:9" ht="15" customHeight="1" x14ac:dyDescent="0.25">
      <c r="A3698" s="7">
        <v>3697</v>
      </c>
      <c r="B3698" s="1">
        <v>43622</v>
      </c>
      <c r="C3698" s="6" t="s">
        <v>11</v>
      </c>
      <c r="D3698" s="6" t="s">
        <v>12</v>
      </c>
      <c r="E3698" s="6">
        <v>3</v>
      </c>
      <c r="F3698" s="6">
        <v>2</v>
      </c>
      <c r="G3698" s="6" t="s">
        <v>41</v>
      </c>
      <c r="H3698" s="6" t="s">
        <v>13</v>
      </c>
      <c r="I3698" s="6">
        <f>TabJogos[[#This Row],[PontosTime1]]-TabJogos[[#This Row],[PontosTime2]]</f>
        <v>1</v>
      </c>
    </row>
    <row r="3699" spans="1:9" ht="15" customHeight="1" x14ac:dyDescent="0.25">
      <c r="A3699" s="7">
        <v>3698</v>
      </c>
      <c r="B3699" s="1">
        <v>43622</v>
      </c>
      <c r="C3699" s="6" t="s">
        <v>12</v>
      </c>
      <c r="D3699" s="6" t="s">
        <v>13</v>
      </c>
      <c r="E3699" s="6">
        <v>3</v>
      </c>
      <c r="F3699" s="6">
        <v>2</v>
      </c>
      <c r="G3699" s="6" t="s">
        <v>41</v>
      </c>
      <c r="H3699" s="6" t="s">
        <v>11</v>
      </c>
      <c r="I3699" s="6">
        <f>TabJogos[[#This Row],[PontosTime1]]-TabJogos[[#This Row],[PontosTime2]]</f>
        <v>1</v>
      </c>
    </row>
    <row r="3700" spans="1:9" ht="15" customHeight="1" x14ac:dyDescent="0.25">
      <c r="A3700" s="7">
        <v>3699</v>
      </c>
      <c r="B3700" s="1">
        <v>43622</v>
      </c>
      <c r="C3700" s="6" t="s">
        <v>18</v>
      </c>
      <c r="D3700" s="6" t="s">
        <v>13</v>
      </c>
      <c r="E3700" s="6">
        <v>4</v>
      </c>
      <c r="F3700" s="6">
        <v>0</v>
      </c>
      <c r="G3700" s="6" t="s">
        <v>41</v>
      </c>
      <c r="H3700" s="6" t="s">
        <v>9</v>
      </c>
      <c r="I3700" s="6">
        <f>TabJogos[[#This Row],[PontosTime1]]-TabJogos[[#This Row],[PontosTime2]]</f>
        <v>4</v>
      </c>
    </row>
    <row r="3701" spans="1:9" ht="15" customHeight="1" x14ac:dyDescent="0.25">
      <c r="A3701" s="7">
        <v>3700</v>
      </c>
      <c r="B3701" s="1">
        <v>43622</v>
      </c>
      <c r="C3701" s="6" t="s">
        <v>9</v>
      </c>
      <c r="D3701" s="6" t="s">
        <v>13</v>
      </c>
      <c r="E3701" s="6">
        <v>3</v>
      </c>
      <c r="F3701" s="6">
        <v>2</v>
      </c>
      <c r="G3701" s="6" t="s">
        <v>18</v>
      </c>
      <c r="H3701" s="6" t="s">
        <v>11</v>
      </c>
      <c r="I3701" s="6">
        <f>TabJogos[[#This Row],[PontosTime1]]-TabJogos[[#This Row],[PontosTime2]]</f>
        <v>1</v>
      </c>
    </row>
    <row r="3702" spans="1:9" ht="15" customHeight="1" x14ac:dyDescent="0.25">
      <c r="A3702" s="7">
        <v>3701</v>
      </c>
      <c r="B3702" s="1">
        <v>43622</v>
      </c>
      <c r="C3702" s="6" t="s">
        <v>13</v>
      </c>
      <c r="D3702" s="6" t="s">
        <v>41</v>
      </c>
      <c r="E3702" s="6">
        <v>3</v>
      </c>
      <c r="F3702" s="6">
        <v>0</v>
      </c>
      <c r="G3702" s="6" t="s">
        <v>9</v>
      </c>
      <c r="H3702" s="6" t="s">
        <v>18</v>
      </c>
      <c r="I3702" s="6">
        <f>TabJogos[[#This Row],[PontosTime1]]-TabJogos[[#This Row],[PontosTime2]]</f>
        <v>3</v>
      </c>
    </row>
    <row r="3703" spans="1:9" ht="15" customHeight="1" x14ac:dyDescent="0.25">
      <c r="A3703" s="7">
        <v>3702</v>
      </c>
      <c r="B3703" s="1">
        <v>43622</v>
      </c>
      <c r="C3703" s="6" t="s">
        <v>9</v>
      </c>
      <c r="D3703" s="6" t="s">
        <v>41</v>
      </c>
      <c r="E3703" s="6">
        <v>3</v>
      </c>
      <c r="F3703" s="6">
        <v>1</v>
      </c>
      <c r="G3703" s="6" t="s">
        <v>11</v>
      </c>
      <c r="H3703" s="6" t="s">
        <v>13</v>
      </c>
      <c r="I3703" s="6">
        <f>TabJogos[[#This Row],[PontosTime1]]-TabJogos[[#This Row],[PontosTime2]]</f>
        <v>2</v>
      </c>
    </row>
    <row r="3704" spans="1:9" ht="15" customHeight="1" x14ac:dyDescent="0.25">
      <c r="A3704" s="7">
        <v>3703</v>
      </c>
      <c r="B3704" s="1">
        <v>43622</v>
      </c>
      <c r="C3704" s="6" t="s">
        <v>41</v>
      </c>
      <c r="D3704" s="6" t="s">
        <v>18</v>
      </c>
      <c r="E3704" s="6">
        <v>2</v>
      </c>
      <c r="F3704" s="6">
        <v>3</v>
      </c>
      <c r="G3704" s="6" t="s">
        <v>13</v>
      </c>
      <c r="H3704" s="6" t="s">
        <v>9</v>
      </c>
      <c r="I3704" s="6">
        <f>TabJogos[[#This Row],[PontosTime1]]-TabJogos[[#This Row],[PontosTime2]]</f>
        <v>-1</v>
      </c>
    </row>
    <row r="3705" spans="1:9" ht="15" customHeight="1" x14ac:dyDescent="0.25">
      <c r="A3705" s="7">
        <v>3704</v>
      </c>
      <c r="B3705" s="1">
        <v>43622</v>
      </c>
      <c r="C3705" s="6" t="s">
        <v>11</v>
      </c>
      <c r="D3705" s="6" t="s">
        <v>9</v>
      </c>
      <c r="E3705" s="6">
        <v>1</v>
      </c>
      <c r="F3705" s="6">
        <v>3</v>
      </c>
      <c r="G3705" s="6" t="s">
        <v>13</v>
      </c>
      <c r="H3705" s="6" t="s">
        <v>18</v>
      </c>
      <c r="I3705" s="6">
        <f>TabJogos[[#This Row],[PontosTime1]]-TabJogos[[#This Row],[PontosTime2]]</f>
        <v>-2</v>
      </c>
    </row>
    <row r="3706" spans="1:9" ht="15" customHeight="1" x14ac:dyDescent="0.25">
      <c r="A3706" s="7">
        <v>3705</v>
      </c>
      <c r="B3706" s="1">
        <v>43622</v>
      </c>
      <c r="C3706" s="6" t="s">
        <v>11</v>
      </c>
      <c r="D3706" s="6" t="s">
        <v>13</v>
      </c>
      <c r="E3706" s="6">
        <v>3</v>
      </c>
      <c r="F3706" s="6">
        <v>1</v>
      </c>
      <c r="G3706" s="6" t="s">
        <v>9</v>
      </c>
      <c r="H3706" s="6" t="s">
        <v>18</v>
      </c>
      <c r="I3706" s="6">
        <f>TabJogos[[#This Row],[PontosTime1]]-TabJogos[[#This Row],[PontosTime2]]</f>
        <v>2</v>
      </c>
    </row>
    <row r="3707" spans="1:9" ht="15" customHeight="1" x14ac:dyDescent="0.25">
      <c r="A3707" s="7">
        <v>3706</v>
      </c>
      <c r="B3707" s="1">
        <v>43622</v>
      </c>
      <c r="C3707" s="6" t="s">
        <v>11</v>
      </c>
      <c r="D3707" s="6" t="s">
        <v>18</v>
      </c>
      <c r="E3707" s="6">
        <v>3</v>
      </c>
      <c r="F3707" s="6">
        <v>2</v>
      </c>
      <c r="G3707" s="6" t="s">
        <v>13</v>
      </c>
      <c r="H3707" s="6" t="s">
        <v>9</v>
      </c>
      <c r="I3707" s="6">
        <f>TabJogos[[#This Row],[PontosTime1]]-TabJogos[[#This Row],[PontosTime2]]</f>
        <v>1</v>
      </c>
    </row>
    <row r="3708" spans="1:9" ht="15" customHeight="1" x14ac:dyDescent="0.25">
      <c r="A3708" s="7">
        <v>3707</v>
      </c>
      <c r="B3708" s="1">
        <v>43622</v>
      </c>
      <c r="C3708" s="6" t="s">
        <v>11</v>
      </c>
      <c r="D3708" s="6" t="s">
        <v>9</v>
      </c>
      <c r="E3708" s="6">
        <v>6</v>
      </c>
      <c r="F3708" s="6">
        <v>0</v>
      </c>
      <c r="G3708" s="6" t="s">
        <v>9</v>
      </c>
      <c r="H3708" s="6" t="s">
        <v>13</v>
      </c>
      <c r="I3708" s="6">
        <f>TabJogos[[#This Row],[PontosTime1]]-TabJogos[[#This Row],[PontosTime2]]</f>
        <v>6</v>
      </c>
    </row>
    <row r="3709" spans="1:9" ht="15" customHeight="1" x14ac:dyDescent="0.25">
      <c r="A3709" s="7">
        <v>3708</v>
      </c>
      <c r="B3709" s="1">
        <v>43623</v>
      </c>
      <c r="C3709" s="6" t="s">
        <v>12</v>
      </c>
      <c r="D3709" s="6" t="s">
        <v>11</v>
      </c>
      <c r="E3709" s="6">
        <v>3</v>
      </c>
      <c r="F3709" s="6">
        <v>0</v>
      </c>
      <c r="G3709" s="6" t="s">
        <v>13</v>
      </c>
      <c r="H3709" s="6" t="s">
        <v>18</v>
      </c>
      <c r="I3709" s="6">
        <f>TabJogos[[#This Row],[PontosTime1]]-TabJogos[[#This Row],[PontosTime2]]</f>
        <v>3</v>
      </c>
    </row>
    <row r="3710" spans="1:9" ht="15" customHeight="1" x14ac:dyDescent="0.25">
      <c r="A3710" s="7">
        <v>3709</v>
      </c>
      <c r="B3710" s="1">
        <v>43623</v>
      </c>
      <c r="C3710" s="6" t="s">
        <v>11</v>
      </c>
      <c r="D3710" s="6" t="s">
        <v>18</v>
      </c>
      <c r="E3710" s="6">
        <v>3</v>
      </c>
      <c r="F3710" s="6">
        <v>1</v>
      </c>
      <c r="G3710" s="6" t="s">
        <v>13</v>
      </c>
      <c r="H3710" s="6" t="s">
        <v>12</v>
      </c>
      <c r="I3710" s="6">
        <f>TabJogos[[#This Row],[PontosTime1]]-TabJogos[[#This Row],[PontosTime2]]</f>
        <v>2</v>
      </c>
    </row>
    <row r="3711" spans="1:9" ht="15" customHeight="1" x14ac:dyDescent="0.25">
      <c r="A3711" s="7">
        <v>3710</v>
      </c>
      <c r="B3711" s="1">
        <v>43623</v>
      </c>
      <c r="C3711" s="6" t="s">
        <v>18</v>
      </c>
      <c r="D3711" s="6" t="s">
        <v>11</v>
      </c>
      <c r="E3711" s="6">
        <v>3</v>
      </c>
      <c r="F3711" s="6">
        <v>0</v>
      </c>
      <c r="G3711" s="6" t="s">
        <v>16</v>
      </c>
      <c r="H3711" s="6" t="s">
        <v>13</v>
      </c>
      <c r="I3711" s="6">
        <f>TabJogos[[#This Row],[PontosTime1]]-TabJogos[[#This Row],[PontosTime2]]</f>
        <v>3</v>
      </c>
    </row>
    <row r="3712" spans="1:9" ht="15" customHeight="1" x14ac:dyDescent="0.25">
      <c r="A3712" s="7">
        <v>3711</v>
      </c>
      <c r="B3712" s="1">
        <v>43623</v>
      </c>
      <c r="C3712" s="6" t="s">
        <v>11</v>
      </c>
      <c r="D3712" s="6" t="s">
        <v>13</v>
      </c>
      <c r="E3712" s="6">
        <v>3</v>
      </c>
      <c r="F3712" s="6">
        <v>0</v>
      </c>
      <c r="G3712" s="6" t="s">
        <v>9</v>
      </c>
      <c r="H3712" s="6" t="s">
        <v>18</v>
      </c>
      <c r="I3712" s="6">
        <f>TabJogos[[#This Row],[PontosTime1]]-TabJogos[[#This Row],[PontosTime2]]</f>
        <v>3</v>
      </c>
    </row>
    <row r="3713" spans="1:9" ht="15" customHeight="1" x14ac:dyDescent="0.25">
      <c r="A3713" s="7">
        <v>3712</v>
      </c>
      <c r="B3713" s="1">
        <v>43623</v>
      </c>
      <c r="C3713" s="6" t="s">
        <v>11</v>
      </c>
      <c r="D3713" s="6" t="s">
        <v>16</v>
      </c>
      <c r="E3713" s="6">
        <v>3</v>
      </c>
      <c r="F3713" s="6">
        <v>0</v>
      </c>
      <c r="G3713" s="6" t="s">
        <v>13</v>
      </c>
      <c r="H3713" s="6" t="s">
        <v>9</v>
      </c>
      <c r="I3713" s="6">
        <f>TabJogos[[#This Row],[PontosTime1]]-TabJogos[[#This Row],[PontosTime2]]</f>
        <v>3</v>
      </c>
    </row>
    <row r="3714" spans="1:9" ht="15" customHeight="1" x14ac:dyDescent="0.25">
      <c r="A3714" s="7">
        <v>3713</v>
      </c>
      <c r="B3714" s="1">
        <v>43623</v>
      </c>
      <c r="C3714" s="6" t="s">
        <v>11</v>
      </c>
      <c r="D3714" s="6" t="s">
        <v>13</v>
      </c>
      <c r="E3714" s="6">
        <v>2</v>
      </c>
      <c r="F3714" s="6">
        <v>3</v>
      </c>
      <c r="G3714" s="6" t="s">
        <v>16</v>
      </c>
      <c r="H3714" s="6" t="s">
        <v>18</v>
      </c>
      <c r="I3714" s="6">
        <f>TabJogos[[#This Row],[PontosTime1]]-TabJogos[[#This Row],[PontosTime2]]</f>
        <v>-1</v>
      </c>
    </row>
    <row r="3715" spans="1:9" ht="15" customHeight="1" x14ac:dyDescent="0.25">
      <c r="A3715" s="7">
        <v>3714</v>
      </c>
      <c r="B3715" s="1">
        <v>43623</v>
      </c>
      <c r="C3715" s="6" t="s">
        <v>13</v>
      </c>
      <c r="D3715" s="6" t="s">
        <v>18</v>
      </c>
      <c r="E3715" s="6">
        <v>3</v>
      </c>
      <c r="F3715" s="6">
        <v>0</v>
      </c>
      <c r="G3715" s="6" t="s">
        <v>16</v>
      </c>
      <c r="H3715" s="6" t="s">
        <v>9</v>
      </c>
      <c r="I3715" s="6">
        <f>TabJogos[[#This Row],[PontosTime1]]-TabJogos[[#This Row],[PontosTime2]]</f>
        <v>3</v>
      </c>
    </row>
    <row r="3716" spans="1:9" ht="15" customHeight="1" x14ac:dyDescent="0.25">
      <c r="A3716" s="7">
        <v>3715</v>
      </c>
      <c r="B3716" s="1">
        <v>43623</v>
      </c>
      <c r="C3716" s="6" t="s">
        <v>11</v>
      </c>
      <c r="D3716" s="6" t="s">
        <v>18</v>
      </c>
      <c r="E3716" s="6">
        <v>3</v>
      </c>
      <c r="F3716" s="6">
        <v>2</v>
      </c>
      <c r="G3716" s="6" t="s">
        <v>9</v>
      </c>
      <c r="H3716" s="6" t="s">
        <v>13</v>
      </c>
      <c r="I3716" s="6">
        <f>TabJogos[[#This Row],[PontosTime1]]-TabJogos[[#This Row],[PontosTime2]]</f>
        <v>1</v>
      </c>
    </row>
    <row r="3717" spans="1:9" ht="15" customHeight="1" x14ac:dyDescent="0.25">
      <c r="A3717" s="7">
        <v>3716</v>
      </c>
      <c r="B3717" s="1">
        <v>43623</v>
      </c>
      <c r="C3717" s="6" t="s">
        <v>11</v>
      </c>
      <c r="D3717" s="6" t="s">
        <v>9</v>
      </c>
      <c r="E3717" s="6">
        <v>1</v>
      </c>
      <c r="F3717" s="6">
        <v>3</v>
      </c>
      <c r="G3717" s="6" t="s">
        <v>17</v>
      </c>
      <c r="H3717" s="6" t="s">
        <v>18</v>
      </c>
      <c r="I3717" s="6">
        <f>TabJogos[[#This Row],[PontosTime1]]-TabJogos[[#This Row],[PontosTime2]]</f>
        <v>-2</v>
      </c>
    </row>
    <row r="3718" spans="1:9" ht="15" customHeight="1" x14ac:dyDescent="0.25">
      <c r="A3718" s="7">
        <v>3717</v>
      </c>
      <c r="B3718" s="1">
        <v>43623</v>
      </c>
      <c r="C3718" s="6" t="s">
        <v>17</v>
      </c>
      <c r="D3718" s="6" t="s">
        <v>9</v>
      </c>
      <c r="E3718" s="6">
        <v>1</v>
      </c>
      <c r="F3718" s="6">
        <v>3</v>
      </c>
      <c r="G3718" s="6" t="s">
        <v>13</v>
      </c>
      <c r="H3718" s="6" t="s">
        <v>18</v>
      </c>
      <c r="I3718" s="6">
        <f>TabJogos[[#This Row],[PontosTime1]]-TabJogos[[#This Row],[PontosTime2]]</f>
        <v>-2</v>
      </c>
    </row>
    <row r="3719" spans="1:9" ht="15" customHeight="1" x14ac:dyDescent="0.25">
      <c r="A3719" s="7">
        <v>3718</v>
      </c>
      <c r="B3719" s="1">
        <v>43623</v>
      </c>
      <c r="C3719" s="6" t="s">
        <v>17</v>
      </c>
      <c r="D3719" s="6" t="s">
        <v>13</v>
      </c>
      <c r="E3719" s="6">
        <v>3</v>
      </c>
      <c r="F3719" s="6">
        <v>1</v>
      </c>
      <c r="G3719" s="6" t="s">
        <v>11</v>
      </c>
      <c r="H3719" s="6" t="s">
        <v>18</v>
      </c>
      <c r="I3719" s="6">
        <f>TabJogos[[#This Row],[PontosTime1]]-TabJogos[[#This Row],[PontosTime2]]</f>
        <v>2</v>
      </c>
    </row>
    <row r="3720" spans="1:9" ht="15" customHeight="1" x14ac:dyDescent="0.25">
      <c r="A3720" s="7">
        <v>3719</v>
      </c>
      <c r="B3720" s="1">
        <v>43627</v>
      </c>
      <c r="C3720" s="6" t="s">
        <v>13</v>
      </c>
      <c r="D3720" s="6" t="s">
        <v>18</v>
      </c>
      <c r="E3720" s="6">
        <v>1</v>
      </c>
      <c r="F3720" s="6">
        <v>3</v>
      </c>
      <c r="G3720" s="6" t="s">
        <v>10</v>
      </c>
      <c r="H3720" s="6" t="s">
        <v>12</v>
      </c>
      <c r="I3720" s="6">
        <f>TabJogos[[#This Row],[PontosTime1]]-TabJogos[[#This Row],[PontosTime2]]</f>
        <v>-2</v>
      </c>
    </row>
    <row r="3721" spans="1:9" ht="15" customHeight="1" x14ac:dyDescent="0.25">
      <c r="A3721" s="7">
        <v>3720</v>
      </c>
      <c r="B3721" s="1">
        <v>43627</v>
      </c>
      <c r="C3721" s="6" t="s">
        <v>13</v>
      </c>
      <c r="D3721" s="6" t="s">
        <v>12</v>
      </c>
      <c r="E3721" s="6">
        <v>2</v>
      </c>
      <c r="F3721" s="6">
        <v>3</v>
      </c>
      <c r="G3721" s="6" t="s">
        <v>10</v>
      </c>
      <c r="H3721" s="6" t="s">
        <v>18</v>
      </c>
      <c r="I3721" s="6">
        <f>TabJogos[[#This Row],[PontosTime1]]-TabJogos[[#This Row],[PontosTime2]]</f>
        <v>-1</v>
      </c>
    </row>
    <row r="3722" spans="1:9" ht="15" customHeight="1" x14ac:dyDescent="0.25">
      <c r="A3722" s="7">
        <v>3721</v>
      </c>
      <c r="B3722" s="1">
        <v>43627</v>
      </c>
      <c r="C3722" s="6" t="s">
        <v>41</v>
      </c>
      <c r="D3722" s="6" t="s">
        <v>10</v>
      </c>
      <c r="E3722" s="6">
        <v>0</v>
      </c>
      <c r="F3722" s="6">
        <v>4</v>
      </c>
      <c r="G3722" s="6" t="s">
        <v>12</v>
      </c>
      <c r="H3722" s="6" t="s">
        <v>18</v>
      </c>
      <c r="I3722" s="6">
        <f>TabJogos[[#This Row],[PontosTime1]]-TabJogos[[#This Row],[PontosTime2]]</f>
        <v>-4</v>
      </c>
    </row>
    <row r="3723" spans="1:9" ht="15" customHeight="1" x14ac:dyDescent="0.25">
      <c r="A3723" s="7">
        <v>3722</v>
      </c>
      <c r="B3723" s="1">
        <v>43627</v>
      </c>
      <c r="C3723" s="6" t="s">
        <v>17</v>
      </c>
      <c r="D3723" s="6" t="s">
        <v>12</v>
      </c>
      <c r="E3723" s="6">
        <v>3</v>
      </c>
      <c r="F3723" s="6">
        <v>2</v>
      </c>
      <c r="G3723" s="6" t="s">
        <v>13</v>
      </c>
      <c r="H3723" s="6" t="s">
        <v>18</v>
      </c>
      <c r="I3723" s="6">
        <f>TabJogos[[#This Row],[PontosTime1]]-TabJogos[[#This Row],[PontosTime2]]</f>
        <v>1</v>
      </c>
    </row>
    <row r="3724" spans="1:9" ht="15" customHeight="1" x14ac:dyDescent="0.25">
      <c r="A3724" s="7">
        <v>3723</v>
      </c>
      <c r="B3724" s="1">
        <v>43627</v>
      </c>
      <c r="C3724" s="6" t="s">
        <v>41</v>
      </c>
      <c r="D3724" s="6" t="s">
        <v>18</v>
      </c>
      <c r="E3724" s="6">
        <v>4</v>
      </c>
      <c r="F3724" s="6">
        <v>2</v>
      </c>
      <c r="G3724" s="6" t="s">
        <v>10</v>
      </c>
      <c r="H3724" s="6" t="s">
        <v>17</v>
      </c>
      <c r="I3724" s="6">
        <f>TabJogos[[#This Row],[PontosTime1]]-TabJogos[[#This Row],[PontosTime2]]</f>
        <v>2</v>
      </c>
    </row>
    <row r="3725" spans="1:9" ht="15" customHeight="1" x14ac:dyDescent="0.25">
      <c r="A3725" s="7">
        <v>3724</v>
      </c>
      <c r="B3725" s="1">
        <v>43627</v>
      </c>
      <c r="C3725" s="6" t="s">
        <v>11</v>
      </c>
      <c r="D3725" s="6" t="s">
        <v>18</v>
      </c>
      <c r="E3725" s="6">
        <v>0</v>
      </c>
      <c r="F3725" s="6">
        <v>3</v>
      </c>
      <c r="G3725" s="6" t="s">
        <v>13</v>
      </c>
      <c r="H3725" s="6" t="s">
        <v>17</v>
      </c>
      <c r="I3725" s="6">
        <f>TabJogos[[#This Row],[PontosTime1]]-TabJogos[[#This Row],[PontosTime2]]</f>
        <v>-3</v>
      </c>
    </row>
    <row r="3726" spans="1:9" ht="15" customHeight="1" x14ac:dyDescent="0.25">
      <c r="A3726" s="7">
        <v>3725</v>
      </c>
      <c r="B3726" s="1">
        <v>43627</v>
      </c>
      <c r="C3726" s="6" t="s">
        <v>11</v>
      </c>
      <c r="D3726" s="6" t="s">
        <v>13</v>
      </c>
      <c r="E3726" s="6">
        <v>4</v>
      </c>
      <c r="F3726" s="6">
        <v>1</v>
      </c>
      <c r="G3726" s="6" t="s">
        <v>41</v>
      </c>
      <c r="H3726" s="6" t="s">
        <v>18</v>
      </c>
      <c r="I3726" s="6">
        <f>TabJogos[[#This Row],[PontosTime1]]-TabJogos[[#This Row],[PontosTime2]]</f>
        <v>3</v>
      </c>
    </row>
    <row r="3727" spans="1:9" ht="15" customHeight="1" x14ac:dyDescent="0.25">
      <c r="A3727" s="7">
        <v>3726</v>
      </c>
      <c r="B3727" s="1">
        <v>43627</v>
      </c>
      <c r="C3727" s="6" t="s">
        <v>11</v>
      </c>
      <c r="D3727" s="6" t="s">
        <v>41</v>
      </c>
      <c r="E3727" s="6">
        <v>1</v>
      </c>
      <c r="F3727" s="6">
        <v>3</v>
      </c>
      <c r="G3727" s="6" t="s">
        <v>13</v>
      </c>
      <c r="H3727" s="6" t="s">
        <v>32</v>
      </c>
      <c r="I3727" s="6">
        <f>TabJogos[[#This Row],[PontosTime1]]-TabJogos[[#This Row],[PontosTime2]]</f>
        <v>-2</v>
      </c>
    </row>
    <row r="3728" spans="1:9" ht="15" customHeight="1" x14ac:dyDescent="0.25">
      <c r="A3728" s="7">
        <v>3727</v>
      </c>
      <c r="B3728" s="1">
        <v>43627</v>
      </c>
      <c r="C3728" s="6" t="s">
        <v>11</v>
      </c>
      <c r="D3728" s="6" t="s">
        <v>32</v>
      </c>
      <c r="E3728" s="6">
        <v>3</v>
      </c>
      <c r="F3728" s="6">
        <v>0</v>
      </c>
      <c r="G3728" s="6" t="s">
        <v>13</v>
      </c>
      <c r="H3728" s="6" t="s">
        <v>18</v>
      </c>
      <c r="I3728" s="6">
        <f>TabJogos[[#This Row],[PontosTime1]]-TabJogos[[#This Row],[PontosTime2]]</f>
        <v>3</v>
      </c>
    </row>
    <row r="3729" spans="1:9" ht="15" customHeight="1" x14ac:dyDescent="0.25">
      <c r="A3729" s="7">
        <v>3728</v>
      </c>
      <c r="B3729" s="1">
        <v>43627</v>
      </c>
      <c r="C3729" s="6" t="s">
        <v>41</v>
      </c>
      <c r="D3729" s="6" t="s">
        <v>32</v>
      </c>
      <c r="E3729" s="6">
        <v>4</v>
      </c>
      <c r="F3729" s="6">
        <v>0</v>
      </c>
      <c r="G3729" s="6" t="s">
        <v>11</v>
      </c>
      <c r="H3729" s="6" t="s">
        <v>18</v>
      </c>
      <c r="I3729" s="6">
        <f>TabJogos[[#This Row],[PontosTime1]]-TabJogos[[#This Row],[PontosTime2]]</f>
        <v>4</v>
      </c>
    </row>
    <row r="3730" spans="1:9" ht="15" customHeight="1" x14ac:dyDescent="0.25">
      <c r="A3730" s="7">
        <v>3729</v>
      </c>
      <c r="B3730" s="1">
        <v>43627</v>
      </c>
      <c r="C3730" s="6" t="s">
        <v>41</v>
      </c>
      <c r="D3730" s="6" t="s">
        <v>13</v>
      </c>
      <c r="E3730" s="6">
        <v>3</v>
      </c>
      <c r="F3730" s="6">
        <v>0</v>
      </c>
      <c r="G3730" s="6" t="s">
        <v>32</v>
      </c>
      <c r="H3730" s="6" t="s">
        <v>18</v>
      </c>
      <c r="I3730" s="6">
        <f>TabJogos[[#This Row],[PontosTime1]]-TabJogos[[#This Row],[PontosTime2]]</f>
        <v>3</v>
      </c>
    </row>
    <row r="3731" spans="1:9" ht="15" customHeight="1" x14ac:dyDescent="0.25">
      <c r="A3731" s="7">
        <v>3730</v>
      </c>
      <c r="B3731" s="1">
        <v>43627</v>
      </c>
      <c r="C3731" s="6" t="s">
        <v>11</v>
      </c>
      <c r="D3731" s="6" t="s">
        <v>41</v>
      </c>
      <c r="E3731" s="6">
        <v>3</v>
      </c>
      <c r="F3731" s="6">
        <v>2</v>
      </c>
      <c r="G3731" s="6" t="s">
        <v>18</v>
      </c>
      <c r="H3731" s="6" t="s">
        <v>13</v>
      </c>
      <c r="I3731" s="6">
        <f>TabJogos[[#This Row],[PontosTime1]]-TabJogos[[#This Row],[PontosTime2]]</f>
        <v>1</v>
      </c>
    </row>
    <row r="3732" spans="1:9" ht="15" customHeight="1" x14ac:dyDescent="0.25">
      <c r="A3732" s="7">
        <v>3731</v>
      </c>
      <c r="B3732" s="1">
        <v>43628</v>
      </c>
      <c r="C3732" s="6" t="s">
        <v>10</v>
      </c>
      <c r="D3732" s="6" t="s">
        <v>13</v>
      </c>
      <c r="E3732" s="6">
        <v>2</v>
      </c>
      <c r="F3732" s="6">
        <v>3</v>
      </c>
      <c r="G3732" s="6" t="s">
        <v>12</v>
      </c>
      <c r="H3732" s="6" t="s">
        <v>11</v>
      </c>
      <c r="I3732" s="6">
        <f>TabJogos[[#This Row],[PontosTime1]]-TabJogos[[#This Row],[PontosTime2]]</f>
        <v>-1</v>
      </c>
    </row>
    <row r="3733" spans="1:9" ht="15" customHeight="1" x14ac:dyDescent="0.25">
      <c r="A3733" s="7">
        <v>3732</v>
      </c>
      <c r="B3733" s="1">
        <v>43628</v>
      </c>
      <c r="C3733" s="6" t="s">
        <v>12</v>
      </c>
      <c r="D3733" s="6" t="s">
        <v>13</v>
      </c>
      <c r="E3733" s="6">
        <v>4</v>
      </c>
      <c r="F3733" s="6">
        <v>2</v>
      </c>
      <c r="G3733" s="6" t="s">
        <v>11</v>
      </c>
      <c r="H3733" s="6" t="s">
        <v>10</v>
      </c>
      <c r="I3733" s="6">
        <f>TabJogos[[#This Row],[PontosTime1]]-TabJogos[[#This Row],[PontosTime2]]</f>
        <v>2</v>
      </c>
    </row>
    <row r="3734" spans="1:9" ht="15" customHeight="1" x14ac:dyDescent="0.25">
      <c r="A3734" s="7">
        <v>3733</v>
      </c>
      <c r="B3734" s="1">
        <v>43628</v>
      </c>
      <c r="C3734" s="6" t="s">
        <v>12</v>
      </c>
      <c r="D3734" s="6" t="s">
        <v>10</v>
      </c>
      <c r="E3734" s="6">
        <v>3</v>
      </c>
      <c r="F3734" s="6">
        <v>1</v>
      </c>
      <c r="G3734" s="6" t="s">
        <v>11</v>
      </c>
      <c r="H3734" s="6" t="s">
        <v>13</v>
      </c>
      <c r="I3734" s="6">
        <f>TabJogos[[#This Row],[PontosTime1]]-TabJogos[[#This Row],[PontosTime2]]</f>
        <v>2</v>
      </c>
    </row>
    <row r="3735" spans="1:9" ht="15" customHeight="1" x14ac:dyDescent="0.25">
      <c r="A3735" s="7">
        <v>3734</v>
      </c>
      <c r="B3735" s="1">
        <v>43628</v>
      </c>
      <c r="C3735" s="6" t="s">
        <v>11</v>
      </c>
      <c r="D3735" s="6" t="s">
        <v>41</v>
      </c>
      <c r="E3735" s="6">
        <v>3</v>
      </c>
      <c r="F3735" s="6">
        <v>0</v>
      </c>
      <c r="G3735" s="6" t="s">
        <v>13</v>
      </c>
      <c r="H3735" s="6" t="s">
        <v>10</v>
      </c>
      <c r="I3735" s="6">
        <f>TabJogos[[#This Row],[PontosTime1]]-TabJogos[[#This Row],[PontosTime2]]</f>
        <v>3</v>
      </c>
    </row>
    <row r="3736" spans="1:9" ht="15" customHeight="1" x14ac:dyDescent="0.25">
      <c r="A3736" s="7">
        <v>3735</v>
      </c>
      <c r="B3736" s="1">
        <v>43628</v>
      </c>
      <c r="C3736" s="6" t="s">
        <v>11</v>
      </c>
      <c r="D3736" s="6" t="s">
        <v>10</v>
      </c>
      <c r="E3736" s="6">
        <v>3</v>
      </c>
      <c r="F3736" s="6">
        <v>1</v>
      </c>
      <c r="G3736" s="6" t="s">
        <v>13</v>
      </c>
      <c r="H3736" s="6" t="s">
        <v>41</v>
      </c>
      <c r="I3736" s="6">
        <f>TabJogos[[#This Row],[PontosTime1]]-TabJogos[[#This Row],[PontosTime2]]</f>
        <v>2</v>
      </c>
    </row>
    <row r="3737" spans="1:9" ht="15" customHeight="1" x14ac:dyDescent="0.25">
      <c r="A3737" s="7">
        <v>3736</v>
      </c>
      <c r="B3737" s="1">
        <v>43628</v>
      </c>
      <c r="C3737" s="6" t="s">
        <v>11</v>
      </c>
      <c r="D3737" s="6" t="s">
        <v>13</v>
      </c>
      <c r="E3737" s="6">
        <v>6</v>
      </c>
      <c r="F3737" s="6">
        <v>0</v>
      </c>
      <c r="G3737" s="6" t="s">
        <v>27</v>
      </c>
      <c r="H3737" s="6" t="s">
        <v>10</v>
      </c>
      <c r="I3737" s="6">
        <f>TabJogos[[#This Row],[PontosTime1]]-TabJogos[[#This Row],[PontosTime2]]</f>
        <v>6</v>
      </c>
    </row>
    <row r="3738" spans="1:9" ht="15" customHeight="1" x14ac:dyDescent="0.25">
      <c r="A3738" s="7">
        <v>3737</v>
      </c>
      <c r="B3738" s="1">
        <v>43628</v>
      </c>
      <c r="C3738" s="6" t="s">
        <v>11</v>
      </c>
      <c r="D3738" s="6" t="s">
        <v>41</v>
      </c>
      <c r="E3738" s="6">
        <v>0</v>
      </c>
      <c r="F3738" s="6">
        <v>3</v>
      </c>
      <c r="G3738" s="6" t="s">
        <v>13</v>
      </c>
      <c r="H3738" s="6" t="s">
        <v>27</v>
      </c>
      <c r="I3738" s="6">
        <f>TabJogos[[#This Row],[PontosTime1]]-TabJogos[[#This Row],[PontosTime2]]</f>
        <v>-3</v>
      </c>
    </row>
    <row r="3739" spans="1:9" ht="15" customHeight="1" x14ac:dyDescent="0.25">
      <c r="A3739" s="7">
        <v>3738</v>
      </c>
      <c r="B3739" s="1">
        <v>43628</v>
      </c>
      <c r="C3739" s="6" t="s">
        <v>27</v>
      </c>
      <c r="D3739" s="6" t="s">
        <v>41</v>
      </c>
      <c r="E3739" s="6">
        <v>6</v>
      </c>
      <c r="F3739" s="6">
        <v>0</v>
      </c>
      <c r="G3739" s="6" t="s">
        <v>13</v>
      </c>
      <c r="H3739" s="6" t="s">
        <v>10</v>
      </c>
      <c r="I3739" s="6">
        <f>TabJogos[[#This Row],[PontosTime1]]-TabJogos[[#This Row],[PontosTime2]]</f>
        <v>6</v>
      </c>
    </row>
    <row r="3740" spans="1:9" ht="15" customHeight="1" x14ac:dyDescent="0.25">
      <c r="A3740" s="7">
        <v>3739</v>
      </c>
      <c r="B3740" s="1">
        <v>43628</v>
      </c>
      <c r="C3740" s="6" t="s">
        <v>10</v>
      </c>
      <c r="D3740" s="6" t="s">
        <v>41</v>
      </c>
      <c r="E3740" s="6">
        <v>3</v>
      </c>
      <c r="F3740" s="6">
        <v>1</v>
      </c>
      <c r="G3740" s="6" t="s">
        <v>27</v>
      </c>
      <c r="H3740" s="6" t="s">
        <v>11</v>
      </c>
      <c r="I3740" s="6">
        <f>TabJogos[[#This Row],[PontosTime1]]-TabJogos[[#This Row],[PontosTime2]]</f>
        <v>2</v>
      </c>
    </row>
    <row r="3741" spans="1:9" ht="15" customHeight="1" x14ac:dyDescent="0.25">
      <c r="A3741" s="7">
        <v>3740</v>
      </c>
      <c r="B3741" s="1">
        <v>43628</v>
      </c>
      <c r="C3741" s="6" t="s">
        <v>13</v>
      </c>
      <c r="D3741" s="6" t="s">
        <v>41</v>
      </c>
      <c r="E3741" s="6">
        <v>3</v>
      </c>
      <c r="F3741" s="6">
        <v>1</v>
      </c>
      <c r="G3741" s="6" t="s">
        <v>11</v>
      </c>
      <c r="H3741" s="6" t="s">
        <v>10</v>
      </c>
      <c r="I3741" s="6">
        <f>TabJogos[[#This Row],[PontosTime1]]-TabJogos[[#This Row],[PontosTime2]]</f>
        <v>2</v>
      </c>
    </row>
    <row r="3742" spans="1:9" ht="15" customHeight="1" x14ac:dyDescent="0.25">
      <c r="A3742" s="7">
        <v>3741</v>
      </c>
      <c r="B3742" s="1">
        <v>43629</v>
      </c>
      <c r="C3742" s="6" t="s">
        <v>17</v>
      </c>
      <c r="D3742" s="6" t="s">
        <v>18</v>
      </c>
      <c r="E3742" s="6">
        <v>6</v>
      </c>
      <c r="F3742" s="6">
        <v>1</v>
      </c>
      <c r="G3742" s="6" t="s">
        <v>16</v>
      </c>
      <c r="H3742" s="6" t="s">
        <v>10</v>
      </c>
      <c r="I3742" s="6">
        <f>TabJogos[[#This Row],[PontosTime1]]-TabJogos[[#This Row],[PontosTime2]]</f>
        <v>5</v>
      </c>
    </row>
    <row r="3743" spans="1:9" ht="15" customHeight="1" x14ac:dyDescent="0.25">
      <c r="A3743" s="7">
        <v>3742</v>
      </c>
      <c r="B3743" s="1">
        <v>43629</v>
      </c>
      <c r="C3743" s="6" t="s">
        <v>11</v>
      </c>
      <c r="D3743" s="6" t="s">
        <v>17</v>
      </c>
      <c r="E3743" s="6">
        <v>3</v>
      </c>
      <c r="F3743" s="6">
        <v>1</v>
      </c>
      <c r="G3743" s="6" t="s">
        <v>13</v>
      </c>
      <c r="H3743" s="6" t="s">
        <v>18</v>
      </c>
      <c r="I3743" s="6">
        <f>TabJogos[[#This Row],[PontosTime1]]-TabJogos[[#This Row],[PontosTime2]]</f>
        <v>2</v>
      </c>
    </row>
    <row r="3744" spans="1:9" ht="15" customHeight="1" x14ac:dyDescent="0.25">
      <c r="A3744" s="7">
        <v>3743</v>
      </c>
      <c r="B3744" s="1">
        <v>43629</v>
      </c>
      <c r="C3744" s="6" t="s">
        <v>10</v>
      </c>
      <c r="D3744" s="6" t="s">
        <v>11</v>
      </c>
      <c r="E3744" s="6">
        <v>3</v>
      </c>
      <c r="F3744" s="6">
        <v>0</v>
      </c>
      <c r="G3744" s="6" t="s">
        <v>16</v>
      </c>
      <c r="H3744" s="6" t="s">
        <v>12</v>
      </c>
      <c r="I3744" s="6">
        <f>TabJogos[[#This Row],[PontosTime1]]-TabJogos[[#This Row],[PontosTime2]]</f>
        <v>3</v>
      </c>
    </row>
    <row r="3745" spans="1:9" ht="15" customHeight="1" x14ac:dyDescent="0.25">
      <c r="A3745" s="7">
        <v>3744</v>
      </c>
      <c r="B3745" s="1">
        <v>43629</v>
      </c>
      <c r="C3745" s="6" t="s">
        <v>10</v>
      </c>
      <c r="D3745" s="6" t="s">
        <v>18</v>
      </c>
      <c r="E3745" s="6">
        <v>3</v>
      </c>
      <c r="F3745" s="6">
        <v>0</v>
      </c>
      <c r="G3745" s="6" t="s">
        <v>11</v>
      </c>
      <c r="H3745" s="6" t="s">
        <v>13</v>
      </c>
      <c r="I3745" s="6">
        <f>TabJogos[[#This Row],[PontosTime1]]-TabJogos[[#This Row],[PontosTime2]]</f>
        <v>3</v>
      </c>
    </row>
    <row r="3746" spans="1:9" ht="15" customHeight="1" x14ac:dyDescent="0.25">
      <c r="A3746" s="7">
        <v>3745</v>
      </c>
      <c r="B3746" s="1">
        <v>43629</v>
      </c>
      <c r="C3746" s="6" t="s">
        <v>10</v>
      </c>
      <c r="D3746" s="6" t="s">
        <v>18</v>
      </c>
      <c r="E3746" s="6">
        <v>4</v>
      </c>
      <c r="F3746" s="6">
        <v>2</v>
      </c>
      <c r="G3746" s="6" t="s">
        <v>32</v>
      </c>
      <c r="H3746" s="6" t="s">
        <v>16</v>
      </c>
      <c r="I3746" s="6">
        <f>TabJogos[[#This Row],[PontosTime1]]-TabJogos[[#This Row],[PontosTime2]]</f>
        <v>2</v>
      </c>
    </row>
    <row r="3747" spans="1:9" ht="15" customHeight="1" x14ac:dyDescent="0.25">
      <c r="A3747" s="7">
        <v>3746</v>
      </c>
      <c r="B3747" s="1">
        <v>43629</v>
      </c>
      <c r="C3747" s="6" t="s">
        <v>11</v>
      </c>
      <c r="D3747" s="6" t="s">
        <v>18</v>
      </c>
      <c r="E3747" s="6">
        <v>1</v>
      </c>
      <c r="F3747" s="6">
        <v>3</v>
      </c>
      <c r="G3747" s="6" t="s">
        <v>10</v>
      </c>
      <c r="H3747" s="6" t="s">
        <v>13</v>
      </c>
      <c r="I3747" s="6">
        <f>TabJogos[[#This Row],[PontosTime1]]-TabJogos[[#This Row],[PontosTime2]]</f>
        <v>-2</v>
      </c>
    </row>
    <row r="3748" spans="1:9" ht="15" customHeight="1" x14ac:dyDescent="0.25">
      <c r="A3748" s="7">
        <v>3747</v>
      </c>
      <c r="B3748" s="1">
        <v>43629</v>
      </c>
      <c r="C3748" s="6" t="s">
        <v>13</v>
      </c>
      <c r="D3748" s="6" t="s">
        <v>10</v>
      </c>
      <c r="E3748" s="6">
        <v>3</v>
      </c>
      <c r="F3748" s="6">
        <v>1</v>
      </c>
      <c r="G3748" s="6" t="s">
        <v>16</v>
      </c>
      <c r="H3748" s="6" t="s">
        <v>32</v>
      </c>
      <c r="I3748" s="6">
        <f>TabJogos[[#This Row],[PontosTime1]]-TabJogos[[#This Row],[PontosTime2]]</f>
        <v>2</v>
      </c>
    </row>
    <row r="3749" spans="1:9" ht="15" customHeight="1" x14ac:dyDescent="0.25">
      <c r="A3749" s="7">
        <v>3748</v>
      </c>
      <c r="B3749" s="1">
        <v>43629</v>
      </c>
      <c r="C3749" s="6" t="s">
        <v>13</v>
      </c>
      <c r="D3749" s="6" t="s">
        <v>18</v>
      </c>
      <c r="E3749" s="6">
        <v>3</v>
      </c>
      <c r="F3749" s="6">
        <v>1</v>
      </c>
      <c r="G3749" s="6" t="s">
        <v>10</v>
      </c>
      <c r="H3749" s="6" t="s">
        <v>11</v>
      </c>
      <c r="I3749" s="6">
        <f>TabJogos[[#This Row],[PontosTime1]]-TabJogos[[#This Row],[PontosTime2]]</f>
        <v>2</v>
      </c>
    </row>
    <row r="3750" spans="1:9" ht="15" customHeight="1" x14ac:dyDescent="0.25">
      <c r="A3750" s="7">
        <v>3749</v>
      </c>
      <c r="B3750" s="1">
        <v>43629</v>
      </c>
      <c r="C3750" s="6" t="s">
        <v>11</v>
      </c>
      <c r="D3750" s="6" t="s">
        <v>13</v>
      </c>
      <c r="E3750" s="6">
        <v>3</v>
      </c>
      <c r="F3750" s="6">
        <v>0</v>
      </c>
      <c r="G3750" s="6" t="s">
        <v>18</v>
      </c>
      <c r="H3750" s="6" t="s">
        <v>10</v>
      </c>
      <c r="I3750" s="6">
        <f>TabJogos[[#This Row],[PontosTime1]]-TabJogos[[#This Row],[PontosTime2]]</f>
        <v>3</v>
      </c>
    </row>
    <row r="3751" spans="1:9" ht="15" customHeight="1" x14ac:dyDescent="0.25">
      <c r="A3751" s="7">
        <v>3750</v>
      </c>
      <c r="B3751" s="1">
        <v>43629</v>
      </c>
      <c r="C3751" s="6" t="s">
        <v>11</v>
      </c>
      <c r="D3751" s="6" t="s">
        <v>18</v>
      </c>
      <c r="E3751" s="6">
        <v>0</v>
      </c>
      <c r="F3751" s="6">
        <v>4</v>
      </c>
      <c r="G3751" s="6" t="s">
        <v>13</v>
      </c>
      <c r="H3751" s="6" t="s">
        <v>10</v>
      </c>
      <c r="I3751" s="6">
        <f>TabJogos[[#This Row],[PontosTime1]]-TabJogos[[#This Row],[PontosTime2]]</f>
        <v>-4</v>
      </c>
    </row>
    <row r="3752" spans="1:9" ht="15" customHeight="1" x14ac:dyDescent="0.25">
      <c r="A3752" s="7">
        <v>3751</v>
      </c>
      <c r="B3752" s="1">
        <v>43629</v>
      </c>
      <c r="C3752" s="6" t="s">
        <v>11</v>
      </c>
      <c r="D3752" s="6" t="s">
        <v>10</v>
      </c>
      <c r="E3752" s="6">
        <v>2</v>
      </c>
      <c r="F3752" s="6">
        <v>3</v>
      </c>
      <c r="G3752" s="6" t="s">
        <v>18</v>
      </c>
      <c r="H3752" s="6" t="s">
        <v>13</v>
      </c>
      <c r="I3752" s="6">
        <f>TabJogos[[#This Row],[PontosTime1]]-TabJogos[[#This Row],[PontosTime2]]</f>
        <v>-1</v>
      </c>
    </row>
    <row r="3753" spans="1:9" ht="15" customHeight="1" x14ac:dyDescent="0.25">
      <c r="A3753" s="7">
        <v>3752</v>
      </c>
      <c r="B3753" s="1">
        <v>43629</v>
      </c>
      <c r="C3753" s="6" t="s">
        <v>11</v>
      </c>
      <c r="D3753" s="6" t="s">
        <v>13</v>
      </c>
      <c r="E3753" s="6">
        <v>1</v>
      </c>
      <c r="F3753" s="6">
        <v>4</v>
      </c>
      <c r="G3753" s="6" t="s">
        <v>18</v>
      </c>
      <c r="H3753" s="6" t="s">
        <v>9</v>
      </c>
      <c r="I3753" s="6">
        <f>TabJogos[[#This Row],[PontosTime1]]-TabJogos[[#This Row],[PontosTime2]]</f>
        <v>-3</v>
      </c>
    </row>
    <row r="3754" spans="1:9" ht="15" customHeight="1" x14ac:dyDescent="0.25">
      <c r="A3754" s="7">
        <v>3753</v>
      </c>
      <c r="B3754" s="1">
        <v>43629</v>
      </c>
      <c r="C3754" s="6" t="s">
        <v>18</v>
      </c>
      <c r="D3754" s="6" t="s">
        <v>13</v>
      </c>
      <c r="E3754" s="6">
        <v>3</v>
      </c>
      <c r="F3754" s="6">
        <v>2</v>
      </c>
      <c r="G3754" s="6" t="s">
        <v>9</v>
      </c>
      <c r="H3754" s="6" t="s">
        <v>10</v>
      </c>
      <c r="I3754" s="6">
        <f>TabJogos[[#This Row],[PontosTime1]]-TabJogos[[#This Row],[PontosTime2]]</f>
        <v>1</v>
      </c>
    </row>
    <row r="3755" spans="1:9" ht="15" customHeight="1" x14ac:dyDescent="0.25">
      <c r="A3755" s="7">
        <v>3754</v>
      </c>
      <c r="B3755" s="1">
        <v>43629</v>
      </c>
      <c r="C3755" s="6" t="s">
        <v>18</v>
      </c>
      <c r="D3755" s="6" t="s">
        <v>10</v>
      </c>
      <c r="E3755" s="6">
        <v>0</v>
      </c>
      <c r="F3755" s="6">
        <v>3</v>
      </c>
      <c r="G3755" s="6" t="s">
        <v>13</v>
      </c>
      <c r="H3755" s="6" t="s">
        <v>9</v>
      </c>
      <c r="I3755" s="6">
        <f>TabJogos[[#This Row],[PontosTime1]]-TabJogos[[#This Row],[PontosTime2]]</f>
        <v>-3</v>
      </c>
    </row>
    <row r="3756" spans="1:9" ht="15" customHeight="1" x14ac:dyDescent="0.25">
      <c r="A3756" s="7">
        <v>3755</v>
      </c>
      <c r="B3756" s="1">
        <v>43630</v>
      </c>
      <c r="C3756" s="6" t="s">
        <v>9</v>
      </c>
      <c r="D3756" s="6" t="s">
        <v>18</v>
      </c>
      <c r="E3756" s="6">
        <v>3</v>
      </c>
      <c r="F3756" s="6">
        <v>0</v>
      </c>
      <c r="G3756" s="6" t="s">
        <v>16</v>
      </c>
      <c r="H3756" s="6" t="s">
        <v>10</v>
      </c>
      <c r="I3756" s="6">
        <f>TabJogos[[#This Row],[PontosTime1]]-TabJogos[[#This Row],[PontosTime2]]</f>
        <v>3</v>
      </c>
    </row>
    <row r="3757" spans="1:9" ht="15" customHeight="1" x14ac:dyDescent="0.25">
      <c r="A3757" s="7">
        <v>3756</v>
      </c>
      <c r="B3757" s="1">
        <v>43630</v>
      </c>
      <c r="C3757" s="6" t="s">
        <v>9</v>
      </c>
      <c r="D3757" s="6" t="s">
        <v>11</v>
      </c>
      <c r="E3757" s="6">
        <v>3</v>
      </c>
      <c r="F3757" s="6">
        <v>1</v>
      </c>
      <c r="G3757" s="6" t="s">
        <v>12</v>
      </c>
      <c r="H3757" s="6" t="s">
        <v>18</v>
      </c>
      <c r="I3757" s="6">
        <f>TabJogos[[#This Row],[PontosTime1]]-TabJogos[[#This Row],[PontosTime2]]</f>
        <v>2</v>
      </c>
    </row>
    <row r="3758" spans="1:9" ht="15" customHeight="1" x14ac:dyDescent="0.25">
      <c r="A3758" s="7">
        <v>3757</v>
      </c>
      <c r="B3758" s="1">
        <v>43630</v>
      </c>
      <c r="C3758" s="6" t="s">
        <v>9</v>
      </c>
      <c r="D3758" s="6" t="s">
        <v>10</v>
      </c>
      <c r="E3758" s="6">
        <v>0</v>
      </c>
      <c r="F3758" s="6">
        <v>3</v>
      </c>
      <c r="G3758" s="6" t="s">
        <v>11</v>
      </c>
      <c r="H3758" s="6" t="s">
        <v>18</v>
      </c>
      <c r="I3758" s="6">
        <f>TabJogos[[#This Row],[PontosTime1]]-TabJogos[[#This Row],[PontosTime2]]</f>
        <v>-3</v>
      </c>
    </row>
    <row r="3759" spans="1:9" ht="15" customHeight="1" x14ac:dyDescent="0.25">
      <c r="A3759" s="7">
        <v>3758</v>
      </c>
      <c r="B3759" s="1">
        <v>43630</v>
      </c>
      <c r="C3759" s="6" t="s">
        <v>11</v>
      </c>
      <c r="D3759" s="6" t="s">
        <v>12</v>
      </c>
      <c r="E3759" s="6">
        <v>0</v>
      </c>
      <c r="F3759" s="6">
        <v>3</v>
      </c>
      <c r="G3759" s="6" t="s">
        <v>10</v>
      </c>
      <c r="H3759" s="6" t="s">
        <v>18</v>
      </c>
      <c r="I3759" s="6">
        <f>TabJogos[[#This Row],[PontosTime1]]-TabJogos[[#This Row],[PontosTime2]]</f>
        <v>-3</v>
      </c>
    </row>
    <row r="3760" spans="1:9" ht="15" customHeight="1" x14ac:dyDescent="0.25">
      <c r="A3760" s="7">
        <v>3759</v>
      </c>
      <c r="B3760" s="1">
        <v>43630</v>
      </c>
      <c r="C3760" s="6" t="s">
        <v>41</v>
      </c>
      <c r="D3760" s="6" t="s">
        <v>10</v>
      </c>
      <c r="E3760" s="6">
        <v>3</v>
      </c>
      <c r="F3760" s="6">
        <v>1</v>
      </c>
      <c r="G3760" s="6" t="s">
        <v>9</v>
      </c>
      <c r="H3760" s="6" t="s">
        <v>18</v>
      </c>
      <c r="I3760" s="6">
        <f>TabJogos[[#This Row],[PontosTime1]]-TabJogos[[#This Row],[PontosTime2]]</f>
        <v>2</v>
      </c>
    </row>
    <row r="3761" spans="1:9" ht="15" customHeight="1" x14ac:dyDescent="0.25">
      <c r="A3761" s="7">
        <v>3760</v>
      </c>
      <c r="B3761" s="1">
        <v>43630</v>
      </c>
      <c r="C3761" s="6" t="s">
        <v>41</v>
      </c>
      <c r="D3761" s="6" t="s">
        <v>11</v>
      </c>
      <c r="E3761" s="6">
        <v>3</v>
      </c>
      <c r="F3761" s="6">
        <v>2</v>
      </c>
      <c r="G3761" s="6" t="s">
        <v>10</v>
      </c>
      <c r="H3761" s="6" t="s">
        <v>12</v>
      </c>
      <c r="I3761" s="6">
        <f>TabJogos[[#This Row],[PontosTime1]]-TabJogos[[#This Row],[PontosTime2]]</f>
        <v>1</v>
      </c>
    </row>
    <row r="3762" spans="1:9" ht="15" customHeight="1" x14ac:dyDescent="0.25">
      <c r="A3762" s="7">
        <v>3761</v>
      </c>
      <c r="B3762" s="1">
        <v>43630</v>
      </c>
      <c r="C3762" s="6" t="s">
        <v>41</v>
      </c>
      <c r="D3762" s="6" t="s">
        <v>18</v>
      </c>
      <c r="E3762" s="6">
        <v>5</v>
      </c>
      <c r="F3762" s="6">
        <v>0</v>
      </c>
      <c r="G3762" s="6" t="s">
        <v>17</v>
      </c>
      <c r="H3762" s="6" t="s">
        <v>11</v>
      </c>
      <c r="I3762" s="6">
        <f>TabJogos[[#This Row],[PontosTime1]]-TabJogos[[#This Row],[PontosTime2]]</f>
        <v>5</v>
      </c>
    </row>
    <row r="3763" spans="1:9" ht="15" customHeight="1" x14ac:dyDescent="0.25">
      <c r="A3763" s="7">
        <v>3762</v>
      </c>
      <c r="B3763" s="1">
        <v>43630</v>
      </c>
      <c r="C3763" s="6" t="s">
        <v>41</v>
      </c>
      <c r="D3763" s="6" t="s">
        <v>9</v>
      </c>
      <c r="E3763" s="6">
        <v>4</v>
      </c>
      <c r="F3763" s="6">
        <v>1</v>
      </c>
      <c r="G3763" s="6" t="s">
        <v>17</v>
      </c>
      <c r="H3763" s="6" t="s">
        <v>18</v>
      </c>
      <c r="I3763" s="6">
        <f>TabJogos[[#This Row],[PontosTime1]]-TabJogos[[#This Row],[PontosTime2]]</f>
        <v>3</v>
      </c>
    </row>
    <row r="3764" spans="1:9" ht="15" customHeight="1" x14ac:dyDescent="0.25">
      <c r="A3764" s="7">
        <v>3763</v>
      </c>
      <c r="B3764" s="1">
        <v>43630</v>
      </c>
      <c r="C3764" s="6" t="s">
        <v>9</v>
      </c>
      <c r="D3764" s="6" t="s">
        <v>18</v>
      </c>
      <c r="E3764" s="6">
        <v>4</v>
      </c>
      <c r="F3764" s="6">
        <v>2</v>
      </c>
      <c r="G3764" s="6" t="s">
        <v>11</v>
      </c>
      <c r="H3764" s="6" t="s">
        <v>41</v>
      </c>
      <c r="I3764" s="6">
        <f>TabJogos[[#This Row],[PontosTime1]]-TabJogos[[#This Row],[PontosTime2]]</f>
        <v>2</v>
      </c>
    </row>
    <row r="3765" spans="1:9" ht="15" customHeight="1" x14ac:dyDescent="0.25">
      <c r="A3765" s="7">
        <v>3764</v>
      </c>
      <c r="B3765" s="1">
        <v>43630</v>
      </c>
      <c r="C3765" s="6" t="s">
        <v>11</v>
      </c>
      <c r="D3765" s="6" t="s">
        <v>18</v>
      </c>
      <c r="E3765" s="6">
        <v>0</v>
      </c>
      <c r="F3765" s="6">
        <v>3</v>
      </c>
      <c r="G3765" s="6" t="s">
        <v>17</v>
      </c>
      <c r="H3765" s="6" t="s">
        <v>9</v>
      </c>
      <c r="I3765" s="6">
        <f>TabJogos[[#This Row],[PontosTime1]]-TabJogos[[#This Row],[PontosTime2]]</f>
        <v>-3</v>
      </c>
    </row>
    <row r="3766" spans="1:9" ht="15" customHeight="1" x14ac:dyDescent="0.25">
      <c r="A3766" s="7">
        <v>3765</v>
      </c>
      <c r="B3766" s="1">
        <v>43630</v>
      </c>
      <c r="C3766" s="6" t="s">
        <v>11</v>
      </c>
      <c r="D3766" s="6" t="s">
        <v>9</v>
      </c>
      <c r="E3766" s="6">
        <v>3</v>
      </c>
      <c r="F3766" s="6">
        <v>2</v>
      </c>
      <c r="G3766" s="6" t="s">
        <v>17</v>
      </c>
      <c r="H3766" s="6" t="s">
        <v>18</v>
      </c>
      <c r="I3766" s="6">
        <f>TabJogos[[#This Row],[PontosTime1]]-TabJogos[[#This Row],[PontosTime2]]</f>
        <v>1</v>
      </c>
    </row>
    <row r="3767" spans="1:9" ht="15" customHeight="1" x14ac:dyDescent="0.25">
      <c r="A3767" s="7">
        <v>3766</v>
      </c>
      <c r="B3767" s="1">
        <v>43630</v>
      </c>
      <c r="C3767" s="6" t="s">
        <v>11</v>
      </c>
      <c r="D3767" s="6" t="s">
        <v>17</v>
      </c>
      <c r="E3767" s="6">
        <v>4</v>
      </c>
      <c r="F3767" s="6">
        <v>0</v>
      </c>
      <c r="G3767" s="6" t="s">
        <v>18</v>
      </c>
      <c r="H3767" s="6" t="s">
        <v>9</v>
      </c>
      <c r="I3767" s="6">
        <f>TabJogos[[#This Row],[PontosTime1]]-TabJogos[[#This Row],[PontosTime2]]</f>
        <v>4</v>
      </c>
    </row>
    <row r="3768" spans="1:9" ht="15" customHeight="1" x14ac:dyDescent="0.25">
      <c r="A3768" s="7">
        <v>3767</v>
      </c>
      <c r="B3768" s="1">
        <v>43633</v>
      </c>
      <c r="C3768" s="6" t="s">
        <v>10</v>
      </c>
      <c r="D3768" s="6" t="s">
        <v>17</v>
      </c>
      <c r="E3768" s="6">
        <v>3</v>
      </c>
      <c r="F3768" s="6">
        <v>2</v>
      </c>
      <c r="G3768" s="6" t="s">
        <v>9</v>
      </c>
      <c r="H3768" s="6" t="s">
        <v>13</v>
      </c>
      <c r="I3768" s="6">
        <f>TabJogos[[#This Row],[PontosTime1]]-TabJogos[[#This Row],[PontosTime2]]</f>
        <v>1</v>
      </c>
    </row>
    <row r="3769" spans="1:9" ht="15" customHeight="1" x14ac:dyDescent="0.25">
      <c r="A3769" s="7">
        <v>3768</v>
      </c>
      <c r="B3769" s="1">
        <v>43633</v>
      </c>
      <c r="C3769" s="6" t="s">
        <v>10</v>
      </c>
      <c r="D3769" s="6" t="s">
        <v>13</v>
      </c>
      <c r="E3769" s="6">
        <v>1</v>
      </c>
      <c r="F3769" s="6">
        <v>3</v>
      </c>
      <c r="G3769" s="6" t="s">
        <v>17</v>
      </c>
      <c r="H3769" s="6" t="s">
        <v>9</v>
      </c>
      <c r="I3769" s="6">
        <f>TabJogos[[#This Row],[PontosTime1]]-TabJogos[[#This Row],[PontosTime2]]</f>
        <v>-2</v>
      </c>
    </row>
    <row r="3770" spans="1:9" ht="15" customHeight="1" x14ac:dyDescent="0.25">
      <c r="A3770" s="7">
        <v>3769</v>
      </c>
      <c r="B3770" s="1">
        <v>43633</v>
      </c>
      <c r="C3770" s="6" t="s">
        <v>10</v>
      </c>
      <c r="D3770" s="6" t="s">
        <v>9</v>
      </c>
      <c r="E3770" s="6">
        <v>2</v>
      </c>
      <c r="F3770" s="6">
        <v>3</v>
      </c>
      <c r="G3770" s="6" t="s">
        <v>17</v>
      </c>
      <c r="H3770" s="6" t="s">
        <v>28</v>
      </c>
      <c r="I3770" s="6">
        <f>TabJogos[[#This Row],[PontosTime1]]-TabJogos[[#This Row],[PontosTime2]]</f>
        <v>-1</v>
      </c>
    </row>
    <row r="3771" spans="1:9" ht="15" customHeight="1" x14ac:dyDescent="0.25">
      <c r="A3771" s="7">
        <v>3770</v>
      </c>
      <c r="B3771" s="1">
        <v>43633</v>
      </c>
      <c r="C3771" s="6" t="s">
        <v>10</v>
      </c>
      <c r="D3771" s="6" t="s">
        <v>13</v>
      </c>
      <c r="E3771" s="6">
        <v>0</v>
      </c>
      <c r="F3771" s="6">
        <v>4</v>
      </c>
      <c r="G3771" s="6" t="s">
        <v>17</v>
      </c>
      <c r="H3771" s="6" t="s">
        <v>9</v>
      </c>
      <c r="I3771" s="6">
        <f>TabJogos[[#This Row],[PontosTime1]]-TabJogos[[#This Row],[PontosTime2]]</f>
        <v>-4</v>
      </c>
    </row>
    <row r="3772" spans="1:9" ht="15" customHeight="1" x14ac:dyDescent="0.25">
      <c r="A3772" s="7">
        <v>3771</v>
      </c>
      <c r="B3772" s="1">
        <v>43633</v>
      </c>
      <c r="C3772" s="6" t="s">
        <v>10</v>
      </c>
      <c r="D3772" s="6" t="s">
        <v>17</v>
      </c>
      <c r="E3772" s="6">
        <v>3</v>
      </c>
      <c r="F3772" s="6">
        <v>1</v>
      </c>
      <c r="G3772" s="6" t="s">
        <v>13</v>
      </c>
      <c r="H3772" s="6" t="s">
        <v>9</v>
      </c>
      <c r="I3772" s="6">
        <f>TabJogos[[#This Row],[PontosTime1]]-TabJogos[[#This Row],[PontosTime2]]</f>
        <v>2</v>
      </c>
    </row>
    <row r="3773" spans="1:9" ht="15" customHeight="1" x14ac:dyDescent="0.25">
      <c r="A3773" s="7">
        <v>3772</v>
      </c>
      <c r="B3773" s="1">
        <v>43633</v>
      </c>
      <c r="C3773" s="6" t="s">
        <v>10</v>
      </c>
      <c r="D3773" s="6" t="s">
        <v>18</v>
      </c>
      <c r="E3773" s="6">
        <v>4</v>
      </c>
      <c r="F3773" s="6">
        <v>1</v>
      </c>
      <c r="G3773" s="6" t="s">
        <v>13</v>
      </c>
      <c r="H3773" s="6" t="s">
        <v>10</v>
      </c>
      <c r="I3773" s="6">
        <f>TabJogos[[#This Row],[PontosTime1]]-TabJogos[[#This Row],[PontosTime2]]</f>
        <v>3</v>
      </c>
    </row>
    <row r="3774" spans="1:9" ht="15" customHeight="1" x14ac:dyDescent="0.25">
      <c r="A3774" s="7">
        <v>3773</v>
      </c>
      <c r="B3774" s="1">
        <v>43633</v>
      </c>
      <c r="C3774" s="6" t="s">
        <v>17</v>
      </c>
      <c r="D3774" s="6" t="s">
        <v>9</v>
      </c>
      <c r="E3774" s="6">
        <v>0</v>
      </c>
      <c r="F3774" s="6">
        <v>3</v>
      </c>
      <c r="G3774" s="6" t="s">
        <v>18</v>
      </c>
      <c r="H3774" s="6" t="s">
        <v>13</v>
      </c>
      <c r="I3774" s="6">
        <f>TabJogos[[#This Row],[PontosTime1]]-TabJogos[[#This Row],[PontosTime2]]</f>
        <v>-3</v>
      </c>
    </row>
    <row r="3775" spans="1:9" ht="15" customHeight="1" x14ac:dyDescent="0.25">
      <c r="A3775" s="7">
        <v>3774</v>
      </c>
      <c r="B3775" s="1">
        <v>43633</v>
      </c>
      <c r="C3775" s="6" t="s">
        <v>17</v>
      </c>
      <c r="D3775" s="6" t="s">
        <v>18</v>
      </c>
      <c r="E3775" s="6">
        <v>5</v>
      </c>
      <c r="F3775" s="6">
        <v>2</v>
      </c>
      <c r="G3775" s="6" t="s">
        <v>13</v>
      </c>
      <c r="H3775" s="6" t="s">
        <v>9</v>
      </c>
      <c r="I3775" s="6">
        <f>TabJogos[[#This Row],[PontosTime1]]-TabJogos[[#This Row],[PontosTime2]]</f>
        <v>3</v>
      </c>
    </row>
    <row r="3776" spans="1:9" ht="15" customHeight="1" x14ac:dyDescent="0.25">
      <c r="A3776" s="7">
        <v>3775</v>
      </c>
      <c r="B3776" s="1">
        <v>43633</v>
      </c>
      <c r="C3776" s="6" t="s">
        <v>18</v>
      </c>
      <c r="D3776" s="6" t="s">
        <v>9</v>
      </c>
      <c r="E3776" s="6">
        <v>3</v>
      </c>
      <c r="F3776" s="6">
        <v>2</v>
      </c>
      <c r="G3776" s="6" t="s">
        <v>13</v>
      </c>
      <c r="H3776" s="6" t="s">
        <v>17</v>
      </c>
      <c r="I3776" s="6">
        <f>TabJogos[[#This Row],[PontosTime1]]-TabJogos[[#This Row],[PontosTime2]]</f>
        <v>1</v>
      </c>
    </row>
    <row r="3777" spans="1:9" ht="15" customHeight="1" x14ac:dyDescent="0.25">
      <c r="A3777" s="7">
        <v>3776</v>
      </c>
      <c r="B3777" s="1">
        <v>43633</v>
      </c>
      <c r="C3777" s="6" t="s">
        <v>9</v>
      </c>
      <c r="D3777" s="6" t="s">
        <v>17</v>
      </c>
      <c r="E3777" s="6">
        <v>3</v>
      </c>
      <c r="F3777" s="6">
        <v>2</v>
      </c>
      <c r="G3777" s="6" t="s">
        <v>18</v>
      </c>
      <c r="H3777" s="6" t="s">
        <v>13</v>
      </c>
      <c r="I3777" s="6">
        <f>TabJogos[[#This Row],[PontosTime1]]-TabJogos[[#This Row],[PontosTime2]]</f>
        <v>1</v>
      </c>
    </row>
    <row r="3778" spans="1:9" ht="15" customHeight="1" x14ac:dyDescent="0.25">
      <c r="A3778" s="7">
        <v>3777</v>
      </c>
      <c r="B3778" s="1">
        <v>43633</v>
      </c>
      <c r="C3778" s="6" t="s">
        <v>17</v>
      </c>
      <c r="D3778" s="6" t="s">
        <v>18</v>
      </c>
      <c r="E3778" s="6">
        <v>1</v>
      </c>
      <c r="F3778" s="6">
        <v>3</v>
      </c>
      <c r="G3778" s="6" t="s">
        <v>9</v>
      </c>
      <c r="H3778" s="6" t="s">
        <v>13</v>
      </c>
      <c r="I3778" s="6">
        <f>TabJogos[[#This Row],[PontosTime1]]-TabJogos[[#This Row],[PontosTime2]]</f>
        <v>-2</v>
      </c>
    </row>
    <row r="3779" spans="1:9" ht="15" customHeight="1" x14ac:dyDescent="0.25">
      <c r="A3779" s="7">
        <v>3778</v>
      </c>
      <c r="B3779" s="1">
        <v>43634</v>
      </c>
      <c r="C3779" s="6" t="s">
        <v>18</v>
      </c>
      <c r="D3779" s="6" t="s">
        <v>10</v>
      </c>
      <c r="E3779" s="6">
        <v>0</v>
      </c>
      <c r="F3779" s="6">
        <v>4</v>
      </c>
      <c r="G3779" s="6" t="s">
        <v>41</v>
      </c>
      <c r="H3779" s="6" t="s">
        <v>9</v>
      </c>
      <c r="I3779" s="6">
        <f>TabJogos[[#This Row],[PontosTime1]]-TabJogos[[#This Row],[PontosTime2]]</f>
        <v>-4</v>
      </c>
    </row>
    <row r="3780" spans="1:9" ht="15" customHeight="1" x14ac:dyDescent="0.25">
      <c r="A3780" s="7">
        <v>3779</v>
      </c>
      <c r="B3780" s="1">
        <v>43634</v>
      </c>
      <c r="C3780" s="6" t="s">
        <v>9</v>
      </c>
      <c r="D3780" s="6" t="s">
        <v>12</v>
      </c>
      <c r="E3780" s="6">
        <v>3</v>
      </c>
      <c r="F3780" s="6">
        <v>0</v>
      </c>
      <c r="G3780" s="6" t="s">
        <v>41</v>
      </c>
      <c r="H3780" s="6" t="s">
        <v>13</v>
      </c>
      <c r="I3780" s="6">
        <f>TabJogos[[#This Row],[PontosTime1]]-TabJogos[[#This Row],[PontosTime2]]</f>
        <v>3</v>
      </c>
    </row>
    <row r="3781" spans="1:9" ht="15" customHeight="1" x14ac:dyDescent="0.25">
      <c r="A3781" s="7">
        <v>3780</v>
      </c>
      <c r="B3781" s="1">
        <v>43634</v>
      </c>
      <c r="C3781" s="6" t="s">
        <v>18</v>
      </c>
      <c r="D3781" s="6" t="s">
        <v>12</v>
      </c>
      <c r="E3781" s="6">
        <v>3</v>
      </c>
      <c r="F3781" s="6">
        <v>2</v>
      </c>
      <c r="G3781" s="6" t="s">
        <v>9</v>
      </c>
      <c r="H3781" s="6" t="s">
        <v>10</v>
      </c>
      <c r="I3781" s="6">
        <f>TabJogos[[#This Row],[PontosTime1]]-TabJogos[[#This Row],[PontosTime2]]</f>
        <v>1</v>
      </c>
    </row>
    <row r="3782" spans="1:9" ht="15" customHeight="1" x14ac:dyDescent="0.25">
      <c r="A3782" s="7">
        <v>3781</v>
      </c>
      <c r="B3782" s="1">
        <v>43634</v>
      </c>
      <c r="C3782" s="6" t="s">
        <v>13</v>
      </c>
      <c r="D3782" s="6" t="s">
        <v>18</v>
      </c>
      <c r="E3782" s="6">
        <v>3</v>
      </c>
      <c r="F3782" s="6">
        <v>1</v>
      </c>
      <c r="G3782" s="6" t="s">
        <v>41</v>
      </c>
      <c r="H3782" s="6" t="s">
        <v>12</v>
      </c>
      <c r="I3782" s="6">
        <f>TabJogos[[#This Row],[PontosTime1]]-TabJogos[[#This Row],[PontosTime2]]</f>
        <v>2</v>
      </c>
    </row>
    <row r="3783" spans="1:9" ht="15" customHeight="1" x14ac:dyDescent="0.25">
      <c r="A3783" s="7">
        <v>3782</v>
      </c>
      <c r="B3783" s="1">
        <v>43634</v>
      </c>
      <c r="C3783" s="6" t="s">
        <v>13</v>
      </c>
      <c r="D3783" s="6" t="s">
        <v>9</v>
      </c>
      <c r="E3783" s="6">
        <v>1</v>
      </c>
      <c r="F3783" s="6">
        <v>3</v>
      </c>
      <c r="G3783" s="6" t="s">
        <v>41</v>
      </c>
      <c r="H3783" s="6" t="s">
        <v>18</v>
      </c>
      <c r="I3783" s="6">
        <f>TabJogos[[#This Row],[PontosTime1]]-TabJogos[[#This Row],[PontosTime2]]</f>
        <v>-2</v>
      </c>
    </row>
    <row r="3784" spans="1:9" ht="15" customHeight="1" x14ac:dyDescent="0.25">
      <c r="A3784" s="7">
        <v>3783</v>
      </c>
      <c r="B3784" s="1">
        <v>43634</v>
      </c>
      <c r="C3784" s="6" t="s">
        <v>13</v>
      </c>
      <c r="D3784" s="6" t="s">
        <v>41</v>
      </c>
      <c r="E3784" s="6">
        <v>3</v>
      </c>
      <c r="F3784" s="6">
        <v>2</v>
      </c>
      <c r="G3784" s="6" t="s">
        <v>9</v>
      </c>
      <c r="H3784" s="6" t="s">
        <v>18</v>
      </c>
      <c r="I3784" s="6">
        <f>TabJogos[[#This Row],[PontosTime1]]-TabJogos[[#This Row],[PontosTime2]]</f>
        <v>1</v>
      </c>
    </row>
    <row r="3785" spans="1:9" ht="15" customHeight="1" x14ac:dyDescent="0.25">
      <c r="A3785" s="7">
        <v>3784</v>
      </c>
      <c r="B3785" s="1">
        <v>43634</v>
      </c>
      <c r="C3785" s="6" t="s">
        <v>9</v>
      </c>
      <c r="D3785" s="6" t="s">
        <v>41</v>
      </c>
      <c r="E3785" s="6">
        <v>3</v>
      </c>
      <c r="F3785" s="6">
        <v>0</v>
      </c>
      <c r="G3785" s="6" t="s">
        <v>13</v>
      </c>
      <c r="H3785" s="6" t="s">
        <v>18</v>
      </c>
      <c r="I3785" s="6">
        <f>TabJogos[[#This Row],[PontosTime1]]-TabJogos[[#This Row],[PontosTime2]]</f>
        <v>3</v>
      </c>
    </row>
    <row r="3786" spans="1:9" ht="15" customHeight="1" x14ac:dyDescent="0.25">
      <c r="A3786" s="7">
        <v>3785</v>
      </c>
      <c r="B3786" s="1">
        <v>43634</v>
      </c>
      <c r="C3786" s="6" t="s">
        <v>13</v>
      </c>
      <c r="D3786" s="6" t="s">
        <v>9</v>
      </c>
      <c r="E3786" s="6">
        <v>0</v>
      </c>
      <c r="F3786" s="6">
        <v>3</v>
      </c>
      <c r="G3786" s="6" t="s">
        <v>41</v>
      </c>
      <c r="H3786" s="6" t="s">
        <v>18</v>
      </c>
      <c r="I3786" s="6">
        <f>TabJogos[[#This Row],[PontosTime1]]-TabJogos[[#This Row],[PontosTime2]]</f>
        <v>-3</v>
      </c>
    </row>
    <row r="3787" spans="1:9" ht="15" customHeight="1" x14ac:dyDescent="0.25">
      <c r="A3787" s="7">
        <v>3786</v>
      </c>
      <c r="B3787" s="1">
        <v>43634</v>
      </c>
      <c r="C3787" s="6" t="s">
        <v>13</v>
      </c>
      <c r="D3787" s="6" t="s">
        <v>41</v>
      </c>
      <c r="E3787" s="6">
        <v>4</v>
      </c>
      <c r="F3787" s="6">
        <v>1</v>
      </c>
      <c r="G3787" s="6" t="s">
        <v>9</v>
      </c>
      <c r="H3787" s="6" t="s">
        <v>18</v>
      </c>
      <c r="I3787" s="6">
        <f>TabJogos[[#This Row],[PontosTime1]]-TabJogos[[#This Row],[PontosTime2]]</f>
        <v>3</v>
      </c>
    </row>
    <row r="3788" spans="1:9" ht="15" customHeight="1" x14ac:dyDescent="0.25">
      <c r="A3788" s="7">
        <v>3787</v>
      </c>
      <c r="B3788" s="1">
        <v>43634</v>
      </c>
      <c r="C3788" s="6" t="s">
        <v>13</v>
      </c>
      <c r="D3788" s="6" t="s">
        <v>18</v>
      </c>
      <c r="E3788" s="6">
        <v>3</v>
      </c>
      <c r="F3788" s="6">
        <v>1</v>
      </c>
      <c r="G3788" s="6" t="s">
        <v>41</v>
      </c>
      <c r="H3788" s="6" t="s">
        <v>9</v>
      </c>
      <c r="I3788" s="6">
        <f>TabJogos[[#This Row],[PontosTime1]]-TabJogos[[#This Row],[PontosTime2]]</f>
        <v>2</v>
      </c>
    </row>
    <row r="3789" spans="1:9" ht="15" customHeight="1" x14ac:dyDescent="0.25">
      <c r="A3789" s="7">
        <v>3788</v>
      </c>
      <c r="B3789" s="1">
        <v>43634</v>
      </c>
      <c r="C3789" s="6" t="s">
        <v>41</v>
      </c>
      <c r="D3789" s="6" t="s">
        <v>18</v>
      </c>
      <c r="E3789" s="6">
        <v>3</v>
      </c>
      <c r="F3789" s="6">
        <v>1</v>
      </c>
      <c r="G3789" s="6" t="s">
        <v>13</v>
      </c>
      <c r="H3789" s="6" t="s">
        <v>9</v>
      </c>
      <c r="I3789" s="6">
        <f>TabJogos[[#This Row],[PontosTime1]]-TabJogos[[#This Row],[PontosTime2]]</f>
        <v>2</v>
      </c>
    </row>
    <row r="3790" spans="1:9" ht="15" customHeight="1" x14ac:dyDescent="0.25">
      <c r="A3790" s="7">
        <v>3789</v>
      </c>
      <c r="B3790" s="1">
        <v>43634</v>
      </c>
      <c r="C3790" s="6" t="s">
        <v>41</v>
      </c>
      <c r="D3790" s="6" t="s">
        <v>13</v>
      </c>
      <c r="E3790" s="6">
        <v>3</v>
      </c>
      <c r="F3790" s="6">
        <v>1</v>
      </c>
      <c r="G3790" s="6" t="s">
        <v>18</v>
      </c>
      <c r="H3790" s="6" t="s">
        <v>9</v>
      </c>
      <c r="I3790" s="6">
        <f>TabJogos[[#This Row],[PontosTime1]]-TabJogos[[#This Row],[PontosTime2]]</f>
        <v>2</v>
      </c>
    </row>
    <row r="3791" spans="1:9" ht="15" customHeight="1" x14ac:dyDescent="0.25">
      <c r="A3791" s="7">
        <v>3790</v>
      </c>
      <c r="B3791" s="1">
        <v>43635</v>
      </c>
      <c r="C3791" s="6" t="s">
        <v>13</v>
      </c>
      <c r="D3791" s="6" t="s">
        <v>10</v>
      </c>
      <c r="E3791" s="6">
        <v>4</v>
      </c>
      <c r="F3791" s="6">
        <v>1</v>
      </c>
      <c r="G3791" s="6" t="s">
        <v>17</v>
      </c>
      <c r="H3791" s="6" t="s">
        <v>12</v>
      </c>
      <c r="I3791" s="6">
        <f>TabJogos[[#This Row],[PontosTime1]]-TabJogos[[#This Row],[PontosTime2]]</f>
        <v>3</v>
      </c>
    </row>
    <row r="3792" spans="1:9" ht="15" customHeight="1" x14ac:dyDescent="0.25">
      <c r="A3792" s="7">
        <v>3791</v>
      </c>
      <c r="B3792" s="1">
        <v>43635</v>
      </c>
      <c r="C3792" s="6" t="s">
        <v>12</v>
      </c>
      <c r="D3792" s="6" t="s">
        <v>10</v>
      </c>
      <c r="E3792" s="6">
        <v>4</v>
      </c>
      <c r="F3792" s="6">
        <v>1</v>
      </c>
      <c r="G3792" s="6" t="s">
        <v>17</v>
      </c>
      <c r="H3792" s="6" t="s">
        <v>13</v>
      </c>
      <c r="I3792" s="6">
        <f>TabJogos[[#This Row],[PontosTime1]]-TabJogos[[#This Row],[PontosTime2]]</f>
        <v>3</v>
      </c>
    </row>
    <row r="3793" spans="1:9" ht="15" customHeight="1" x14ac:dyDescent="0.25">
      <c r="A3793" s="7">
        <v>3792</v>
      </c>
      <c r="B3793" s="1">
        <v>43635</v>
      </c>
      <c r="C3793" s="6" t="s">
        <v>17</v>
      </c>
      <c r="D3793" s="6" t="s">
        <v>10</v>
      </c>
      <c r="E3793" s="6">
        <v>6</v>
      </c>
      <c r="F3793" s="6">
        <v>1</v>
      </c>
      <c r="G3793" s="6" t="s">
        <v>12</v>
      </c>
      <c r="H3793" s="6" t="s">
        <v>13</v>
      </c>
      <c r="I3793" s="6">
        <f>TabJogos[[#This Row],[PontosTime1]]-TabJogos[[#This Row],[PontosTime2]]</f>
        <v>5</v>
      </c>
    </row>
    <row r="3794" spans="1:9" ht="15" customHeight="1" x14ac:dyDescent="0.25">
      <c r="A3794" s="7">
        <v>3793</v>
      </c>
      <c r="B3794" s="1">
        <v>43641</v>
      </c>
      <c r="C3794" s="6" t="s">
        <v>9</v>
      </c>
      <c r="D3794" s="6" t="s">
        <v>12</v>
      </c>
      <c r="E3794" s="6">
        <v>3</v>
      </c>
      <c r="F3794" s="6">
        <v>2</v>
      </c>
      <c r="G3794" s="6" t="s">
        <v>10</v>
      </c>
      <c r="H3794" s="6" t="s">
        <v>18</v>
      </c>
      <c r="I3794" s="6">
        <f>TabJogos[[#This Row],[PontosTime1]]-TabJogos[[#This Row],[PontosTime2]]</f>
        <v>1</v>
      </c>
    </row>
    <row r="3795" spans="1:9" ht="15" customHeight="1" x14ac:dyDescent="0.25">
      <c r="A3795" s="7">
        <v>3794</v>
      </c>
      <c r="B3795" s="1">
        <v>43641</v>
      </c>
      <c r="C3795" s="6" t="s">
        <v>10</v>
      </c>
      <c r="D3795" s="6" t="s">
        <v>12</v>
      </c>
      <c r="E3795" s="6">
        <v>3</v>
      </c>
      <c r="F3795" s="6">
        <v>2</v>
      </c>
      <c r="G3795" s="6" t="s">
        <v>9</v>
      </c>
      <c r="H3795" s="6" t="s">
        <v>18</v>
      </c>
      <c r="I3795" s="6">
        <f>TabJogos[[#This Row],[PontosTime1]]-TabJogos[[#This Row],[PontosTime2]]</f>
        <v>1</v>
      </c>
    </row>
    <row r="3796" spans="1:9" ht="15" customHeight="1" x14ac:dyDescent="0.25">
      <c r="A3796" s="7">
        <v>3795</v>
      </c>
      <c r="B3796" s="1">
        <v>43641</v>
      </c>
      <c r="C3796" s="6" t="s">
        <v>10</v>
      </c>
      <c r="D3796" s="6" t="s">
        <v>41</v>
      </c>
      <c r="E3796" s="6">
        <v>2</v>
      </c>
      <c r="F3796" s="6">
        <v>3</v>
      </c>
      <c r="G3796" s="6" t="s">
        <v>9</v>
      </c>
      <c r="H3796" s="6" t="s">
        <v>32</v>
      </c>
      <c r="I3796" s="6">
        <f>TabJogos[[#This Row],[PontosTime1]]-TabJogos[[#This Row],[PontosTime2]]</f>
        <v>-1</v>
      </c>
    </row>
    <row r="3797" spans="1:9" ht="15" customHeight="1" x14ac:dyDescent="0.25">
      <c r="A3797" s="7">
        <v>3796</v>
      </c>
      <c r="B3797" s="1">
        <v>43641</v>
      </c>
      <c r="C3797" s="6" t="s">
        <v>9</v>
      </c>
      <c r="D3797" s="6" t="s">
        <v>11</v>
      </c>
      <c r="E3797" s="6">
        <v>3</v>
      </c>
      <c r="F3797" s="6">
        <v>1</v>
      </c>
      <c r="G3797" s="6" t="s">
        <v>32</v>
      </c>
      <c r="H3797" s="6" t="s">
        <v>18</v>
      </c>
      <c r="I3797" s="6">
        <f>TabJogos[[#This Row],[PontosTime1]]-TabJogos[[#This Row],[PontosTime2]]</f>
        <v>2</v>
      </c>
    </row>
    <row r="3798" spans="1:9" ht="15" customHeight="1" x14ac:dyDescent="0.25">
      <c r="A3798" s="7">
        <v>3797</v>
      </c>
      <c r="B3798" s="1">
        <v>43641</v>
      </c>
      <c r="C3798" s="6" t="s">
        <v>9</v>
      </c>
      <c r="D3798" s="6" t="s">
        <v>27</v>
      </c>
      <c r="E3798" s="6">
        <v>4</v>
      </c>
      <c r="F3798" s="6">
        <v>0</v>
      </c>
      <c r="G3798" s="6" t="s">
        <v>11</v>
      </c>
      <c r="H3798" s="6" t="s">
        <v>32</v>
      </c>
      <c r="I3798" s="6">
        <f>TabJogos[[#This Row],[PontosTime1]]-TabJogos[[#This Row],[PontosTime2]]</f>
        <v>4</v>
      </c>
    </row>
    <row r="3799" spans="1:9" ht="15" customHeight="1" x14ac:dyDescent="0.25">
      <c r="A3799" s="7">
        <v>3798</v>
      </c>
      <c r="B3799" s="1">
        <v>43641</v>
      </c>
      <c r="C3799" s="6" t="s">
        <v>9</v>
      </c>
      <c r="D3799" s="6" t="s">
        <v>41</v>
      </c>
      <c r="E3799" s="6">
        <v>4</v>
      </c>
      <c r="F3799" s="6">
        <v>0</v>
      </c>
      <c r="G3799" s="6" t="s">
        <v>18</v>
      </c>
      <c r="H3799" s="6" t="s">
        <v>27</v>
      </c>
      <c r="I3799" s="6">
        <f>TabJogos[[#This Row],[PontosTime1]]-TabJogos[[#This Row],[PontosTime2]]</f>
        <v>4</v>
      </c>
    </row>
    <row r="3800" spans="1:9" ht="15" customHeight="1" x14ac:dyDescent="0.25">
      <c r="A3800" s="7">
        <v>3799</v>
      </c>
      <c r="B3800" s="1">
        <v>43641</v>
      </c>
      <c r="C3800" s="6" t="s">
        <v>9</v>
      </c>
      <c r="D3800" s="6" t="s">
        <v>11</v>
      </c>
      <c r="E3800" s="6">
        <v>1</v>
      </c>
      <c r="F3800" s="6">
        <v>3</v>
      </c>
      <c r="G3800" s="6" t="s">
        <v>41</v>
      </c>
      <c r="H3800" s="6" t="s">
        <v>27</v>
      </c>
      <c r="I3800" s="6">
        <f>TabJogos[[#This Row],[PontosTime1]]-TabJogos[[#This Row],[PontosTime2]]</f>
        <v>-2</v>
      </c>
    </row>
    <row r="3801" spans="1:9" ht="15" customHeight="1" x14ac:dyDescent="0.25">
      <c r="A3801" s="7">
        <v>3800</v>
      </c>
      <c r="B3801" s="1">
        <v>43641</v>
      </c>
      <c r="C3801" s="6" t="s">
        <v>11</v>
      </c>
      <c r="D3801" s="6" t="s">
        <v>27</v>
      </c>
      <c r="E3801" s="6">
        <v>3</v>
      </c>
      <c r="F3801" s="6">
        <v>2</v>
      </c>
      <c r="G3801" s="6" t="s">
        <v>9</v>
      </c>
      <c r="H3801" s="6" t="s">
        <v>18</v>
      </c>
      <c r="I3801" s="6">
        <f>TabJogos[[#This Row],[PontosTime1]]-TabJogos[[#This Row],[PontosTime2]]</f>
        <v>1</v>
      </c>
    </row>
    <row r="3802" spans="1:9" ht="15" customHeight="1" x14ac:dyDescent="0.25">
      <c r="A3802" s="7">
        <v>3801</v>
      </c>
      <c r="B3802" s="1">
        <v>43641</v>
      </c>
      <c r="C3802" s="6" t="s">
        <v>17</v>
      </c>
      <c r="D3802" s="6" t="s">
        <v>27</v>
      </c>
      <c r="E3802" s="6">
        <v>3</v>
      </c>
      <c r="F3802" s="6">
        <v>2</v>
      </c>
      <c r="G3802" s="6" t="s">
        <v>41</v>
      </c>
      <c r="H3802" s="6" t="s">
        <v>11</v>
      </c>
      <c r="I3802" s="6">
        <f>TabJogos[[#This Row],[PontosTime1]]-TabJogos[[#This Row],[PontosTime2]]</f>
        <v>1</v>
      </c>
    </row>
    <row r="3803" spans="1:9" ht="15" customHeight="1" x14ac:dyDescent="0.25">
      <c r="A3803" s="7">
        <v>3802</v>
      </c>
      <c r="B3803" s="1">
        <v>43641</v>
      </c>
      <c r="C3803" s="6" t="s">
        <v>11</v>
      </c>
      <c r="D3803" s="6" t="s">
        <v>17</v>
      </c>
      <c r="E3803" s="6">
        <v>4</v>
      </c>
      <c r="F3803" s="6">
        <v>0</v>
      </c>
      <c r="G3803" s="6" t="s">
        <v>18</v>
      </c>
      <c r="H3803" s="6" t="s">
        <v>27</v>
      </c>
      <c r="I3803" s="6">
        <f>TabJogos[[#This Row],[PontosTime1]]-TabJogos[[#This Row],[PontosTime2]]</f>
        <v>4</v>
      </c>
    </row>
    <row r="3804" spans="1:9" ht="15" customHeight="1" x14ac:dyDescent="0.25">
      <c r="A3804" s="7">
        <v>3803</v>
      </c>
      <c r="B3804" s="1">
        <v>43642</v>
      </c>
      <c r="C3804" s="6" t="s">
        <v>12</v>
      </c>
      <c r="D3804" s="6" t="s">
        <v>9</v>
      </c>
      <c r="E3804" s="6">
        <v>3</v>
      </c>
      <c r="F3804" s="6">
        <v>1</v>
      </c>
      <c r="G3804" s="6" t="s">
        <v>10</v>
      </c>
      <c r="H3804" s="6" t="s">
        <v>11</v>
      </c>
      <c r="I3804" s="6">
        <f>TabJogos[[#This Row],[PontosTime1]]-TabJogos[[#This Row],[PontosTime2]]</f>
        <v>2</v>
      </c>
    </row>
    <row r="3805" spans="1:9" ht="15" customHeight="1" x14ac:dyDescent="0.25">
      <c r="A3805" s="7">
        <v>3804</v>
      </c>
      <c r="B3805" s="1">
        <v>43642</v>
      </c>
      <c r="C3805" s="6" t="s">
        <v>9</v>
      </c>
      <c r="D3805" s="6" t="s">
        <v>17</v>
      </c>
      <c r="E3805" s="6">
        <v>4</v>
      </c>
      <c r="F3805" s="6">
        <v>2</v>
      </c>
      <c r="G3805" s="6" t="s">
        <v>13</v>
      </c>
      <c r="H3805" s="6" t="s">
        <v>12</v>
      </c>
      <c r="I3805" s="6">
        <f>TabJogos[[#This Row],[PontosTime1]]-TabJogos[[#This Row],[PontosTime2]]</f>
        <v>2</v>
      </c>
    </row>
    <row r="3806" spans="1:9" ht="15" customHeight="1" x14ac:dyDescent="0.25">
      <c r="A3806" s="7">
        <v>3805</v>
      </c>
      <c r="B3806" s="1">
        <v>43642</v>
      </c>
      <c r="C3806" s="6" t="s">
        <v>9</v>
      </c>
      <c r="D3806" s="6" t="s">
        <v>11</v>
      </c>
      <c r="E3806" s="6">
        <v>4</v>
      </c>
      <c r="F3806" s="6">
        <v>1</v>
      </c>
      <c r="G3806" s="6" t="s">
        <v>10</v>
      </c>
      <c r="H3806" s="6" t="s">
        <v>17</v>
      </c>
      <c r="I3806" s="6">
        <f>TabJogos[[#This Row],[PontosTime1]]-TabJogos[[#This Row],[PontosTime2]]</f>
        <v>3</v>
      </c>
    </row>
    <row r="3807" spans="1:9" ht="15" customHeight="1" x14ac:dyDescent="0.25">
      <c r="A3807" s="7">
        <v>3806</v>
      </c>
      <c r="B3807" s="1">
        <v>43642</v>
      </c>
      <c r="C3807" s="6" t="s">
        <v>9</v>
      </c>
      <c r="D3807" s="6" t="s">
        <v>13</v>
      </c>
      <c r="E3807" s="6">
        <v>3</v>
      </c>
      <c r="F3807" s="6">
        <v>0</v>
      </c>
      <c r="G3807" s="6" t="s">
        <v>41</v>
      </c>
      <c r="H3807" s="6" t="s">
        <v>11</v>
      </c>
      <c r="I3807" s="6">
        <f>TabJogos[[#This Row],[PontosTime1]]-TabJogos[[#This Row],[PontosTime2]]</f>
        <v>3</v>
      </c>
    </row>
    <row r="3808" spans="1:9" ht="15" customHeight="1" x14ac:dyDescent="0.25">
      <c r="A3808" s="7">
        <v>3807</v>
      </c>
      <c r="B3808" s="1">
        <v>43642</v>
      </c>
      <c r="C3808" s="6" t="s">
        <v>9</v>
      </c>
      <c r="D3808" s="6" t="s">
        <v>10</v>
      </c>
      <c r="E3808" s="6">
        <v>4</v>
      </c>
      <c r="F3808" s="6">
        <v>0</v>
      </c>
      <c r="G3808" s="6" t="s">
        <v>17</v>
      </c>
      <c r="H3808" s="6" t="s">
        <v>13</v>
      </c>
      <c r="I3808" s="6">
        <f>TabJogos[[#This Row],[PontosTime1]]-TabJogos[[#This Row],[PontosTime2]]</f>
        <v>4</v>
      </c>
    </row>
    <row r="3809" spans="1:9" ht="15" customHeight="1" x14ac:dyDescent="0.25">
      <c r="A3809" s="7">
        <v>3808</v>
      </c>
      <c r="B3809" s="1">
        <v>43642</v>
      </c>
      <c r="C3809" s="6" t="s">
        <v>9</v>
      </c>
      <c r="D3809" s="6" t="s">
        <v>18</v>
      </c>
      <c r="E3809" s="6">
        <v>1</v>
      </c>
      <c r="F3809" s="6">
        <v>3</v>
      </c>
      <c r="G3809" s="6" t="s">
        <v>41</v>
      </c>
      <c r="H3809" s="6" t="s">
        <v>10</v>
      </c>
      <c r="I3809" s="6">
        <f>TabJogos[[#This Row],[PontosTime1]]-TabJogos[[#This Row],[PontosTime2]]</f>
        <v>-2</v>
      </c>
    </row>
    <row r="3810" spans="1:9" ht="15" customHeight="1" x14ac:dyDescent="0.25">
      <c r="A3810" s="7">
        <v>3809</v>
      </c>
      <c r="B3810" s="1">
        <v>43642</v>
      </c>
      <c r="C3810" s="6" t="s">
        <v>13</v>
      </c>
      <c r="D3810" s="6" t="s">
        <v>41</v>
      </c>
      <c r="E3810" s="6">
        <v>2</v>
      </c>
      <c r="F3810" s="6">
        <v>3</v>
      </c>
      <c r="G3810" s="6" t="s">
        <v>11</v>
      </c>
      <c r="H3810" s="6" t="s">
        <v>10</v>
      </c>
      <c r="I3810" s="6">
        <f>TabJogos[[#This Row],[PontosTime1]]-TabJogos[[#This Row],[PontosTime2]]</f>
        <v>-1</v>
      </c>
    </row>
    <row r="3811" spans="1:9" ht="15" customHeight="1" x14ac:dyDescent="0.25">
      <c r="A3811" s="7">
        <v>3810</v>
      </c>
      <c r="B3811" s="1">
        <v>43642</v>
      </c>
      <c r="C3811" s="6" t="s">
        <v>11</v>
      </c>
      <c r="D3811" s="6" t="s">
        <v>27</v>
      </c>
      <c r="E3811" s="6">
        <v>3</v>
      </c>
      <c r="F3811" s="6">
        <v>1</v>
      </c>
      <c r="G3811" s="6" t="s">
        <v>18</v>
      </c>
      <c r="H3811" s="6" t="s">
        <v>10</v>
      </c>
      <c r="I3811" s="6">
        <f>TabJogos[[#This Row],[PontosTime1]]-TabJogos[[#This Row],[PontosTime2]]</f>
        <v>2</v>
      </c>
    </row>
    <row r="3812" spans="1:9" ht="15" customHeight="1" x14ac:dyDescent="0.25">
      <c r="A3812" s="7">
        <v>3811</v>
      </c>
      <c r="B3812" s="1">
        <v>43642</v>
      </c>
      <c r="C3812" s="6" t="s">
        <v>11</v>
      </c>
      <c r="D3812" s="6" t="s">
        <v>18</v>
      </c>
      <c r="E3812" s="6">
        <v>0</v>
      </c>
      <c r="F3812" s="6">
        <v>4</v>
      </c>
      <c r="G3812" s="6" t="s">
        <v>27</v>
      </c>
      <c r="H3812" s="6" t="s">
        <v>13</v>
      </c>
      <c r="I3812" s="6">
        <f>TabJogos[[#This Row],[PontosTime1]]-TabJogos[[#This Row],[PontosTime2]]</f>
        <v>-4</v>
      </c>
    </row>
    <row r="3813" spans="1:9" ht="15" customHeight="1" x14ac:dyDescent="0.25">
      <c r="A3813" s="7">
        <v>3812</v>
      </c>
      <c r="B3813" s="1">
        <v>43642</v>
      </c>
      <c r="C3813" s="6" t="s">
        <v>11</v>
      </c>
      <c r="D3813" s="6" t="s">
        <v>13</v>
      </c>
      <c r="E3813" s="6">
        <v>1</v>
      </c>
      <c r="F3813" s="6">
        <v>3</v>
      </c>
      <c r="G3813" s="6" t="s">
        <v>27</v>
      </c>
      <c r="H3813" s="6" t="s">
        <v>41</v>
      </c>
      <c r="I3813" s="6">
        <f>TabJogos[[#This Row],[PontosTime1]]-TabJogos[[#This Row],[PontosTime2]]</f>
        <v>-2</v>
      </c>
    </row>
    <row r="3814" spans="1:9" ht="15" customHeight="1" x14ac:dyDescent="0.25">
      <c r="A3814" s="7">
        <v>3813</v>
      </c>
      <c r="B3814" s="1">
        <v>43642</v>
      </c>
      <c r="C3814" s="6" t="s">
        <v>11</v>
      </c>
      <c r="D3814" s="6" t="s">
        <v>41</v>
      </c>
      <c r="E3814" s="6">
        <v>4</v>
      </c>
      <c r="F3814" s="6">
        <v>1</v>
      </c>
      <c r="G3814" s="6" t="s">
        <v>27</v>
      </c>
      <c r="H3814" s="6" t="s">
        <v>18</v>
      </c>
      <c r="I3814" s="6">
        <f>TabJogos[[#This Row],[PontosTime1]]-TabJogos[[#This Row],[PontosTime2]]</f>
        <v>3</v>
      </c>
    </row>
    <row r="3815" spans="1:9" ht="15" customHeight="1" x14ac:dyDescent="0.25">
      <c r="A3815" s="7">
        <v>3814</v>
      </c>
      <c r="B3815" s="1">
        <v>43642</v>
      </c>
      <c r="C3815" s="6" t="s">
        <v>11</v>
      </c>
      <c r="D3815" s="6" t="s">
        <v>18</v>
      </c>
      <c r="E3815" s="6">
        <v>3</v>
      </c>
      <c r="F3815" s="6">
        <v>1</v>
      </c>
      <c r="G3815" s="6" t="s">
        <v>41</v>
      </c>
      <c r="H3815" s="6" t="s">
        <v>13</v>
      </c>
      <c r="I3815" s="6">
        <f>TabJogos[[#This Row],[PontosTime1]]-TabJogos[[#This Row],[PontosTime2]]</f>
        <v>2</v>
      </c>
    </row>
    <row r="3816" spans="1:9" ht="15" customHeight="1" x14ac:dyDescent="0.25">
      <c r="A3816" s="7">
        <v>3815</v>
      </c>
      <c r="B3816" s="1">
        <v>43642</v>
      </c>
      <c r="C3816" s="6" t="s">
        <v>11</v>
      </c>
      <c r="D3816" s="6" t="s">
        <v>27</v>
      </c>
      <c r="E3816" s="6">
        <v>3</v>
      </c>
      <c r="F3816" s="6">
        <v>1</v>
      </c>
      <c r="G3816" s="6" t="s">
        <v>13</v>
      </c>
      <c r="H3816" s="6" t="s">
        <v>18</v>
      </c>
      <c r="I3816" s="6">
        <f>TabJogos[[#This Row],[PontosTime1]]-TabJogos[[#This Row],[PontosTime2]]</f>
        <v>2</v>
      </c>
    </row>
    <row r="3817" spans="1:9" ht="15" customHeight="1" x14ac:dyDescent="0.25">
      <c r="A3817" s="7">
        <v>3816</v>
      </c>
      <c r="B3817" s="1">
        <v>43642</v>
      </c>
      <c r="C3817" s="6" t="s">
        <v>27</v>
      </c>
      <c r="D3817" s="6" t="s">
        <v>18</v>
      </c>
      <c r="E3817" s="6">
        <v>3</v>
      </c>
      <c r="F3817" s="6">
        <v>1</v>
      </c>
      <c r="G3817" s="6" t="s">
        <v>11</v>
      </c>
      <c r="H3817" s="6" t="s">
        <v>13</v>
      </c>
      <c r="I3817" s="6">
        <f>TabJogos[[#This Row],[PontosTime1]]-TabJogos[[#This Row],[PontosTime2]]</f>
        <v>2</v>
      </c>
    </row>
    <row r="3818" spans="1:9" ht="15" customHeight="1" x14ac:dyDescent="0.25">
      <c r="A3818" s="7">
        <v>3817</v>
      </c>
      <c r="B3818" s="1">
        <v>43643</v>
      </c>
      <c r="C3818" s="6" t="s">
        <v>10</v>
      </c>
      <c r="D3818" s="6" t="s">
        <v>11</v>
      </c>
      <c r="E3818" s="6">
        <v>3</v>
      </c>
      <c r="F3818" s="6">
        <v>1</v>
      </c>
      <c r="G3818" s="6" t="s">
        <v>13</v>
      </c>
      <c r="H3818" s="6" t="s">
        <v>18</v>
      </c>
      <c r="I3818" s="6">
        <f>TabJogos[[#This Row],[PontosTime1]]-TabJogos[[#This Row],[PontosTime2]]</f>
        <v>2</v>
      </c>
    </row>
    <row r="3819" spans="1:9" ht="15" customHeight="1" x14ac:dyDescent="0.25">
      <c r="A3819" s="7">
        <v>3818</v>
      </c>
      <c r="B3819" s="1">
        <v>43643</v>
      </c>
      <c r="C3819" s="6" t="s">
        <v>11</v>
      </c>
      <c r="D3819" s="6" t="s">
        <v>18</v>
      </c>
      <c r="E3819" s="6">
        <v>1</v>
      </c>
      <c r="F3819" s="6">
        <v>3</v>
      </c>
      <c r="G3819" s="6" t="s">
        <v>10</v>
      </c>
      <c r="H3819" s="6" t="s">
        <v>13</v>
      </c>
      <c r="I3819" s="6">
        <f>TabJogos[[#This Row],[PontosTime1]]-TabJogos[[#This Row],[PontosTime2]]</f>
        <v>-2</v>
      </c>
    </row>
    <row r="3820" spans="1:9" ht="15" customHeight="1" x14ac:dyDescent="0.25">
      <c r="A3820" s="7">
        <v>3819</v>
      </c>
      <c r="B3820" s="1">
        <v>43643</v>
      </c>
      <c r="C3820" s="6" t="s">
        <v>10</v>
      </c>
      <c r="D3820" s="6" t="s">
        <v>18</v>
      </c>
      <c r="E3820" s="6">
        <v>1</v>
      </c>
      <c r="F3820" s="6">
        <v>3</v>
      </c>
      <c r="G3820" s="6" t="s">
        <v>13</v>
      </c>
      <c r="H3820" s="6" t="s">
        <v>27</v>
      </c>
      <c r="I3820" s="6">
        <f>TabJogos[[#This Row],[PontosTime1]]-TabJogos[[#This Row],[PontosTime2]]</f>
        <v>-2</v>
      </c>
    </row>
    <row r="3821" spans="1:9" ht="15" customHeight="1" x14ac:dyDescent="0.25">
      <c r="A3821" s="7">
        <v>3820</v>
      </c>
      <c r="B3821" s="1">
        <v>43643</v>
      </c>
      <c r="C3821" s="6" t="s">
        <v>27</v>
      </c>
      <c r="D3821" s="6" t="s">
        <v>18</v>
      </c>
      <c r="E3821" s="6">
        <v>6</v>
      </c>
      <c r="F3821" s="6">
        <v>0</v>
      </c>
      <c r="G3821" s="6" t="s">
        <v>11</v>
      </c>
      <c r="H3821" s="6" t="s">
        <v>13</v>
      </c>
      <c r="I3821" s="6">
        <f>TabJogos[[#This Row],[PontosTime1]]-TabJogos[[#This Row],[PontosTime2]]</f>
        <v>6</v>
      </c>
    </row>
    <row r="3822" spans="1:9" ht="15" customHeight="1" x14ac:dyDescent="0.25">
      <c r="A3822" s="7">
        <v>3821</v>
      </c>
      <c r="B3822" s="1">
        <v>43643</v>
      </c>
      <c r="C3822" s="6" t="s">
        <v>27</v>
      </c>
      <c r="D3822" s="6" t="s">
        <v>10</v>
      </c>
      <c r="E3822" s="6">
        <v>1</v>
      </c>
      <c r="F3822" s="6">
        <v>3</v>
      </c>
      <c r="G3822" s="6" t="s">
        <v>17</v>
      </c>
      <c r="H3822" s="6" t="s">
        <v>18</v>
      </c>
      <c r="I3822" s="6">
        <f>TabJogos[[#This Row],[PontosTime1]]-TabJogos[[#This Row],[PontosTime2]]</f>
        <v>-2</v>
      </c>
    </row>
    <row r="3823" spans="1:9" ht="15" customHeight="1" x14ac:dyDescent="0.25">
      <c r="A3823" s="7">
        <v>3822</v>
      </c>
      <c r="B3823" s="1">
        <v>43643</v>
      </c>
      <c r="C3823" s="6" t="s">
        <v>17</v>
      </c>
      <c r="D3823" s="6" t="s">
        <v>11</v>
      </c>
      <c r="E3823" s="6">
        <v>3</v>
      </c>
      <c r="F3823" s="6">
        <v>2</v>
      </c>
      <c r="G3823" s="6" t="s">
        <v>18</v>
      </c>
      <c r="H3823" s="6" t="s">
        <v>13</v>
      </c>
      <c r="I3823" s="6">
        <f>TabJogos[[#This Row],[PontosTime1]]-TabJogos[[#This Row],[PontosTime2]]</f>
        <v>1</v>
      </c>
    </row>
    <row r="3824" spans="1:9" ht="15" customHeight="1" x14ac:dyDescent="0.25">
      <c r="A3824" s="7">
        <v>3823</v>
      </c>
      <c r="B3824" s="1">
        <v>43643</v>
      </c>
      <c r="C3824" s="6" t="s">
        <v>11</v>
      </c>
      <c r="D3824" s="6" t="s">
        <v>27</v>
      </c>
      <c r="E3824" s="6">
        <v>3</v>
      </c>
      <c r="F3824" s="6">
        <v>2</v>
      </c>
      <c r="G3824" s="6" t="s">
        <v>17</v>
      </c>
      <c r="H3824" s="6" t="s">
        <v>10</v>
      </c>
      <c r="I3824" s="6">
        <f>TabJogos[[#This Row],[PontosTime1]]-TabJogos[[#This Row],[PontosTime2]]</f>
        <v>1</v>
      </c>
    </row>
    <row r="3825" spans="1:9" ht="15" customHeight="1" x14ac:dyDescent="0.25">
      <c r="A3825" s="7">
        <v>3824</v>
      </c>
      <c r="B3825" s="1">
        <v>43643</v>
      </c>
      <c r="C3825" s="6" t="s">
        <v>11</v>
      </c>
      <c r="D3825" s="6" t="s">
        <v>18</v>
      </c>
      <c r="E3825" s="6">
        <v>3</v>
      </c>
      <c r="F3825" s="6">
        <v>0</v>
      </c>
      <c r="G3825" s="6" t="s">
        <v>41</v>
      </c>
      <c r="H3825" s="6" t="s">
        <v>27</v>
      </c>
      <c r="I3825" s="6">
        <f>TabJogos[[#This Row],[PontosTime1]]-TabJogos[[#This Row],[PontosTime2]]</f>
        <v>3</v>
      </c>
    </row>
    <row r="3826" spans="1:9" ht="15" customHeight="1" x14ac:dyDescent="0.25">
      <c r="A3826" s="7">
        <v>3825</v>
      </c>
      <c r="B3826" s="1">
        <v>43643</v>
      </c>
      <c r="C3826" s="6" t="s">
        <v>11</v>
      </c>
      <c r="D3826" s="6" t="s">
        <v>10</v>
      </c>
      <c r="E3826" s="6">
        <v>3</v>
      </c>
      <c r="F3826" s="6">
        <v>0</v>
      </c>
      <c r="G3826" s="6" t="s">
        <v>18</v>
      </c>
      <c r="H3826" s="6" t="s">
        <v>13</v>
      </c>
      <c r="I3826" s="6">
        <f>TabJogos[[#This Row],[PontosTime1]]-TabJogos[[#This Row],[PontosTime2]]</f>
        <v>3</v>
      </c>
    </row>
    <row r="3827" spans="1:9" ht="15" customHeight="1" x14ac:dyDescent="0.25">
      <c r="A3827" s="7">
        <v>3826</v>
      </c>
      <c r="B3827" s="1">
        <v>43643</v>
      </c>
      <c r="C3827" s="6" t="s">
        <v>11</v>
      </c>
      <c r="D3827" s="6" t="s">
        <v>41</v>
      </c>
      <c r="E3827" s="6">
        <v>3</v>
      </c>
      <c r="F3827" s="6">
        <v>0</v>
      </c>
      <c r="G3827" s="6" t="s">
        <v>10</v>
      </c>
      <c r="H3827" s="6" t="s">
        <v>27</v>
      </c>
      <c r="I3827" s="6">
        <f>TabJogos[[#This Row],[PontosTime1]]-TabJogos[[#This Row],[PontosTime2]]</f>
        <v>3</v>
      </c>
    </row>
    <row r="3828" spans="1:9" ht="15" customHeight="1" x14ac:dyDescent="0.25">
      <c r="A3828" s="7">
        <v>3827</v>
      </c>
      <c r="B3828" s="1">
        <v>43643</v>
      </c>
      <c r="C3828" s="6" t="s">
        <v>11</v>
      </c>
      <c r="D3828" s="6" t="s">
        <v>13</v>
      </c>
      <c r="E3828" s="6">
        <v>3</v>
      </c>
      <c r="F3828" s="6">
        <v>1</v>
      </c>
      <c r="G3828" s="6" t="s">
        <v>41</v>
      </c>
      <c r="H3828" s="6" t="s">
        <v>18</v>
      </c>
      <c r="I3828" s="6">
        <f>TabJogos[[#This Row],[PontosTime1]]-TabJogos[[#This Row],[PontosTime2]]</f>
        <v>2</v>
      </c>
    </row>
    <row r="3829" spans="1:9" ht="15" customHeight="1" x14ac:dyDescent="0.25">
      <c r="A3829" s="7">
        <v>3828</v>
      </c>
      <c r="B3829" s="1">
        <v>43643</v>
      </c>
      <c r="C3829" s="6" t="s">
        <v>11</v>
      </c>
      <c r="D3829" s="6" t="s">
        <v>18</v>
      </c>
      <c r="E3829" s="6">
        <v>3</v>
      </c>
      <c r="F3829" s="6">
        <v>0</v>
      </c>
      <c r="G3829" s="6" t="s">
        <v>10</v>
      </c>
      <c r="H3829" s="6" t="s">
        <v>13</v>
      </c>
      <c r="I3829" s="6">
        <f>TabJogos[[#This Row],[PontosTime1]]-TabJogos[[#This Row],[PontosTime2]]</f>
        <v>3</v>
      </c>
    </row>
    <row r="3830" spans="1:9" ht="15" customHeight="1" x14ac:dyDescent="0.25">
      <c r="A3830" s="7">
        <v>3829</v>
      </c>
      <c r="B3830" s="1">
        <v>43643</v>
      </c>
      <c r="C3830" s="6" t="s">
        <v>11</v>
      </c>
      <c r="D3830" s="6" t="s">
        <v>10</v>
      </c>
      <c r="E3830" s="6">
        <v>2</v>
      </c>
      <c r="F3830" s="6">
        <v>3</v>
      </c>
      <c r="G3830" s="6" t="s">
        <v>13</v>
      </c>
      <c r="H3830" s="6" t="s">
        <v>18</v>
      </c>
      <c r="I3830" s="6">
        <f>TabJogos[[#This Row],[PontosTime1]]-TabJogos[[#This Row],[PontosTime2]]</f>
        <v>-1</v>
      </c>
    </row>
    <row r="3831" spans="1:9" ht="15" customHeight="1" x14ac:dyDescent="0.25">
      <c r="A3831" s="7">
        <v>3830</v>
      </c>
      <c r="B3831" s="1">
        <v>43643</v>
      </c>
      <c r="C3831" s="6" t="s">
        <v>11</v>
      </c>
      <c r="D3831" s="6" t="s">
        <v>13</v>
      </c>
      <c r="E3831" s="6">
        <v>3</v>
      </c>
      <c r="F3831" s="6">
        <v>0</v>
      </c>
      <c r="G3831" s="6" t="s">
        <v>18</v>
      </c>
      <c r="H3831" s="6" t="s">
        <v>10</v>
      </c>
      <c r="I3831" s="6">
        <f>TabJogos[[#This Row],[PontosTime1]]-TabJogos[[#This Row],[PontosTime2]]</f>
        <v>3</v>
      </c>
    </row>
    <row r="3832" spans="1:9" ht="15" customHeight="1" x14ac:dyDescent="0.25">
      <c r="A3832" s="7">
        <v>3831</v>
      </c>
      <c r="B3832" s="1">
        <v>43644</v>
      </c>
      <c r="C3832" s="6" t="s">
        <v>11</v>
      </c>
      <c r="D3832" s="6" t="s">
        <v>12</v>
      </c>
      <c r="E3832" s="6">
        <v>3</v>
      </c>
      <c r="F3832" s="6">
        <v>1</v>
      </c>
      <c r="G3832" s="6" t="s">
        <v>10</v>
      </c>
      <c r="H3832" s="6" t="s">
        <v>13</v>
      </c>
      <c r="I3832" s="6">
        <f>TabJogos[[#This Row],[PontosTime1]]-TabJogos[[#This Row],[PontosTime2]]</f>
        <v>2</v>
      </c>
    </row>
    <row r="3833" spans="1:9" ht="15" customHeight="1" x14ac:dyDescent="0.25">
      <c r="A3833" s="7">
        <v>3832</v>
      </c>
      <c r="B3833" s="1">
        <v>43644</v>
      </c>
      <c r="C3833" s="6" t="s">
        <v>12</v>
      </c>
      <c r="D3833" s="6" t="s">
        <v>17</v>
      </c>
      <c r="E3833" s="6">
        <v>5</v>
      </c>
      <c r="F3833" s="6">
        <v>1</v>
      </c>
      <c r="G3833" s="6" t="s">
        <v>11</v>
      </c>
      <c r="H3833" s="6" t="s">
        <v>18</v>
      </c>
      <c r="I3833" s="6">
        <f>TabJogos[[#This Row],[PontosTime1]]-TabJogos[[#This Row],[PontosTime2]]</f>
        <v>4</v>
      </c>
    </row>
    <row r="3834" spans="1:9" ht="15" customHeight="1" x14ac:dyDescent="0.25">
      <c r="A3834" s="7">
        <v>3833</v>
      </c>
      <c r="B3834" s="1">
        <v>43644</v>
      </c>
      <c r="C3834" s="6" t="s">
        <v>13</v>
      </c>
      <c r="D3834" s="6" t="s">
        <v>17</v>
      </c>
      <c r="E3834" s="6">
        <v>6</v>
      </c>
      <c r="F3834" s="6">
        <v>1</v>
      </c>
      <c r="G3834" s="6" t="s">
        <v>10</v>
      </c>
      <c r="H3834" s="6" t="s">
        <v>12</v>
      </c>
      <c r="I3834" s="6">
        <f>TabJogos[[#This Row],[PontosTime1]]-TabJogos[[#This Row],[PontosTime2]]</f>
        <v>5</v>
      </c>
    </row>
    <row r="3835" spans="1:9" ht="15" customHeight="1" x14ac:dyDescent="0.25">
      <c r="A3835" s="7">
        <v>3834</v>
      </c>
      <c r="B3835" s="1">
        <v>43644</v>
      </c>
      <c r="C3835" s="6" t="s">
        <v>18</v>
      </c>
      <c r="D3835" s="6" t="s">
        <v>13</v>
      </c>
      <c r="E3835" s="6">
        <v>1</v>
      </c>
      <c r="F3835" s="6">
        <v>3</v>
      </c>
      <c r="G3835" s="6" t="s">
        <v>17</v>
      </c>
      <c r="H3835" s="6" t="s">
        <v>11</v>
      </c>
      <c r="I3835" s="6">
        <f>TabJogos[[#This Row],[PontosTime1]]-TabJogos[[#This Row],[PontosTime2]]</f>
        <v>-2</v>
      </c>
    </row>
    <row r="3836" spans="1:9" ht="15" customHeight="1" x14ac:dyDescent="0.25">
      <c r="A3836" s="7">
        <v>3835</v>
      </c>
      <c r="B3836" s="1">
        <v>43644</v>
      </c>
      <c r="C3836" s="6" t="s">
        <v>17</v>
      </c>
      <c r="D3836" s="6" t="s">
        <v>18</v>
      </c>
      <c r="E3836" s="6">
        <v>3</v>
      </c>
      <c r="F3836" s="6">
        <v>1</v>
      </c>
      <c r="G3836" s="6" t="s">
        <v>41</v>
      </c>
      <c r="H3836" s="6" t="s">
        <v>11</v>
      </c>
      <c r="I3836" s="6">
        <f>TabJogos[[#This Row],[PontosTime1]]-TabJogos[[#This Row],[PontosTime2]]</f>
        <v>2</v>
      </c>
    </row>
    <row r="3837" spans="1:9" ht="15" customHeight="1" x14ac:dyDescent="0.25">
      <c r="A3837" s="7">
        <v>3836</v>
      </c>
      <c r="B3837" s="1">
        <v>43644</v>
      </c>
      <c r="C3837" s="6" t="s">
        <v>41</v>
      </c>
      <c r="D3837" s="6" t="s">
        <v>17</v>
      </c>
      <c r="E3837" s="6">
        <v>0</v>
      </c>
      <c r="F3837" s="6">
        <v>3</v>
      </c>
      <c r="G3837" s="6" t="s">
        <v>13</v>
      </c>
      <c r="H3837" s="6" t="s">
        <v>18</v>
      </c>
      <c r="I3837" s="6">
        <f>TabJogos[[#This Row],[PontosTime1]]-TabJogos[[#This Row],[PontosTime2]]</f>
        <v>-3</v>
      </c>
    </row>
    <row r="3838" spans="1:9" ht="15" customHeight="1" x14ac:dyDescent="0.25">
      <c r="A3838" s="7">
        <v>3837</v>
      </c>
      <c r="B3838" s="1">
        <v>43644</v>
      </c>
      <c r="C3838" s="6" t="s">
        <v>11</v>
      </c>
      <c r="D3838" s="6" t="s">
        <v>13</v>
      </c>
      <c r="E3838" s="6">
        <v>0</v>
      </c>
      <c r="F3838" s="6">
        <v>3</v>
      </c>
      <c r="G3838" s="6" t="s">
        <v>41</v>
      </c>
      <c r="H3838" s="6" t="s">
        <v>18</v>
      </c>
      <c r="I3838" s="6">
        <f>TabJogos[[#This Row],[PontosTime1]]-TabJogos[[#This Row],[PontosTime2]]</f>
        <v>-3</v>
      </c>
    </row>
    <row r="3839" spans="1:9" ht="15" customHeight="1" x14ac:dyDescent="0.25">
      <c r="A3839" s="7">
        <v>3838</v>
      </c>
      <c r="B3839" s="1">
        <v>43644</v>
      </c>
      <c r="C3839" s="6" t="s">
        <v>11</v>
      </c>
      <c r="D3839" s="6" t="s">
        <v>18</v>
      </c>
      <c r="E3839" s="6">
        <v>3</v>
      </c>
      <c r="F3839" s="6">
        <v>1</v>
      </c>
      <c r="G3839" s="6" t="s">
        <v>41</v>
      </c>
      <c r="H3839" s="6" t="s">
        <v>13</v>
      </c>
      <c r="I3839" s="6">
        <f>TabJogos[[#This Row],[PontosTime1]]-TabJogos[[#This Row],[PontosTime2]]</f>
        <v>2</v>
      </c>
    </row>
    <row r="3840" spans="1:9" ht="15" customHeight="1" x14ac:dyDescent="0.25">
      <c r="A3840" s="7">
        <v>3839</v>
      </c>
      <c r="B3840" s="1">
        <v>43644</v>
      </c>
      <c r="C3840" s="6" t="s">
        <v>11</v>
      </c>
      <c r="D3840" s="6" t="s">
        <v>41</v>
      </c>
      <c r="E3840" s="6">
        <v>1</v>
      </c>
      <c r="F3840" s="6">
        <v>3</v>
      </c>
      <c r="G3840" s="6" t="s">
        <v>18</v>
      </c>
      <c r="H3840" s="6" t="s">
        <v>13</v>
      </c>
      <c r="I3840" s="6">
        <f>TabJogos[[#This Row],[PontosTime1]]-TabJogos[[#This Row],[PontosTime2]]</f>
        <v>-2</v>
      </c>
    </row>
    <row r="3841" spans="1:9" ht="15" customHeight="1" x14ac:dyDescent="0.25">
      <c r="A3841" s="7">
        <v>3840</v>
      </c>
      <c r="B3841" s="1">
        <v>43647</v>
      </c>
      <c r="C3841" s="6" t="s">
        <v>13</v>
      </c>
      <c r="D3841" s="6" t="s">
        <v>32</v>
      </c>
      <c r="E3841" s="6">
        <v>0</v>
      </c>
      <c r="F3841" s="6">
        <v>5</v>
      </c>
      <c r="G3841" s="6" t="s">
        <v>17</v>
      </c>
      <c r="H3841" s="6" t="s">
        <v>11</v>
      </c>
      <c r="I3841" s="6">
        <f>TabJogos[[#This Row],[PontosTime1]]-TabJogos[[#This Row],[PontosTime2]]</f>
        <v>-5</v>
      </c>
    </row>
    <row r="3842" spans="1:9" ht="15" customHeight="1" x14ac:dyDescent="0.25">
      <c r="A3842" s="7">
        <v>3841</v>
      </c>
      <c r="B3842" s="1">
        <v>43647</v>
      </c>
      <c r="C3842" s="6" t="s">
        <v>11</v>
      </c>
      <c r="D3842" s="6" t="s">
        <v>32</v>
      </c>
      <c r="E3842" s="6">
        <v>3</v>
      </c>
      <c r="F3842" s="6">
        <v>2</v>
      </c>
      <c r="G3842" s="6" t="s">
        <v>13</v>
      </c>
      <c r="H3842" s="6" t="s">
        <v>17</v>
      </c>
      <c r="I3842" s="6">
        <f>TabJogos[[#This Row],[PontosTime1]]-TabJogos[[#This Row],[PontosTime2]]</f>
        <v>1</v>
      </c>
    </row>
    <row r="3843" spans="1:9" ht="15" customHeight="1" x14ac:dyDescent="0.25">
      <c r="A3843" s="7">
        <v>3842</v>
      </c>
      <c r="B3843" s="1">
        <v>43647</v>
      </c>
      <c r="C3843" s="6" t="s">
        <v>11</v>
      </c>
      <c r="D3843" s="6" t="s">
        <v>41</v>
      </c>
      <c r="E3843" s="6">
        <v>2</v>
      </c>
      <c r="F3843" s="6">
        <v>4</v>
      </c>
      <c r="G3843" s="6" t="s">
        <v>17</v>
      </c>
      <c r="H3843" s="6" t="s">
        <v>32</v>
      </c>
      <c r="I3843" s="6">
        <f>TabJogos[[#This Row],[PontosTime1]]-TabJogos[[#This Row],[PontosTime2]]</f>
        <v>-2</v>
      </c>
    </row>
    <row r="3844" spans="1:9" ht="15" customHeight="1" x14ac:dyDescent="0.25">
      <c r="A3844" s="7">
        <v>3843</v>
      </c>
      <c r="B3844" s="1">
        <v>43647</v>
      </c>
      <c r="C3844" s="6" t="s">
        <v>17</v>
      </c>
      <c r="D3844" s="6" t="s">
        <v>41</v>
      </c>
      <c r="E3844" s="6">
        <v>2</v>
      </c>
      <c r="F3844" s="6">
        <v>3</v>
      </c>
      <c r="G3844" s="6" t="s">
        <v>13</v>
      </c>
      <c r="H3844" s="6" t="s">
        <v>32</v>
      </c>
      <c r="I3844" s="6">
        <f>TabJogos[[#This Row],[PontosTime1]]-TabJogos[[#This Row],[PontosTime2]]</f>
        <v>-1</v>
      </c>
    </row>
    <row r="3845" spans="1:9" ht="15" customHeight="1" x14ac:dyDescent="0.25">
      <c r="A3845" s="7">
        <v>3844</v>
      </c>
      <c r="B3845" s="1">
        <v>43647</v>
      </c>
      <c r="C3845" s="6" t="s">
        <v>11</v>
      </c>
      <c r="D3845" s="6" t="s">
        <v>13</v>
      </c>
      <c r="E3845" s="6">
        <v>1</v>
      </c>
      <c r="F3845" s="6">
        <v>3</v>
      </c>
      <c r="G3845" s="6" t="s">
        <v>18</v>
      </c>
      <c r="H3845" s="6" t="s">
        <v>32</v>
      </c>
      <c r="I3845" s="6">
        <f>TabJogos[[#This Row],[PontosTime1]]-TabJogos[[#This Row],[PontosTime2]]</f>
        <v>-2</v>
      </c>
    </row>
    <row r="3846" spans="1:9" ht="15" customHeight="1" x14ac:dyDescent="0.25">
      <c r="A3846" s="7">
        <v>3845</v>
      </c>
      <c r="B3846" s="1">
        <v>43647</v>
      </c>
      <c r="C3846" s="6" t="s">
        <v>18</v>
      </c>
      <c r="D3846" s="6" t="s">
        <v>17</v>
      </c>
      <c r="E3846" s="6">
        <v>4</v>
      </c>
      <c r="F3846" s="6">
        <v>2</v>
      </c>
      <c r="G3846" s="6" t="s">
        <v>41</v>
      </c>
      <c r="H3846" s="6" t="s">
        <v>32</v>
      </c>
      <c r="I3846" s="6">
        <f>TabJogos[[#This Row],[PontosTime1]]-TabJogos[[#This Row],[PontosTime2]]</f>
        <v>2</v>
      </c>
    </row>
    <row r="3847" spans="1:9" ht="15" customHeight="1" x14ac:dyDescent="0.25">
      <c r="A3847" s="7">
        <v>3846</v>
      </c>
      <c r="B3847" s="1">
        <v>43647</v>
      </c>
      <c r="C3847" s="6" t="s">
        <v>11</v>
      </c>
      <c r="D3847" s="6" t="s">
        <v>17</v>
      </c>
      <c r="E3847" s="6">
        <v>3</v>
      </c>
      <c r="F3847" s="6">
        <v>2</v>
      </c>
      <c r="G3847" s="6" t="s">
        <v>13</v>
      </c>
      <c r="H3847" s="6" t="s">
        <v>18</v>
      </c>
      <c r="I3847" s="6">
        <f>TabJogos[[#This Row],[PontosTime1]]-TabJogos[[#This Row],[PontosTime2]]</f>
        <v>1</v>
      </c>
    </row>
    <row r="3848" spans="1:9" ht="15" customHeight="1" x14ac:dyDescent="0.25">
      <c r="A3848" s="7">
        <v>3847</v>
      </c>
      <c r="B3848" s="1">
        <v>43647</v>
      </c>
      <c r="C3848" s="6" t="s">
        <v>11</v>
      </c>
      <c r="D3848" s="6" t="s">
        <v>41</v>
      </c>
      <c r="E3848" s="6">
        <v>1</v>
      </c>
      <c r="F3848" s="6">
        <v>3</v>
      </c>
      <c r="G3848" s="6" t="s">
        <v>17</v>
      </c>
      <c r="H3848" s="6" t="s">
        <v>13</v>
      </c>
      <c r="I3848" s="6">
        <f>TabJogos[[#This Row],[PontosTime1]]-TabJogos[[#This Row],[PontosTime2]]</f>
        <v>-2</v>
      </c>
    </row>
    <row r="3849" spans="1:9" ht="15" customHeight="1" x14ac:dyDescent="0.25">
      <c r="A3849" s="7">
        <v>3848</v>
      </c>
      <c r="B3849" s="1">
        <v>43647</v>
      </c>
      <c r="C3849" s="6" t="s">
        <v>41</v>
      </c>
      <c r="D3849" s="6" t="s">
        <v>13</v>
      </c>
      <c r="E3849" s="6">
        <v>0</v>
      </c>
      <c r="F3849" s="6">
        <v>3</v>
      </c>
      <c r="G3849" s="6" t="s">
        <v>17</v>
      </c>
      <c r="H3849" s="6" t="s">
        <v>18</v>
      </c>
      <c r="I3849" s="6">
        <f>TabJogos[[#This Row],[PontosTime1]]-TabJogos[[#This Row],[PontosTime2]]</f>
        <v>-3</v>
      </c>
    </row>
    <row r="3850" spans="1:9" ht="15" customHeight="1" x14ac:dyDescent="0.25">
      <c r="A3850" s="7">
        <v>3849</v>
      </c>
      <c r="B3850" s="1">
        <v>43648</v>
      </c>
      <c r="C3850" s="6" t="s">
        <v>10</v>
      </c>
      <c r="D3850" s="6" t="s">
        <v>41</v>
      </c>
      <c r="E3850" s="6">
        <v>3</v>
      </c>
      <c r="F3850" s="6">
        <v>1</v>
      </c>
      <c r="G3850" s="6" t="s">
        <v>13</v>
      </c>
      <c r="H3850" s="6" t="s">
        <v>11</v>
      </c>
      <c r="I3850" s="6">
        <f>TabJogos[[#This Row],[PontosTime1]]-TabJogos[[#This Row],[PontosTime2]]</f>
        <v>2</v>
      </c>
    </row>
    <row r="3851" spans="1:9" ht="15" customHeight="1" x14ac:dyDescent="0.25">
      <c r="A3851" s="7">
        <v>3850</v>
      </c>
      <c r="B3851" s="1">
        <v>43648</v>
      </c>
      <c r="C3851" s="6" t="s">
        <v>13</v>
      </c>
      <c r="D3851" s="6" t="s">
        <v>41</v>
      </c>
      <c r="E3851" s="6">
        <v>3</v>
      </c>
      <c r="F3851" s="6">
        <v>0</v>
      </c>
      <c r="G3851" s="6" t="s">
        <v>10</v>
      </c>
      <c r="H3851" s="6" t="s">
        <v>27</v>
      </c>
      <c r="I3851" s="6">
        <f>TabJogos[[#This Row],[PontosTime1]]-TabJogos[[#This Row],[PontosTime2]]</f>
        <v>3</v>
      </c>
    </row>
    <row r="3852" spans="1:9" ht="15" customHeight="1" x14ac:dyDescent="0.25">
      <c r="A3852" s="7">
        <v>3851</v>
      </c>
      <c r="B3852" s="1">
        <v>43648</v>
      </c>
      <c r="C3852" s="6" t="s">
        <v>41</v>
      </c>
      <c r="D3852" s="6" t="s">
        <v>11</v>
      </c>
      <c r="E3852" s="6">
        <v>3</v>
      </c>
      <c r="F3852" s="6">
        <v>2</v>
      </c>
      <c r="G3852" s="6" t="s">
        <v>27</v>
      </c>
      <c r="H3852" s="6" t="s">
        <v>13</v>
      </c>
      <c r="I3852" s="6">
        <f>TabJogos[[#This Row],[PontosTime1]]-TabJogos[[#This Row],[PontosTime2]]</f>
        <v>1</v>
      </c>
    </row>
    <row r="3853" spans="1:9" ht="15" customHeight="1" x14ac:dyDescent="0.25">
      <c r="A3853" s="7">
        <v>3852</v>
      </c>
      <c r="B3853" s="1">
        <v>43648</v>
      </c>
      <c r="C3853" s="6" t="s">
        <v>27</v>
      </c>
      <c r="D3853" s="6" t="s">
        <v>11</v>
      </c>
      <c r="E3853" s="6">
        <v>3</v>
      </c>
      <c r="F3853" s="6">
        <v>1</v>
      </c>
      <c r="G3853" s="6" t="s">
        <v>13</v>
      </c>
      <c r="H3853" s="6" t="s">
        <v>41</v>
      </c>
      <c r="I3853" s="6">
        <f>TabJogos[[#This Row],[PontosTime1]]-TabJogos[[#This Row],[PontosTime2]]</f>
        <v>2</v>
      </c>
    </row>
    <row r="3854" spans="1:9" ht="15" customHeight="1" x14ac:dyDescent="0.25">
      <c r="A3854" s="7">
        <v>3853</v>
      </c>
      <c r="B3854" s="1">
        <v>43648</v>
      </c>
      <c r="C3854" s="6" t="s">
        <v>41</v>
      </c>
      <c r="D3854" s="6" t="s">
        <v>27</v>
      </c>
      <c r="E3854" s="6">
        <v>5</v>
      </c>
      <c r="F3854" s="6">
        <v>1</v>
      </c>
      <c r="G3854" s="6" t="s">
        <v>11</v>
      </c>
      <c r="H3854" s="6" t="s">
        <v>13</v>
      </c>
      <c r="I3854" s="6">
        <f>TabJogos[[#This Row],[PontosTime1]]-TabJogos[[#This Row],[PontosTime2]]</f>
        <v>4</v>
      </c>
    </row>
    <row r="3855" spans="1:9" ht="15" customHeight="1" x14ac:dyDescent="0.25">
      <c r="A3855" s="7">
        <v>3854</v>
      </c>
      <c r="B3855" s="1">
        <v>43648</v>
      </c>
      <c r="C3855" s="6" t="s">
        <v>11</v>
      </c>
      <c r="D3855" s="6" t="s">
        <v>41</v>
      </c>
      <c r="E3855" s="6">
        <v>0</v>
      </c>
      <c r="F3855" s="6">
        <v>3</v>
      </c>
      <c r="G3855" s="6" t="s">
        <v>13</v>
      </c>
      <c r="H3855" s="6" t="s">
        <v>27</v>
      </c>
      <c r="I3855" s="6">
        <f>TabJogos[[#This Row],[PontosTime1]]-TabJogos[[#This Row],[PontosTime2]]</f>
        <v>-3</v>
      </c>
    </row>
    <row r="3856" spans="1:9" ht="15" customHeight="1" x14ac:dyDescent="0.25">
      <c r="A3856" s="7">
        <v>3855</v>
      </c>
      <c r="B3856" s="1">
        <v>43648</v>
      </c>
      <c r="C3856" s="6" t="s">
        <v>11</v>
      </c>
      <c r="D3856" s="6" t="s">
        <v>27</v>
      </c>
      <c r="E3856" s="6">
        <v>3</v>
      </c>
      <c r="F3856" s="6">
        <v>2</v>
      </c>
      <c r="G3856" s="6" t="s">
        <v>41</v>
      </c>
      <c r="H3856" s="6" t="s">
        <v>13</v>
      </c>
      <c r="I3856" s="6">
        <f>TabJogos[[#This Row],[PontosTime1]]-TabJogos[[#This Row],[PontosTime2]]</f>
        <v>1</v>
      </c>
    </row>
    <row r="3857" spans="1:9" ht="15" customHeight="1" x14ac:dyDescent="0.25">
      <c r="A3857" s="7">
        <v>3856</v>
      </c>
      <c r="B3857" s="1">
        <v>43648</v>
      </c>
      <c r="C3857" s="6" t="s">
        <v>13</v>
      </c>
      <c r="D3857" s="6" t="s">
        <v>27</v>
      </c>
      <c r="E3857" s="6">
        <v>1</v>
      </c>
      <c r="F3857" s="6">
        <v>4</v>
      </c>
      <c r="G3857" s="6" t="s">
        <v>11</v>
      </c>
      <c r="H3857" s="6" t="s">
        <v>17</v>
      </c>
      <c r="I3857" s="6">
        <f>TabJogos[[#This Row],[PontosTime1]]-TabJogos[[#This Row],[PontosTime2]]</f>
        <v>-3</v>
      </c>
    </row>
    <row r="3858" spans="1:9" ht="15" customHeight="1" x14ac:dyDescent="0.25">
      <c r="A3858" s="7">
        <v>3857</v>
      </c>
      <c r="B3858" s="1">
        <v>43648</v>
      </c>
      <c r="C3858" s="6" t="s">
        <v>27</v>
      </c>
      <c r="D3858" s="6" t="s">
        <v>17</v>
      </c>
      <c r="E3858" s="6">
        <v>3</v>
      </c>
      <c r="F3858" s="6">
        <v>2</v>
      </c>
      <c r="G3858" s="6" t="s">
        <v>11</v>
      </c>
      <c r="H3858" s="6" t="s">
        <v>13</v>
      </c>
      <c r="I3858" s="6">
        <f>TabJogos[[#This Row],[PontosTime1]]-TabJogos[[#This Row],[PontosTime2]]</f>
        <v>1</v>
      </c>
    </row>
    <row r="3859" spans="1:9" ht="15" customHeight="1" x14ac:dyDescent="0.25">
      <c r="A3859" s="7">
        <v>3858</v>
      </c>
      <c r="B3859" s="1">
        <v>43649</v>
      </c>
      <c r="C3859" s="6" t="s">
        <v>13</v>
      </c>
      <c r="D3859" s="6" t="s">
        <v>9</v>
      </c>
      <c r="E3859" s="6">
        <v>3</v>
      </c>
      <c r="F3859" s="6">
        <v>2</v>
      </c>
      <c r="G3859" s="6" t="s">
        <v>17</v>
      </c>
      <c r="H3859" s="6" t="s">
        <v>11</v>
      </c>
      <c r="I3859" s="6">
        <f>TabJogos[[#This Row],[PontosTime1]]-TabJogos[[#This Row],[PontosTime2]]</f>
        <v>1</v>
      </c>
    </row>
    <row r="3860" spans="1:9" ht="15" customHeight="1" x14ac:dyDescent="0.25">
      <c r="A3860" s="7">
        <v>3859</v>
      </c>
      <c r="B3860" s="1">
        <v>43649</v>
      </c>
      <c r="C3860" s="6" t="s">
        <v>13</v>
      </c>
      <c r="D3860" s="6" t="s">
        <v>17</v>
      </c>
      <c r="E3860" s="6">
        <v>1</v>
      </c>
      <c r="F3860" s="6">
        <v>3</v>
      </c>
      <c r="G3860" s="6" t="s">
        <v>11</v>
      </c>
      <c r="H3860" s="6" t="s">
        <v>9</v>
      </c>
      <c r="I3860" s="6">
        <f>TabJogos[[#This Row],[PontosTime1]]-TabJogos[[#This Row],[PontosTime2]]</f>
        <v>-2</v>
      </c>
    </row>
    <row r="3861" spans="1:9" ht="15" customHeight="1" x14ac:dyDescent="0.25">
      <c r="A3861" s="7">
        <v>3860</v>
      </c>
      <c r="B3861" s="1">
        <v>43649</v>
      </c>
      <c r="C3861" s="6" t="s">
        <v>13</v>
      </c>
      <c r="D3861" s="6" t="s">
        <v>11</v>
      </c>
      <c r="E3861" s="6">
        <v>3</v>
      </c>
      <c r="F3861" s="6">
        <v>2</v>
      </c>
      <c r="G3861" s="6" t="s">
        <v>9</v>
      </c>
      <c r="H3861" s="6" t="s">
        <v>17</v>
      </c>
      <c r="I3861" s="6">
        <f>TabJogos[[#This Row],[PontosTime1]]-TabJogos[[#This Row],[PontosTime2]]</f>
        <v>1</v>
      </c>
    </row>
    <row r="3862" spans="1:9" ht="15" customHeight="1" x14ac:dyDescent="0.25">
      <c r="A3862" s="7">
        <v>3861</v>
      </c>
      <c r="B3862" s="1">
        <v>43649</v>
      </c>
      <c r="C3862" s="6" t="s">
        <v>10</v>
      </c>
      <c r="D3862" s="6" t="s">
        <v>11</v>
      </c>
      <c r="E3862" s="6">
        <v>4</v>
      </c>
      <c r="F3862" s="6">
        <v>0</v>
      </c>
      <c r="G3862" s="6" t="s">
        <v>9</v>
      </c>
      <c r="H3862" s="6" t="s">
        <v>13</v>
      </c>
      <c r="I3862" s="6">
        <f>TabJogos[[#This Row],[PontosTime1]]-TabJogos[[#This Row],[PontosTime2]]</f>
        <v>4</v>
      </c>
    </row>
    <row r="3863" spans="1:9" ht="15" customHeight="1" x14ac:dyDescent="0.25">
      <c r="A3863" s="7">
        <v>3862</v>
      </c>
      <c r="B3863" s="1">
        <v>43649</v>
      </c>
      <c r="C3863" s="6" t="s">
        <v>10</v>
      </c>
      <c r="D3863" s="6" t="s">
        <v>41</v>
      </c>
      <c r="E3863" s="6">
        <v>3</v>
      </c>
      <c r="F3863" s="6">
        <v>0</v>
      </c>
      <c r="G3863" s="6" t="s">
        <v>17</v>
      </c>
      <c r="H3863" s="6" t="s">
        <v>11</v>
      </c>
      <c r="I3863" s="6">
        <f>TabJogos[[#This Row],[PontosTime1]]-TabJogos[[#This Row],[PontosTime2]]</f>
        <v>3</v>
      </c>
    </row>
    <row r="3864" spans="1:9" ht="15" customHeight="1" x14ac:dyDescent="0.25">
      <c r="A3864" s="7">
        <v>3863</v>
      </c>
      <c r="B3864" s="1">
        <v>43649</v>
      </c>
      <c r="C3864" s="6" t="s">
        <v>10</v>
      </c>
      <c r="D3864" s="6" t="s">
        <v>13</v>
      </c>
      <c r="E3864" s="6">
        <v>3</v>
      </c>
      <c r="F3864" s="6">
        <v>0</v>
      </c>
      <c r="G3864" s="6" t="s">
        <v>17</v>
      </c>
      <c r="H3864" s="6" t="s">
        <v>41</v>
      </c>
      <c r="I3864" s="6">
        <f>TabJogos[[#This Row],[PontosTime1]]-TabJogos[[#This Row],[PontosTime2]]</f>
        <v>3</v>
      </c>
    </row>
    <row r="3865" spans="1:9" ht="15" customHeight="1" x14ac:dyDescent="0.25">
      <c r="A3865" s="7">
        <v>3864</v>
      </c>
      <c r="B3865" s="1">
        <v>43649</v>
      </c>
      <c r="C3865" s="6" t="s">
        <v>10</v>
      </c>
      <c r="D3865" s="6" t="s">
        <v>13</v>
      </c>
      <c r="E3865" s="6">
        <v>1</v>
      </c>
      <c r="F3865" s="6">
        <v>3</v>
      </c>
      <c r="G3865" s="6" t="s">
        <v>11</v>
      </c>
      <c r="H3865" s="6" t="s">
        <v>9</v>
      </c>
      <c r="I3865" s="6">
        <f>TabJogos[[#This Row],[PontosTime1]]-TabJogos[[#This Row],[PontosTime2]]</f>
        <v>-2</v>
      </c>
    </row>
    <row r="3866" spans="1:9" ht="15" customHeight="1" x14ac:dyDescent="0.25">
      <c r="A3866" s="7">
        <v>3865</v>
      </c>
      <c r="B3866" s="1">
        <v>43649</v>
      </c>
      <c r="C3866" s="6" t="s">
        <v>13</v>
      </c>
      <c r="D3866" s="6" t="s">
        <v>41</v>
      </c>
      <c r="E3866" s="6">
        <v>3</v>
      </c>
      <c r="F3866" s="6">
        <v>1</v>
      </c>
      <c r="G3866" s="6" t="s">
        <v>10</v>
      </c>
      <c r="H3866" s="6" t="s">
        <v>9</v>
      </c>
      <c r="I3866" s="6">
        <f>TabJogos[[#This Row],[PontosTime1]]-TabJogos[[#This Row],[PontosTime2]]</f>
        <v>2</v>
      </c>
    </row>
    <row r="3867" spans="1:9" ht="15" customHeight="1" x14ac:dyDescent="0.25">
      <c r="A3867" s="7">
        <v>3866</v>
      </c>
      <c r="B3867" s="1">
        <v>43649</v>
      </c>
      <c r="C3867" s="6" t="s">
        <v>41</v>
      </c>
      <c r="D3867" s="6" t="s">
        <v>11</v>
      </c>
      <c r="E3867" s="6">
        <v>3</v>
      </c>
      <c r="F3867" s="6">
        <v>0</v>
      </c>
      <c r="G3867" s="6" t="s">
        <v>17</v>
      </c>
      <c r="H3867" s="6" t="s">
        <v>13</v>
      </c>
      <c r="I3867" s="6">
        <f>TabJogos[[#This Row],[PontosTime1]]-TabJogos[[#This Row],[PontosTime2]]</f>
        <v>3</v>
      </c>
    </row>
    <row r="3868" spans="1:9" ht="15" customHeight="1" x14ac:dyDescent="0.25">
      <c r="A3868" s="7">
        <v>3867</v>
      </c>
      <c r="B3868" s="1">
        <v>43649</v>
      </c>
      <c r="C3868" s="6" t="s">
        <v>41</v>
      </c>
      <c r="D3868" s="6" t="s">
        <v>9</v>
      </c>
      <c r="E3868" s="6">
        <v>2</v>
      </c>
      <c r="F3868" s="6">
        <v>3</v>
      </c>
      <c r="G3868" s="6" t="s">
        <v>18</v>
      </c>
      <c r="H3868" s="6" t="s">
        <v>11</v>
      </c>
      <c r="I3868" s="6">
        <f>TabJogos[[#This Row],[PontosTime1]]-TabJogos[[#This Row],[PontosTime2]]</f>
        <v>-1</v>
      </c>
    </row>
    <row r="3869" spans="1:9" ht="15" customHeight="1" x14ac:dyDescent="0.25">
      <c r="A3869" s="7">
        <v>3868</v>
      </c>
      <c r="B3869" s="1">
        <v>43649</v>
      </c>
      <c r="C3869" s="6" t="s">
        <v>18</v>
      </c>
      <c r="D3869" s="6" t="s">
        <v>9</v>
      </c>
      <c r="E3869" s="6">
        <v>1</v>
      </c>
      <c r="F3869" s="6">
        <v>5</v>
      </c>
      <c r="G3869" s="6" t="s">
        <v>11</v>
      </c>
      <c r="H3869" s="6" t="s">
        <v>13</v>
      </c>
      <c r="I3869" s="6">
        <f>TabJogos[[#This Row],[PontosTime1]]-TabJogos[[#This Row],[PontosTime2]]</f>
        <v>-4</v>
      </c>
    </row>
    <row r="3870" spans="1:9" ht="15" customHeight="1" x14ac:dyDescent="0.25">
      <c r="A3870" s="7">
        <v>3869</v>
      </c>
      <c r="B3870" s="1">
        <v>43649</v>
      </c>
      <c r="C3870" s="6" t="s">
        <v>11</v>
      </c>
      <c r="D3870" s="6" t="s">
        <v>9</v>
      </c>
      <c r="E3870" s="6">
        <v>3</v>
      </c>
      <c r="F3870" s="6">
        <v>1</v>
      </c>
      <c r="G3870" s="6" t="s">
        <v>13</v>
      </c>
      <c r="H3870" s="6" t="s">
        <v>18</v>
      </c>
      <c r="I3870" s="6">
        <f>TabJogos[[#This Row],[PontosTime1]]-TabJogos[[#This Row],[PontosTime2]]</f>
        <v>2</v>
      </c>
    </row>
    <row r="3871" spans="1:9" ht="15" customHeight="1" x14ac:dyDescent="0.25">
      <c r="A3871" s="7">
        <v>3870</v>
      </c>
      <c r="B3871" s="1">
        <v>43649</v>
      </c>
      <c r="C3871" s="6" t="s">
        <v>11</v>
      </c>
      <c r="D3871" s="6" t="s">
        <v>18</v>
      </c>
      <c r="E3871" s="6">
        <v>1</v>
      </c>
      <c r="F3871" s="6">
        <v>3</v>
      </c>
      <c r="G3871" s="6" t="s">
        <v>9</v>
      </c>
      <c r="H3871" s="6" t="s">
        <v>13</v>
      </c>
      <c r="I3871" s="6">
        <f>TabJogos[[#This Row],[PontosTime1]]-TabJogos[[#This Row],[PontosTime2]]</f>
        <v>-2</v>
      </c>
    </row>
    <row r="3872" spans="1:9" ht="15" customHeight="1" x14ac:dyDescent="0.25">
      <c r="A3872" s="7">
        <v>3871</v>
      </c>
      <c r="B3872" s="1">
        <v>43649</v>
      </c>
      <c r="C3872" s="6" t="s">
        <v>11</v>
      </c>
      <c r="D3872" s="6" t="s">
        <v>13</v>
      </c>
      <c r="E3872" s="6">
        <v>3</v>
      </c>
      <c r="F3872" s="6">
        <v>1</v>
      </c>
      <c r="G3872" s="6" t="s">
        <v>9</v>
      </c>
      <c r="H3872" s="6" t="s">
        <v>18</v>
      </c>
      <c r="I3872" s="6">
        <v>1</v>
      </c>
    </row>
    <row r="3873" spans="1:9" ht="15" customHeight="1" x14ac:dyDescent="0.25">
      <c r="A3873" s="7">
        <v>3872</v>
      </c>
      <c r="B3873" s="1">
        <v>43649</v>
      </c>
      <c r="C3873" s="6" t="s">
        <v>11</v>
      </c>
      <c r="D3873" s="6" t="s">
        <v>9</v>
      </c>
      <c r="E3873" s="6">
        <v>3</v>
      </c>
      <c r="F3873" s="6">
        <v>2</v>
      </c>
      <c r="G3873" s="6" t="s">
        <v>13</v>
      </c>
      <c r="H3873" s="6" t="s">
        <v>9</v>
      </c>
      <c r="I3873" s="6">
        <f>TabJogos[[#This Row],[PontosTime1]]-TabJogos[[#This Row],[PontosTime2]]</f>
        <v>1</v>
      </c>
    </row>
    <row r="3874" spans="1:9" ht="15" customHeight="1" x14ac:dyDescent="0.25">
      <c r="A3874" s="7">
        <v>3873</v>
      </c>
      <c r="B3874" s="1">
        <v>43650</v>
      </c>
      <c r="C3874" s="6" t="s">
        <v>17</v>
      </c>
      <c r="D3874" s="6" t="s">
        <v>13</v>
      </c>
      <c r="E3874" s="6">
        <v>3</v>
      </c>
      <c r="F3874" s="6">
        <v>1</v>
      </c>
      <c r="G3874" s="6" t="s">
        <v>10</v>
      </c>
      <c r="H3874" s="6" t="s">
        <v>12</v>
      </c>
      <c r="I3874" s="6">
        <f>TabJogos[[#This Row],[PontosTime1]]-TabJogos[[#This Row],[PontosTime2]]</f>
        <v>2</v>
      </c>
    </row>
    <row r="3875" spans="1:9" ht="15" customHeight="1" x14ac:dyDescent="0.25">
      <c r="A3875" s="7">
        <v>3874</v>
      </c>
      <c r="B3875" s="1">
        <v>43650</v>
      </c>
      <c r="C3875" s="6" t="s">
        <v>17</v>
      </c>
      <c r="D3875" s="6" t="s">
        <v>10</v>
      </c>
      <c r="E3875" s="6">
        <v>3</v>
      </c>
      <c r="F3875" s="6">
        <v>1</v>
      </c>
      <c r="G3875" s="6" t="s">
        <v>13</v>
      </c>
      <c r="H3875" s="6" t="s">
        <v>12</v>
      </c>
      <c r="I3875" s="6">
        <f>TabJogos[[#This Row],[PontosTime1]]-TabJogos[[#This Row],[PontosTime2]]</f>
        <v>2</v>
      </c>
    </row>
    <row r="3876" spans="1:9" ht="15" customHeight="1" x14ac:dyDescent="0.25">
      <c r="A3876" s="7">
        <v>3875</v>
      </c>
      <c r="B3876" s="1">
        <v>43650</v>
      </c>
      <c r="C3876" s="6" t="s">
        <v>17</v>
      </c>
      <c r="D3876" s="6" t="s">
        <v>12</v>
      </c>
      <c r="E3876" s="6">
        <v>2</v>
      </c>
      <c r="F3876" s="6">
        <v>5</v>
      </c>
      <c r="G3876" s="6" t="s">
        <v>13</v>
      </c>
      <c r="H3876" s="6" t="s">
        <v>10</v>
      </c>
      <c r="I3876" s="6">
        <f>TabJogos[[#This Row],[PontosTime1]]-TabJogos[[#This Row],[PontosTime2]]</f>
        <v>-3</v>
      </c>
    </row>
    <row r="3877" spans="1:9" ht="15" customHeight="1" x14ac:dyDescent="0.25">
      <c r="A3877" s="7">
        <v>3876</v>
      </c>
      <c r="B3877" s="1">
        <v>43650</v>
      </c>
      <c r="C3877" s="6" t="s">
        <v>9</v>
      </c>
      <c r="D3877" s="6" t="s">
        <v>13</v>
      </c>
      <c r="E3877" s="6">
        <v>1</v>
      </c>
      <c r="F3877" s="6">
        <v>3</v>
      </c>
      <c r="G3877" s="6" t="s">
        <v>18</v>
      </c>
      <c r="H3877" s="6" t="s">
        <v>11</v>
      </c>
      <c r="I3877" s="6">
        <f>TabJogos[[#This Row],[PontosTime1]]-TabJogos[[#This Row],[PontosTime2]]</f>
        <v>-2</v>
      </c>
    </row>
    <row r="3878" spans="1:9" ht="15" customHeight="1" x14ac:dyDescent="0.25">
      <c r="A3878" s="7">
        <v>3877</v>
      </c>
      <c r="B3878" s="1">
        <v>43650</v>
      </c>
      <c r="C3878" s="6" t="s">
        <v>9</v>
      </c>
      <c r="D3878" s="6" t="s">
        <v>18</v>
      </c>
      <c r="E3878" s="6">
        <v>2</v>
      </c>
      <c r="F3878" s="6">
        <v>3</v>
      </c>
      <c r="G3878" s="6" t="s">
        <v>13</v>
      </c>
      <c r="H3878" s="6" t="s">
        <v>11</v>
      </c>
      <c r="I3878" s="6">
        <f>TabJogos[[#This Row],[PontosTime1]]-TabJogos[[#This Row],[PontosTime2]]</f>
        <v>-1</v>
      </c>
    </row>
    <row r="3879" spans="1:9" ht="15" customHeight="1" x14ac:dyDescent="0.25">
      <c r="A3879" s="7">
        <v>3878</v>
      </c>
      <c r="B3879" s="1">
        <v>43650</v>
      </c>
      <c r="C3879" s="6" t="s">
        <v>11</v>
      </c>
      <c r="D3879" s="6" t="s">
        <v>9</v>
      </c>
      <c r="E3879" s="6">
        <v>3</v>
      </c>
      <c r="F3879" s="6">
        <v>2</v>
      </c>
      <c r="G3879" s="6" t="s">
        <v>13</v>
      </c>
      <c r="H3879" s="6" t="s">
        <v>18</v>
      </c>
      <c r="I3879" s="6">
        <f>TabJogos[[#This Row],[PontosTime1]]-TabJogos[[#This Row],[PontosTime2]]</f>
        <v>1</v>
      </c>
    </row>
    <row r="3880" spans="1:9" ht="15" customHeight="1" x14ac:dyDescent="0.25">
      <c r="A3880" s="7">
        <v>3879</v>
      </c>
      <c r="B3880" s="1">
        <v>43650</v>
      </c>
      <c r="C3880" s="6" t="s">
        <v>11</v>
      </c>
      <c r="D3880" s="6" t="s">
        <v>18</v>
      </c>
      <c r="E3880" s="6">
        <v>4</v>
      </c>
      <c r="F3880" s="6">
        <v>0</v>
      </c>
      <c r="G3880" s="6" t="s">
        <v>9</v>
      </c>
      <c r="H3880" s="6" t="s">
        <v>13</v>
      </c>
      <c r="I3880" s="6">
        <f>TabJogos[[#This Row],[PontosTime1]]-TabJogos[[#This Row],[PontosTime2]]</f>
        <v>4</v>
      </c>
    </row>
    <row r="3881" spans="1:9" ht="15" customHeight="1" x14ac:dyDescent="0.25">
      <c r="A3881" s="7">
        <v>3880</v>
      </c>
      <c r="B3881" s="1">
        <v>43650</v>
      </c>
      <c r="C3881" s="6" t="s">
        <v>9</v>
      </c>
      <c r="D3881" s="6" t="s">
        <v>18</v>
      </c>
      <c r="E3881" s="6">
        <v>3</v>
      </c>
      <c r="F3881" s="6">
        <v>0</v>
      </c>
      <c r="G3881" s="6" t="s">
        <v>13</v>
      </c>
      <c r="H3881" s="6" t="s">
        <v>11</v>
      </c>
      <c r="I3881" s="6">
        <f>TabJogos[[#This Row],[PontosTime1]]-TabJogos[[#This Row],[PontosTime2]]</f>
        <v>3</v>
      </c>
    </row>
    <row r="3882" spans="1:9" ht="15" customHeight="1" x14ac:dyDescent="0.25">
      <c r="A3882" s="7">
        <v>3881</v>
      </c>
      <c r="B3882" s="1">
        <v>43650</v>
      </c>
      <c r="C3882" s="6" t="s">
        <v>11</v>
      </c>
      <c r="D3882" s="6" t="s">
        <v>9</v>
      </c>
      <c r="E3882" s="6">
        <v>3</v>
      </c>
      <c r="F3882" s="6">
        <v>1</v>
      </c>
      <c r="G3882" s="6" t="s">
        <v>13</v>
      </c>
      <c r="H3882" s="6" t="s">
        <v>18</v>
      </c>
      <c r="I3882" s="6">
        <f>TabJogos[[#This Row],[PontosTime1]]-TabJogos[[#This Row],[PontosTime2]]</f>
        <v>2</v>
      </c>
    </row>
    <row r="3883" spans="1:9" ht="15" customHeight="1" x14ac:dyDescent="0.25">
      <c r="A3883" s="7">
        <v>3882</v>
      </c>
      <c r="B3883" s="1">
        <v>43650</v>
      </c>
      <c r="C3883" s="6" t="s">
        <v>11</v>
      </c>
      <c r="D3883" s="6" t="s">
        <v>18</v>
      </c>
      <c r="E3883" s="6">
        <v>1</v>
      </c>
      <c r="F3883" s="6">
        <v>3</v>
      </c>
      <c r="G3883" s="6" t="s">
        <v>9</v>
      </c>
      <c r="H3883" s="6" t="s">
        <v>13</v>
      </c>
      <c r="I3883" s="6">
        <f>TabJogos[[#This Row],[PontosTime1]]-TabJogos[[#This Row],[PontosTime2]]</f>
        <v>-2</v>
      </c>
    </row>
    <row r="3884" spans="1:9" ht="15" customHeight="1" x14ac:dyDescent="0.25">
      <c r="A3884" s="7">
        <v>3883</v>
      </c>
      <c r="B3884" s="1">
        <v>43650</v>
      </c>
      <c r="C3884" s="6" t="s">
        <v>11</v>
      </c>
      <c r="D3884" s="6" t="s">
        <v>9</v>
      </c>
      <c r="E3884" s="6">
        <v>4</v>
      </c>
      <c r="F3884" s="6">
        <v>0</v>
      </c>
      <c r="G3884" s="6" t="s">
        <v>13</v>
      </c>
      <c r="H3884" s="6" t="s">
        <v>18</v>
      </c>
      <c r="I3884" s="6">
        <f>TabJogos[[#This Row],[PontosTime1]]-TabJogos[[#This Row],[PontosTime2]]</f>
        <v>4</v>
      </c>
    </row>
    <row r="3885" spans="1:9" ht="15" customHeight="1" x14ac:dyDescent="0.25">
      <c r="A3885" s="7">
        <v>3884</v>
      </c>
      <c r="B3885" s="1">
        <v>43650</v>
      </c>
      <c r="C3885" s="6" t="s">
        <v>11</v>
      </c>
      <c r="D3885" s="6" t="s">
        <v>13</v>
      </c>
      <c r="E3885" s="6">
        <v>2</v>
      </c>
      <c r="F3885" s="6">
        <v>4</v>
      </c>
      <c r="G3885" s="6" t="s">
        <v>9</v>
      </c>
      <c r="H3885" s="6" t="s">
        <v>18</v>
      </c>
      <c r="I3885" s="6">
        <f>TabJogos[[#This Row],[PontosTime1]]-TabJogos[[#This Row],[PontosTime2]]</f>
        <v>-2</v>
      </c>
    </row>
    <row r="3886" spans="1:9" ht="15" customHeight="1" x14ac:dyDescent="0.25">
      <c r="A3886" s="7">
        <v>3885</v>
      </c>
      <c r="B3886" s="1">
        <v>43651</v>
      </c>
      <c r="C3886" s="6" t="s">
        <v>9</v>
      </c>
      <c r="D3886" s="6" t="s">
        <v>13</v>
      </c>
      <c r="E3886" s="6">
        <v>1</v>
      </c>
      <c r="F3886" s="6">
        <v>3</v>
      </c>
      <c r="G3886" s="6" t="s">
        <v>11</v>
      </c>
      <c r="H3886" s="6" t="s">
        <v>10</v>
      </c>
      <c r="I3886" s="6">
        <f>TabJogos[[#This Row],[PontosTime1]]-TabJogos[[#This Row],[PontosTime2]]</f>
        <v>-2</v>
      </c>
    </row>
    <row r="3887" spans="1:9" ht="15" customHeight="1" x14ac:dyDescent="0.25">
      <c r="A3887" s="7">
        <v>3886</v>
      </c>
      <c r="B3887" s="1">
        <v>43651</v>
      </c>
      <c r="C3887" s="6" t="s">
        <v>11</v>
      </c>
      <c r="D3887" s="6" t="s">
        <v>9</v>
      </c>
      <c r="E3887" s="6">
        <v>3</v>
      </c>
      <c r="F3887" s="6">
        <v>2</v>
      </c>
      <c r="G3887" s="6" t="s">
        <v>13</v>
      </c>
      <c r="H3887" s="6" t="s">
        <v>10</v>
      </c>
      <c r="I3887" s="6">
        <f>TabJogos[[#This Row],[PontosTime1]]-TabJogos[[#This Row],[PontosTime2]]</f>
        <v>1</v>
      </c>
    </row>
    <row r="3888" spans="1:9" ht="15" customHeight="1" x14ac:dyDescent="0.25">
      <c r="A3888" s="7">
        <v>3887</v>
      </c>
      <c r="B3888" s="1">
        <v>43651</v>
      </c>
      <c r="C3888" s="6" t="s">
        <v>41</v>
      </c>
      <c r="D3888" s="6" t="s">
        <v>9</v>
      </c>
      <c r="E3888" s="6">
        <v>3</v>
      </c>
      <c r="F3888" s="6">
        <v>2</v>
      </c>
      <c r="G3888" s="6" t="s">
        <v>11</v>
      </c>
      <c r="H3888" s="6" t="s">
        <v>13</v>
      </c>
      <c r="I3888" s="6">
        <f>TabJogos[[#This Row],[PontosTime1]]-TabJogos[[#This Row],[PontosTime2]]</f>
        <v>1</v>
      </c>
    </row>
    <row r="3889" spans="1:9" ht="15" customHeight="1" x14ac:dyDescent="0.25">
      <c r="A3889" s="7">
        <v>3888</v>
      </c>
      <c r="B3889" s="1">
        <v>43654</v>
      </c>
      <c r="C3889" s="6" t="s">
        <v>9</v>
      </c>
      <c r="D3889" s="6" t="s">
        <v>18</v>
      </c>
      <c r="E3889" s="6">
        <v>3</v>
      </c>
      <c r="F3889" s="6">
        <v>1</v>
      </c>
      <c r="G3889" s="6" t="s">
        <v>28</v>
      </c>
      <c r="H3889" s="6" t="s">
        <v>17</v>
      </c>
      <c r="I3889" s="6">
        <f>TabJogos[[#This Row],[PontosTime1]]-TabJogos[[#This Row],[PontosTime2]]</f>
        <v>2</v>
      </c>
    </row>
    <row r="3890" spans="1:9" ht="15" customHeight="1" x14ac:dyDescent="0.25">
      <c r="A3890" s="7">
        <v>3889</v>
      </c>
      <c r="B3890" s="1">
        <v>43654</v>
      </c>
      <c r="C3890" s="6" t="s">
        <v>9</v>
      </c>
      <c r="D3890" s="6" t="s">
        <v>17</v>
      </c>
      <c r="E3890" s="6">
        <v>3</v>
      </c>
      <c r="F3890" s="6">
        <v>0</v>
      </c>
      <c r="G3890" s="6" t="s">
        <v>11</v>
      </c>
      <c r="H3890" s="6" t="s">
        <v>18</v>
      </c>
      <c r="I3890" s="6">
        <f>TabJogos[[#This Row],[PontosTime1]]-TabJogos[[#This Row],[PontosTime2]]</f>
        <v>3</v>
      </c>
    </row>
    <row r="3891" spans="1:9" ht="15" customHeight="1" x14ac:dyDescent="0.25">
      <c r="A3891" s="7">
        <v>3890</v>
      </c>
      <c r="B3891" s="1">
        <v>43654</v>
      </c>
      <c r="C3891" s="6" t="s">
        <v>11</v>
      </c>
      <c r="D3891" s="6" t="s">
        <v>17</v>
      </c>
      <c r="E3891" s="6">
        <v>3</v>
      </c>
      <c r="F3891" s="6">
        <v>0</v>
      </c>
      <c r="G3891" s="6" t="s">
        <v>9</v>
      </c>
      <c r="H3891" s="6" t="s">
        <v>28</v>
      </c>
      <c r="I3891" s="6">
        <f>TabJogos[[#This Row],[PontosTime1]]-TabJogos[[#This Row],[PontosTime2]]</f>
        <v>3</v>
      </c>
    </row>
    <row r="3892" spans="1:9" ht="15" customHeight="1" x14ac:dyDescent="0.25">
      <c r="A3892" s="7">
        <v>3891</v>
      </c>
      <c r="B3892" s="1">
        <v>43654</v>
      </c>
      <c r="C3892" s="6" t="s">
        <v>17</v>
      </c>
      <c r="D3892" s="6" t="s">
        <v>18</v>
      </c>
      <c r="E3892" s="6">
        <v>3</v>
      </c>
      <c r="F3892" s="6">
        <v>1</v>
      </c>
      <c r="G3892" s="6" t="s">
        <v>11</v>
      </c>
      <c r="H3892" s="6" t="s">
        <v>28</v>
      </c>
      <c r="I3892" s="6">
        <f>TabJogos[[#This Row],[PontosTime1]]-TabJogos[[#This Row],[PontosTime2]]</f>
        <v>2</v>
      </c>
    </row>
    <row r="3893" spans="1:9" ht="15" customHeight="1" x14ac:dyDescent="0.25">
      <c r="A3893" s="7">
        <v>3892</v>
      </c>
      <c r="B3893" s="1">
        <v>43654</v>
      </c>
      <c r="C3893" s="6" t="s">
        <v>11</v>
      </c>
      <c r="D3893" s="6" t="s">
        <v>18</v>
      </c>
      <c r="E3893" s="6">
        <v>3</v>
      </c>
      <c r="F3893" s="6">
        <v>0</v>
      </c>
      <c r="G3893" s="6" t="s">
        <v>9</v>
      </c>
      <c r="H3893" s="6" t="s">
        <v>28</v>
      </c>
      <c r="I3893" s="6">
        <f>TabJogos[[#This Row],[PontosTime1]]-TabJogos[[#This Row],[PontosTime2]]</f>
        <v>3</v>
      </c>
    </row>
    <row r="3894" spans="1:9" ht="15" customHeight="1" x14ac:dyDescent="0.25">
      <c r="A3894" s="7">
        <v>3893</v>
      </c>
      <c r="B3894" s="1">
        <v>43655</v>
      </c>
      <c r="C3894" s="6" t="s">
        <v>12</v>
      </c>
      <c r="D3894" s="6" t="s">
        <v>18</v>
      </c>
      <c r="E3894" s="6">
        <v>4</v>
      </c>
      <c r="F3894" s="6">
        <v>2</v>
      </c>
      <c r="G3894" s="6" t="s">
        <v>11</v>
      </c>
      <c r="H3894" s="6" t="s">
        <v>17</v>
      </c>
      <c r="I3894" s="6">
        <f>TabJogos[[#This Row],[PontosTime1]]-TabJogos[[#This Row],[PontosTime2]]</f>
        <v>2</v>
      </c>
    </row>
    <row r="3895" spans="1:9" ht="15" customHeight="1" x14ac:dyDescent="0.25">
      <c r="A3895" s="7">
        <v>3894</v>
      </c>
      <c r="B3895" s="1">
        <v>43655</v>
      </c>
      <c r="C3895" s="6" t="s">
        <v>17</v>
      </c>
      <c r="D3895" s="6" t="s">
        <v>18</v>
      </c>
      <c r="E3895" s="6">
        <v>3</v>
      </c>
      <c r="F3895" s="6">
        <v>1</v>
      </c>
      <c r="G3895" s="6" t="s">
        <v>12</v>
      </c>
      <c r="H3895" s="6" t="s">
        <v>11</v>
      </c>
      <c r="I3895" s="6">
        <f>TabJogos[[#This Row],[PontosTime1]]-TabJogos[[#This Row],[PontosTime2]]</f>
        <v>2</v>
      </c>
    </row>
    <row r="3896" spans="1:9" ht="15" customHeight="1" x14ac:dyDescent="0.25">
      <c r="A3896" s="7">
        <v>3895</v>
      </c>
      <c r="B3896" s="1">
        <v>43655</v>
      </c>
      <c r="C3896" s="6" t="s">
        <v>11</v>
      </c>
      <c r="D3896" s="6" t="s">
        <v>18</v>
      </c>
      <c r="E3896" s="6">
        <v>1</v>
      </c>
      <c r="F3896" s="6">
        <v>3</v>
      </c>
      <c r="G3896" s="6" t="s">
        <v>12</v>
      </c>
      <c r="H3896" s="6" t="s">
        <v>17</v>
      </c>
      <c r="I3896" s="6">
        <f>TabJogos[[#This Row],[PontosTime1]]-TabJogos[[#This Row],[PontosTime2]]</f>
        <v>-2</v>
      </c>
    </row>
    <row r="3897" spans="1:9" ht="15" customHeight="1" x14ac:dyDescent="0.25">
      <c r="A3897" s="7">
        <v>3896</v>
      </c>
      <c r="B3897" s="1">
        <v>43655</v>
      </c>
      <c r="C3897" s="6" t="s">
        <v>17</v>
      </c>
      <c r="D3897" s="6" t="s">
        <v>18</v>
      </c>
      <c r="E3897" s="6">
        <v>3</v>
      </c>
      <c r="F3897" s="6">
        <v>0</v>
      </c>
      <c r="G3897" s="6" t="s">
        <v>11</v>
      </c>
      <c r="H3897" s="6" t="s">
        <v>12</v>
      </c>
      <c r="I3897" s="6">
        <f>TabJogos[[#This Row],[PontosTime1]]-TabJogos[[#This Row],[PontosTime2]]</f>
        <v>3</v>
      </c>
    </row>
    <row r="3898" spans="1:9" ht="15" customHeight="1" x14ac:dyDescent="0.25">
      <c r="A3898" s="7">
        <v>3897</v>
      </c>
      <c r="B3898" s="1">
        <v>43655</v>
      </c>
      <c r="C3898" s="6" t="s">
        <v>17</v>
      </c>
      <c r="D3898" s="6" t="s">
        <v>11</v>
      </c>
      <c r="E3898" s="6">
        <v>3</v>
      </c>
      <c r="F3898" s="6">
        <v>0</v>
      </c>
      <c r="G3898" s="6" t="s">
        <v>12</v>
      </c>
      <c r="H3898" s="6" t="s">
        <v>18</v>
      </c>
      <c r="I3898" s="6">
        <f>TabJogos[[#This Row],[PontosTime1]]-TabJogos[[#This Row],[PontosTime2]]</f>
        <v>3</v>
      </c>
    </row>
    <row r="3899" spans="1:9" ht="15" customHeight="1" x14ac:dyDescent="0.25">
      <c r="A3899" s="7">
        <v>3898</v>
      </c>
      <c r="B3899" s="1">
        <v>43655</v>
      </c>
      <c r="C3899" s="6" t="s">
        <v>12</v>
      </c>
      <c r="D3899" s="6" t="s">
        <v>17</v>
      </c>
      <c r="E3899" s="6">
        <v>3</v>
      </c>
      <c r="F3899" s="6">
        <v>1</v>
      </c>
      <c r="G3899" s="6" t="s">
        <v>11</v>
      </c>
      <c r="H3899" s="6" t="s">
        <v>18</v>
      </c>
      <c r="I3899" s="6">
        <f>TabJogos[[#This Row],[PontosTime1]]-TabJogos[[#This Row],[PontosTime2]]</f>
        <v>2</v>
      </c>
    </row>
    <row r="3900" spans="1:9" ht="15" customHeight="1" x14ac:dyDescent="0.25">
      <c r="A3900" s="7">
        <v>3899</v>
      </c>
      <c r="B3900" s="1">
        <v>43657</v>
      </c>
      <c r="C3900" s="6" t="s">
        <v>11</v>
      </c>
      <c r="D3900" s="6" t="s">
        <v>17</v>
      </c>
      <c r="E3900" s="6">
        <v>3</v>
      </c>
      <c r="F3900" s="6">
        <v>0</v>
      </c>
      <c r="G3900" s="6" t="s">
        <v>12</v>
      </c>
      <c r="H3900" s="6" t="s">
        <v>18</v>
      </c>
      <c r="I3900" s="6">
        <f>TabJogos[[#This Row],[PontosTime1]]-TabJogos[[#This Row],[PontosTime2]]</f>
        <v>3</v>
      </c>
    </row>
    <row r="3901" spans="1:9" ht="15" customHeight="1" x14ac:dyDescent="0.25">
      <c r="A3901" s="7">
        <v>3900</v>
      </c>
      <c r="B3901" s="1">
        <v>43657</v>
      </c>
      <c r="C3901" s="6" t="s">
        <v>11</v>
      </c>
      <c r="D3901" s="6" t="s">
        <v>18</v>
      </c>
      <c r="E3901" s="6">
        <v>3</v>
      </c>
      <c r="F3901" s="6">
        <v>1</v>
      </c>
      <c r="G3901" s="6" t="s">
        <v>12</v>
      </c>
      <c r="H3901" s="6" t="s">
        <v>17</v>
      </c>
      <c r="I3901" s="6">
        <f>TabJogos[[#This Row],[PontosTime1]]-TabJogos[[#This Row],[PontosTime2]]</f>
        <v>2</v>
      </c>
    </row>
    <row r="3902" spans="1:9" ht="15" customHeight="1" x14ac:dyDescent="0.25">
      <c r="A3902" s="7">
        <v>3901</v>
      </c>
      <c r="B3902" s="1">
        <v>43657</v>
      </c>
      <c r="C3902" s="6" t="s">
        <v>12</v>
      </c>
      <c r="D3902" s="6" t="s">
        <v>11</v>
      </c>
      <c r="E3902" s="6">
        <v>1</v>
      </c>
      <c r="F3902" s="6">
        <v>4</v>
      </c>
      <c r="G3902" s="6" t="s">
        <v>17</v>
      </c>
      <c r="H3902" s="6" t="s">
        <v>18</v>
      </c>
      <c r="I3902" s="6">
        <f>TabJogos[[#This Row],[PontosTime1]]-TabJogos[[#This Row],[PontosTime2]]</f>
        <v>-3</v>
      </c>
    </row>
    <row r="3903" spans="1:9" ht="15" customHeight="1" x14ac:dyDescent="0.25">
      <c r="A3903" s="7">
        <v>3902</v>
      </c>
      <c r="B3903" s="1">
        <v>43657</v>
      </c>
      <c r="C3903" s="6" t="s">
        <v>17</v>
      </c>
      <c r="D3903" s="6" t="s">
        <v>11</v>
      </c>
      <c r="E3903" s="6">
        <v>3</v>
      </c>
      <c r="F3903" s="6">
        <v>2</v>
      </c>
      <c r="G3903" s="6" t="s">
        <v>18</v>
      </c>
      <c r="H3903" s="6" t="s">
        <v>62</v>
      </c>
      <c r="I3903" s="6">
        <f>TabJogos[[#This Row],[PontosTime1]]-TabJogos[[#This Row],[PontosTime2]]</f>
        <v>1</v>
      </c>
    </row>
    <row r="3904" spans="1:9" ht="15" customHeight="1" x14ac:dyDescent="0.25">
      <c r="A3904" s="7">
        <v>3903</v>
      </c>
      <c r="B3904" s="1">
        <v>43657</v>
      </c>
      <c r="C3904" s="6" t="s">
        <v>17</v>
      </c>
      <c r="D3904" s="6" t="s">
        <v>62</v>
      </c>
      <c r="E3904" s="6">
        <v>3</v>
      </c>
      <c r="F3904" s="6">
        <v>2</v>
      </c>
      <c r="G3904" s="6" t="s">
        <v>11</v>
      </c>
      <c r="H3904" s="6" t="s">
        <v>18</v>
      </c>
      <c r="I3904" s="6">
        <f>TabJogos[[#This Row],[PontosTime1]]-TabJogos[[#This Row],[PontosTime2]]</f>
        <v>1</v>
      </c>
    </row>
    <row r="3905" spans="1:9" ht="15" customHeight="1" x14ac:dyDescent="0.25">
      <c r="A3905" s="7">
        <v>3904</v>
      </c>
      <c r="B3905" s="1">
        <v>43657</v>
      </c>
      <c r="C3905" s="6" t="s">
        <v>17</v>
      </c>
      <c r="D3905" s="6" t="s">
        <v>18</v>
      </c>
      <c r="E3905" s="6">
        <v>0</v>
      </c>
      <c r="F3905" s="6">
        <v>3</v>
      </c>
      <c r="G3905" s="6" t="s">
        <v>11</v>
      </c>
      <c r="H3905" s="6" t="s">
        <v>62</v>
      </c>
      <c r="I3905" s="6">
        <f>TabJogos[[#This Row],[PontosTime1]]-TabJogos[[#This Row],[PontosTime2]]</f>
        <v>-3</v>
      </c>
    </row>
    <row r="3906" spans="1:9" ht="15" customHeight="1" x14ac:dyDescent="0.25">
      <c r="A3906" s="7">
        <v>3905</v>
      </c>
      <c r="B3906" s="1">
        <v>43657</v>
      </c>
      <c r="C3906" s="6" t="s">
        <v>18</v>
      </c>
      <c r="D3906" s="6" t="s">
        <v>62</v>
      </c>
      <c r="E3906" s="6">
        <v>3</v>
      </c>
      <c r="F3906" s="6">
        <v>0</v>
      </c>
      <c r="G3906" s="6" t="s">
        <v>17</v>
      </c>
      <c r="H3906" s="6" t="s">
        <v>11</v>
      </c>
      <c r="I3906" s="6">
        <f>TabJogos[[#This Row],[PontosTime1]]-TabJogos[[#This Row],[PontosTime2]]</f>
        <v>3</v>
      </c>
    </row>
    <row r="3907" spans="1:9" ht="15" customHeight="1" x14ac:dyDescent="0.25">
      <c r="A3907" s="7">
        <v>3906</v>
      </c>
      <c r="B3907" s="1">
        <v>43657</v>
      </c>
      <c r="C3907" s="6" t="s">
        <v>17</v>
      </c>
      <c r="D3907" s="6" t="s">
        <v>62</v>
      </c>
      <c r="E3907" s="6">
        <v>4</v>
      </c>
      <c r="F3907" s="6">
        <v>2</v>
      </c>
      <c r="G3907" s="6" t="s">
        <v>11</v>
      </c>
      <c r="H3907" s="6" t="s">
        <v>18</v>
      </c>
      <c r="I3907" s="6">
        <f>TabJogos[[#This Row],[PontosTime1]]-TabJogos[[#This Row],[PontosTime2]]</f>
        <v>2</v>
      </c>
    </row>
    <row r="3908" spans="1:9" ht="15" customHeight="1" x14ac:dyDescent="0.25">
      <c r="A3908" s="7">
        <v>3907</v>
      </c>
      <c r="B3908" s="1">
        <v>43657</v>
      </c>
      <c r="C3908" s="6" t="s">
        <v>11</v>
      </c>
      <c r="D3908" s="6" t="s">
        <v>62</v>
      </c>
      <c r="E3908" s="6">
        <v>3</v>
      </c>
      <c r="F3908" s="6">
        <v>2</v>
      </c>
      <c r="G3908" s="6" t="s">
        <v>17</v>
      </c>
      <c r="H3908" s="6" t="s">
        <v>18</v>
      </c>
      <c r="I3908" s="6">
        <f>TabJogos[[#This Row],[PontosTime1]]-TabJogos[[#This Row],[PontosTime2]]</f>
        <v>1</v>
      </c>
    </row>
    <row r="3909" spans="1:9" ht="15" customHeight="1" x14ac:dyDescent="0.25">
      <c r="A3909" s="7">
        <v>3908</v>
      </c>
      <c r="B3909" s="1">
        <v>43657</v>
      </c>
      <c r="C3909" s="6" t="s">
        <v>11</v>
      </c>
      <c r="D3909" s="6" t="s">
        <v>17</v>
      </c>
      <c r="E3909" s="6">
        <v>3</v>
      </c>
      <c r="F3909" s="6">
        <v>0</v>
      </c>
      <c r="G3909" s="6" t="s">
        <v>18</v>
      </c>
      <c r="H3909" s="6" t="s">
        <v>62</v>
      </c>
      <c r="I3909" s="6">
        <f>TabJogos[[#This Row],[PontosTime1]]-TabJogos[[#This Row],[PontosTime2]]</f>
        <v>3</v>
      </c>
    </row>
    <row r="3910" spans="1:9" ht="15" customHeight="1" x14ac:dyDescent="0.25">
      <c r="A3910" s="7">
        <v>3909</v>
      </c>
      <c r="B3910" s="1">
        <v>43657</v>
      </c>
      <c r="C3910" s="6" t="s">
        <v>11</v>
      </c>
      <c r="D3910" s="6" t="s">
        <v>18</v>
      </c>
      <c r="E3910" s="6">
        <v>3</v>
      </c>
      <c r="F3910" s="6">
        <v>2</v>
      </c>
      <c r="G3910" s="6" t="s">
        <v>17</v>
      </c>
      <c r="H3910" s="6" t="s">
        <v>62</v>
      </c>
      <c r="I3910" s="6">
        <f>TabJogos[[#This Row],[PontosTime1]]-TabJogos[[#This Row],[PontosTime2]]</f>
        <v>1</v>
      </c>
    </row>
    <row r="3911" spans="1:9" ht="15" customHeight="1" x14ac:dyDescent="0.25">
      <c r="A3911" s="7">
        <v>3910</v>
      </c>
      <c r="B3911" s="1">
        <v>43657</v>
      </c>
      <c r="C3911" s="6" t="s">
        <v>11</v>
      </c>
      <c r="D3911" s="6" t="s">
        <v>62</v>
      </c>
      <c r="E3911" s="6">
        <v>3</v>
      </c>
      <c r="F3911" s="6">
        <v>0</v>
      </c>
      <c r="G3911" s="6" t="s">
        <v>17</v>
      </c>
      <c r="H3911" s="6" t="s">
        <v>18</v>
      </c>
      <c r="I3911" s="6">
        <f>TabJogos[[#This Row],[PontosTime1]]-TabJogos[[#This Row],[PontosTime2]]</f>
        <v>3</v>
      </c>
    </row>
    <row r="3912" spans="1:9" ht="15" customHeight="1" x14ac:dyDescent="0.25">
      <c r="A3912" s="7">
        <v>3911</v>
      </c>
      <c r="B3912" s="1">
        <v>43658</v>
      </c>
      <c r="C3912" s="6" t="s">
        <v>11</v>
      </c>
      <c r="D3912" s="6" t="s">
        <v>9</v>
      </c>
      <c r="E3912" s="6">
        <v>3</v>
      </c>
      <c r="F3912" s="6">
        <v>2</v>
      </c>
      <c r="G3912" s="6" t="s">
        <v>17</v>
      </c>
      <c r="H3912" s="6" t="s">
        <v>18</v>
      </c>
      <c r="I3912" s="6">
        <f>TabJogos[[#This Row],[PontosTime1]]-TabJogos[[#This Row],[PontosTime2]]</f>
        <v>1</v>
      </c>
    </row>
    <row r="3913" spans="1:9" ht="15" customHeight="1" x14ac:dyDescent="0.25">
      <c r="A3913" s="7">
        <v>3912</v>
      </c>
      <c r="B3913" s="1">
        <v>43658</v>
      </c>
      <c r="C3913" s="6" t="s">
        <v>11</v>
      </c>
      <c r="D3913" s="6" t="s">
        <v>17</v>
      </c>
      <c r="E3913" s="6">
        <v>3</v>
      </c>
      <c r="F3913" s="6">
        <v>1</v>
      </c>
      <c r="G3913" s="6" t="s">
        <v>12</v>
      </c>
      <c r="H3913" s="6" t="s">
        <v>9</v>
      </c>
      <c r="I3913" s="6">
        <f>TabJogos[[#This Row],[PontosTime1]]-TabJogos[[#This Row],[PontosTime2]]</f>
        <v>2</v>
      </c>
    </row>
    <row r="3914" spans="1:9" ht="15" customHeight="1" x14ac:dyDescent="0.25">
      <c r="A3914" s="7">
        <v>3913</v>
      </c>
      <c r="B3914" s="1">
        <v>43658</v>
      </c>
      <c r="C3914" s="6" t="s">
        <v>11</v>
      </c>
      <c r="D3914" s="6" t="s">
        <v>18</v>
      </c>
      <c r="E3914" s="6">
        <v>3</v>
      </c>
      <c r="F3914" s="6">
        <v>0</v>
      </c>
      <c r="G3914" s="6" t="s">
        <v>17</v>
      </c>
      <c r="H3914" s="6" t="s">
        <v>9</v>
      </c>
      <c r="I3914" s="6">
        <f>TabJogos[[#This Row],[PontosTime1]]-TabJogos[[#This Row],[PontosTime2]]</f>
        <v>3</v>
      </c>
    </row>
    <row r="3915" spans="1:9" ht="15" customHeight="1" x14ac:dyDescent="0.25">
      <c r="A3915" s="7">
        <v>3914</v>
      </c>
      <c r="B3915" s="1">
        <v>43658</v>
      </c>
      <c r="C3915" s="6" t="s">
        <v>11</v>
      </c>
      <c r="D3915" s="6" t="s">
        <v>17</v>
      </c>
      <c r="E3915" s="6">
        <v>0</v>
      </c>
      <c r="F3915" s="6">
        <v>3</v>
      </c>
      <c r="G3915" s="6" t="s">
        <v>9</v>
      </c>
      <c r="H3915" s="6" t="s">
        <v>18</v>
      </c>
      <c r="I3915" s="6">
        <f>TabJogos[[#This Row],[PontosTime1]]-TabJogos[[#This Row],[PontosTime2]]</f>
        <v>-3</v>
      </c>
    </row>
    <row r="3916" spans="1:9" ht="15" customHeight="1" x14ac:dyDescent="0.25">
      <c r="A3916" s="7">
        <v>3915</v>
      </c>
      <c r="B3916" s="1">
        <v>43658</v>
      </c>
      <c r="C3916" s="6" t="s">
        <v>17</v>
      </c>
      <c r="D3916" s="6" t="s">
        <v>18</v>
      </c>
      <c r="E3916" s="6">
        <v>2</v>
      </c>
      <c r="F3916" s="6">
        <v>3</v>
      </c>
      <c r="G3916" s="6" t="s">
        <v>11</v>
      </c>
      <c r="H3916" s="6" t="s">
        <v>9</v>
      </c>
      <c r="I3916" s="6">
        <f>TabJogos[[#This Row],[PontosTime1]]-TabJogos[[#This Row],[PontosTime2]]</f>
        <v>-1</v>
      </c>
    </row>
    <row r="3917" spans="1:9" ht="15" customHeight="1" x14ac:dyDescent="0.25">
      <c r="A3917" s="7">
        <v>3916</v>
      </c>
      <c r="B3917" s="1">
        <v>43658</v>
      </c>
      <c r="C3917" s="6" t="s">
        <v>11</v>
      </c>
      <c r="D3917" s="6" t="s">
        <v>18</v>
      </c>
      <c r="E3917" s="6">
        <v>0</v>
      </c>
      <c r="F3917" s="6">
        <v>4</v>
      </c>
      <c r="G3917" s="6" t="s">
        <v>17</v>
      </c>
      <c r="H3917" s="6" t="s">
        <v>9</v>
      </c>
      <c r="I3917" s="6">
        <f>TabJogos[[#This Row],[PontosTime1]]-TabJogos[[#This Row],[PontosTime2]]</f>
        <v>-4</v>
      </c>
    </row>
    <row r="3918" spans="1:9" ht="15" customHeight="1" x14ac:dyDescent="0.25">
      <c r="A3918" s="7">
        <v>3917</v>
      </c>
      <c r="B3918" s="1">
        <v>43658</v>
      </c>
      <c r="C3918" s="6" t="s">
        <v>18</v>
      </c>
      <c r="D3918" s="6" t="s">
        <v>9</v>
      </c>
      <c r="E3918" s="6">
        <v>1</v>
      </c>
      <c r="F3918" s="6">
        <v>3</v>
      </c>
      <c r="G3918" s="6" t="s">
        <v>11</v>
      </c>
      <c r="H3918" s="6" t="s">
        <v>17</v>
      </c>
      <c r="I3918" s="6">
        <f>TabJogos[[#This Row],[PontosTime1]]-TabJogos[[#This Row],[PontosTime2]]</f>
        <v>-2</v>
      </c>
    </row>
    <row r="3919" spans="1:9" ht="15" customHeight="1" x14ac:dyDescent="0.25">
      <c r="A3919" s="7">
        <v>3918</v>
      </c>
      <c r="B3919" s="1">
        <v>43658</v>
      </c>
      <c r="C3919" s="6" t="s">
        <v>17</v>
      </c>
      <c r="D3919" s="6" t="s">
        <v>18</v>
      </c>
      <c r="E3919" s="6">
        <v>4</v>
      </c>
      <c r="F3919" s="6">
        <v>1</v>
      </c>
      <c r="G3919" s="6" t="s">
        <v>11</v>
      </c>
      <c r="H3919" s="6" t="s">
        <v>9</v>
      </c>
      <c r="I3919" s="6">
        <f>TabJogos[[#This Row],[PontosTime1]]-TabJogos[[#This Row],[PontosTime2]]</f>
        <v>3</v>
      </c>
    </row>
    <row r="3920" spans="1:9" ht="15" customHeight="1" x14ac:dyDescent="0.25">
      <c r="A3920" s="7">
        <v>3919</v>
      </c>
      <c r="B3920" s="1">
        <v>43658</v>
      </c>
      <c r="C3920" s="6" t="s">
        <v>11</v>
      </c>
      <c r="D3920" s="6" t="s">
        <v>18</v>
      </c>
      <c r="E3920" s="6">
        <v>3</v>
      </c>
      <c r="F3920" s="6">
        <v>1</v>
      </c>
      <c r="G3920" s="6" t="s">
        <v>17</v>
      </c>
      <c r="H3920" s="6" t="s">
        <v>9</v>
      </c>
      <c r="I3920" s="6">
        <f>TabJogos[[#This Row],[PontosTime1]]-TabJogos[[#This Row],[PontosTime2]]</f>
        <v>2</v>
      </c>
    </row>
    <row r="3921" spans="1:9" ht="15" customHeight="1" x14ac:dyDescent="0.25">
      <c r="A3921" s="7">
        <v>3920</v>
      </c>
      <c r="B3921" s="1">
        <v>43658</v>
      </c>
      <c r="C3921" s="6" t="s">
        <v>11</v>
      </c>
      <c r="D3921" s="6" t="s">
        <v>17</v>
      </c>
      <c r="E3921" s="6">
        <v>3</v>
      </c>
      <c r="F3921" s="6">
        <v>0</v>
      </c>
      <c r="G3921" s="6" t="s">
        <v>18</v>
      </c>
      <c r="H3921" s="6" t="s">
        <v>9</v>
      </c>
      <c r="I3921" s="6">
        <f>TabJogos[[#This Row],[PontosTime1]]-TabJogos[[#This Row],[PontosTime2]]</f>
        <v>3</v>
      </c>
    </row>
    <row r="3922" spans="1:9" ht="15" customHeight="1" x14ac:dyDescent="0.25">
      <c r="A3922" s="7">
        <v>3921</v>
      </c>
      <c r="B3922" s="1">
        <v>43658</v>
      </c>
      <c r="C3922" s="6" t="s">
        <v>11</v>
      </c>
      <c r="D3922" s="6" t="s">
        <v>9</v>
      </c>
      <c r="E3922" s="6">
        <v>3</v>
      </c>
      <c r="F3922" s="6">
        <v>1</v>
      </c>
      <c r="G3922" s="6" t="s">
        <v>17</v>
      </c>
      <c r="H3922" s="6" t="s">
        <v>18</v>
      </c>
      <c r="I3922" s="6">
        <f>TabJogos[[#This Row],[PontosTime1]]-TabJogos[[#This Row],[PontosTime2]]</f>
        <v>2</v>
      </c>
    </row>
    <row r="3923" spans="1:9" ht="15" customHeight="1" x14ac:dyDescent="0.25">
      <c r="A3923" s="7">
        <v>3922</v>
      </c>
      <c r="B3923" s="1">
        <v>43658</v>
      </c>
      <c r="C3923" s="6" t="s">
        <v>9</v>
      </c>
      <c r="D3923" s="6" t="s">
        <v>17</v>
      </c>
      <c r="E3923" s="6">
        <v>3</v>
      </c>
      <c r="F3923" s="6">
        <v>0</v>
      </c>
      <c r="G3923" s="6" t="s">
        <v>11</v>
      </c>
      <c r="H3923" s="6" t="s">
        <v>18</v>
      </c>
      <c r="I3923" s="6">
        <f>TabJogos[[#This Row],[PontosTime1]]-TabJogos[[#This Row],[PontosTime2]]</f>
        <v>3</v>
      </c>
    </row>
    <row r="3924" spans="1:9" ht="15" customHeight="1" x14ac:dyDescent="0.25">
      <c r="A3924" s="7">
        <v>3923</v>
      </c>
      <c r="B3924" s="1">
        <v>43658</v>
      </c>
      <c r="C3924" s="6" t="s">
        <v>11</v>
      </c>
      <c r="D3924" s="6" t="s">
        <v>17</v>
      </c>
      <c r="E3924" s="6">
        <v>4</v>
      </c>
      <c r="F3924" s="6">
        <v>1</v>
      </c>
      <c r="G3924" s="6" t="s">
        <v>9</v>
      </c>
      <c r="H3924" s="6" t="s">
        <v>18</v>
      </c>
      <c r="I3924" s="6">
        <f>TabJogos[[#This Row],[PontosTime1]]-TabJogos[[#This Row],[PontosTime2]]</f>
        <v>3</v>
      </c>
    </row>
    <row r="3925" spans="1:9" ht="15" customHeight="1" x14ac:dyDescent="0.25">
      <c r="A3925" s="7">
        <v>3924</v>
      </c>
      <c r="B3925" s="1">
        <v>43658</v>
      </c>
      <c r="C3925" s="6" t="s">
        <v>11</v>
      </c>
      <c r="D3925" s="6" t="s">
        <v>9</v>
      </c>
      <c r="E3925" s="6">
        <v>2</v>
      </c>
      <c r="F3925" s="6">
        <v>3</v>
      </c>
      <c r="G3925" s="6" t="s">
        <v>17</v>
      </c>
      <c r="H3925" s="6" t="s">
        <v>18</v>
      </c>
      <c r="I3925" s="6">
        <f>TabJogos[[#This Row],[PontosTime1]]-TabJogos[[#This Row],[PontosTime2]]</f>
        <v>-1</v>
      </c>
    </row>
    <row r="3926" spans="1:9" ht="15" customHeight="1" x14ac:dyDescent="0.25">
      <c r="A3926" s="7">
        <v>3925</v>
      </c>
      <c r="B3926" s="1">
        <v>43658</v>
      </c>
      <c r="C3926" s="6" t="s">
        <v>11</v>
      </c>
      <c r="D3926" s="6" t="s">
        <v>18</v>
      </c>
      <c r="E3926" s="6">
        <v>0</v>
      </c>
      <c r="F3926" s="6">
        <v>3</v>
      </c>
      <c r="G3926" s="6" t="s">
        <v>17</v>
      </c>
      <c r="H3926" s="6" t="s">
        <v>9</v>
      </c>
      <c r="I3926" s="6">
        <f>TabJogos[[#This Row],[PontosTime1]]-TabJogos[[#This Row],[PontosTime2]]</f>
        <v>-3</v>
      </c>
    </row>
    <row r="3927" spans="1:9" ht="15" customHeight="1" x14ac:dyDescent="0.25">
      <c r="A3927" s="7">
        <v>3926</v>
      </c>
      <c r="B3927" s="1">
        <v>43658</v>
      </c>
      <c r="C3927" s="6" t="s">
        <v>9</v>
      </c>
      <c r="D3927" s="6" t="s">
        <v>18</v>
      </c>
      <c r="E3927" s="6">
        <v>3</v>
      </c>
      <c r="F3927" s="6">
        <v>2</v>
      </c>
      <c r="G3927" s="6" t="s">
        <v>17</v>
      </c>
      <c r="H3927" s="6" t="s">
        <v>11</v>
      </c>
      <c r="I3927" s="6">
        <f>TabJogos[[#This Row],[PontosTime1]]-TabJogos[[#This Row],[PontosTime2]]</f>
        <v>1</v>
      </c>
    </row>
    <row r="3928" spans="1:9" ht="15" customHeight="1" x14ac:dyDescent="0.25">
      <c r="A3928" s="7">
        <v>3927</v>
      </c>
      <c r="B3928" s="1">
        <v>43658</v>
      </c>
      <c r="C3928" s="6" t="s">
        <v>9</v>
      </c>
      <c r="D3928" s="6" t="s">
        <v>11</v>
      </c>
      <c r="E3928" s="6">
        <v>1</v>
      </c>
      <c r="F3928" s="6">
        <v>3</v>
      </c>
      <c r="G3928" s="6" t="s">
        <v>17</v>
      </c>
      <c r="H3928" s="6" t="s">
        <v>18</v>
      </c>
      <c r="I3928" s="6">
        <f>TabJogos[[#This Row],[PontosTime1]]-TabJogos[[#This Row],[PontosTime2]]</f>
        <v>-2</v>
      </c>
    </row>
    <row r="3929" spans="1:9" ht="15" customHeight="1" x14ac:dyDescent="0.25">
      <c r="A3929" s="7">
        <v>3928</v>
      </c>
      <c r="B3929" s="1">
        <v>43661</v>
      </c>
      <c r="C3929" s="6" t="s">
        <v>11</v>
      </c>
      <c r="D3929" s="6" t="s">
        <v>12</v>
      </c>
      <c r="E3929" s="6">
        <v>3</v>
      </c>
      <c r="F3929" s="6">
        <v>1</v>
      </c>
      <c r="G3929" s="6" t="s">
        <v>18</v>
      </c>
      <c r="H3929" s="6" t="s">
        <v>17</v>
      </c>
      <c r="I3929" s="6">
        <f>TabJogos[[#This Row],[PontosTime1]]-TabJogos[[#This Row],[PontosTime2]]</f>
        <v>2</v>
      </c>
    </row>
    <row r="3930" spans="1:9" ht="15" customHeight="1" x14ac:dyDescent="0.25">
      <c r="A3930" s="7">
        <v>3929</v>
      </c>
      <c r="B3930" s="1">
        <v>43661</v>
      </c>
      <c r="C3930" s="6" t="s">
        <v>11</v>
      </c>
      <c r="D3930" s="6" t="s">
        <v>18</v>
      </c>
      <c r="E3930" s="6">
        <v>0</v>
      </c>
      <c r="F3930" s="6">
        <v>3</v>
      </c>
      <c r="G3930" s="6" t="s">
        <v>12</v>
      </c>
      <c r="H3930" s="6" t="s">
        <v>17</v>
      </c>
      <c r="I3930" s="6">
        <f>TabJogos[[#This Row],[PontosTime1]]-TabJogos[[#This Row],[PontosTime2]]</f>
        <v>-3</v>
      </c>
    </row>
    <row r="3931" spans="1:9" ht="15" customHeight="1" x14ac:dyDescent="0.25">
      <c r="A3931" s="7">
        <v>3930</v>
      </c>
      <c r="B3931" s="1">
        <v>43661</v>
      </c>
      <c r="C3931" s="6" t="s">
        <v>11</v>
      </c>
      <c r="D3931" s="6" t="s">
        <v>17</v>
      </c>
      <c r="E3931" s="6">
        <v>3</v>
      </c>
      <c r="F3931" s="6">
        <v>0</v>
      </c>
      <c r="G3931" s="6" t="s">
        <v>12</v>
      </c>
      <c r="H3931" s="6" t="s">
        <v>18</v>
      </c>
      <c r="I3931" s="6">
        <f>TabJogos[[#This Row],[PontosTime1]]-TabJogos[[#This Row],[PontosTime2]]</f>
        <v>3</v>
      </c>
    </row>
    <row r="3932" spans="1:9" ht="15" customHeight="1" x14ac:dyDescent="0.25">
      <c r="A3932" s="7">
        <v>3931</v>
      </c>
      <c r="B3932" s="1">
        <v>43662</v>
      </c>
      <c r="C3932" s="6" t="s">
        <v>11</v>
      </c>
      <c r="D3932" s="6" t="s">
        <v>17</v>
      </c>
      <c r="E3932" s="6">
        <v>2</v>
      </c>
      <c r="F3932" s="6">
        <v>3</v>
      </c>
      <c r="G3932" s="6" t="s">
        <v>9</v>
      </c>
      <c r="H3932" s="6" t="s">
        <v>18</v>
      </c>
      <c r="I3932" s="6">
        <f>TabJogos[[#This Row],[PontosTime1]]-TabJogos[[#This Row],[PontosTime2]]</f>
        <v>-1</v>
      </c>
    </row>
    <row r="3933" spans="1:9" ht="15" customHeight="1" x14ac:dyDescent="0.25">
      <c r="A3933" s="7">
        <v>3932</v>
      </c>
      <c r="B3933" s="1">
        <v>43662</v>
      </c>
      <c r="C3933" s="6" t="s">
        <v>11</v>
      </c>
      <c r="D3933" s="6" t="s">
        <v>9</v>
      </c>
      <c r="E3933" s="6">
        <v>3</v>
      </c>
      <c r="F3933" s="6">
        <v>1</v>
      </c>
      <c r="G3933" s="6" t="s">
        <v>17</v>
      </c>
      <c r="H3933" s="6" t="s">
        <v>18</v>
      </c>
      <c r="I3933" s="6">
        <f>TabJogos[[#This Row],[PontosTime1]]-TabJogos[[#This Row],[PontosTime2]]</f>
        <v>2</v>
      </c>
    </row>
    <row r="3934" spans="1:9" ht="15" customHeight="1" x14ac:dyDescent="0.25">
      <c r="A3934" s="7">
        <v>3933</v>
      </c>
      <c r="B3934" s="1">
        <v>43662</v>
      </c>
      <c r="C3934" s="6" t="s">
        <v>11</v>
      </c>
      <c r="D3934" s="6" t="s">
        <v>18</v>
      </c>
      <c r="E3934" s="6">
        <v>3</v>
      </c>
      <c r="F3934" s="6">
        <v>0</v>
      </c>
      <c r="G3934" s="6" t="s">
        <v>9</v>
      </c>
      <c r="H3934" s="6" t="s">
        <v>17</v>
      </c>
      <c r="I3934" s="6">
        <f>TabJogos[[#This Row],[PontosTime1]]-TabJogos[[#This Row],[PontosTime2]]</f>
        <v>3</v>
      </c>
    </row>
    <row r="3935" spans="1:9" ht="15" customHeight="1" x14ac:dyDescent="0.25">
      <c r="A3935" s="7">
        <v>3934</v>
      </c>
      <c r="B3935" s="1">
        <v>43662</v>
      </c>
      <c r="C3935" s="6" t="s">
        <v>9</v>
      </c>
      <c r="D3935" s="6" t="s">
        <v>18</v>
      </c>
      <c r="E3935" s="6">
        <v>6</v>
      </c>
      <c r="F3935" s="6">
        <v>1</v>
      </c>
      <c r="G3935" s="6" t="s">
        <v>11</v>
      </c>
      <c r="H3935" s="6" t="s">
        <v>17</v>
      </c>
      <c r="I3935" s="6">
        <f>TabJogos[[#This Row],[PontosTime1]]-TabJogos[[#This Row],[PontosTime2]]</f>
        <v>5</v>
      </c>
    </row>
    <row r="3936" spans="1:9" ht="15" customHeight="1" x14ac:dyDescent="0.25">
      <c r="A3936" s="7">
        <v>3935</v>
      </c>
      <c r="B3936" s="1">
        <v>43662</v>
      </c>
      <c r="C3936" s="6" t="s">
        <v>9</v>
      </c>
      <c r="D3936" s="6" t="s">
        <v>11</v>
      </c>
      <c r="E3936" s="6">
        <v>3</v>
      </c>
      <c r="F3936" s="6">
        <v>1</v>
      </c>
      <c r="G3936" s="6" t="s">
        <v>18</v>
      </c>
      <c r="H3936" s="6" t="s">
        <v>17</v>
      </c>
      <c r="I3936" s="6">
        <f>TabJogos[[#This Row],[PontosTime1]]-TabJogos[[#This Row],[PontosTime2]]</f>
        <v>2</v>
      </c>
    </row>
    <row r="3937" spans="1:9" ht="15" customHeight="1" x14ac:dyDescent="0.25">
      <c r="A3937" s="7">
        <v>3936</v>
      </c>
      <c r="B3937" s="1">
        <v>43662</v>
      </c>
      <c r="C3937" s="6" t="s">
        <v>11</v>
      </c>
      <c r="D3937" s="6" t="s">
        <v>18</v>
      </c>
      <c r="E3937" s="6">
        <v>3</v>
      </c>
      <c r="F3937" s="6">
        <v>1</v>
      </c>
      <c r="G3937" s="6" t="s">
        <v>9</v>
      </c>
      <c r="H3937" s="6" t="s">
        <v>17</v>
      </c>
      <c r="I3937" s="6">
        <f>TabJogos[[#This Row],[PontosTime1]]-TabJogos[[#This Row],[PontosTime2]]</f>
        <v>2</v>
      </c>
    </row>
    <row r="3938" spans="1:9" ht="15" customHeight="1" x14ac:dyDescent="0.25">
      <c r="A3938" s="7">
        <v>3937</v>
      </c>
      <c r="B3938" s="1">
        <v>43662</v>
      </c>
      <c r="C3938" s="6" t="s">
        <v>11</v>
      </c>
      <c r="D3938" s="6" t="s">
        <v>17</v>
      </c>
      <c r="E3938" s="6">
        <v>3</v>
      </c>
      <c r="F3938" s="6">
        <v>0</v>
      </c>
      <c r="G3938" s="6" t="s">
        <v>18</v>
      </c>
      <c r="H3938" s="6" t="s">
        <v>9</v>
      </c>
      <c r="I3938" s="6">
        <f>TabJogos[[#This Row],[PontosTime1]]-TabJogos[[#This Row],[PontosTime2]]</f>
        <v>3</v>
      </c>
    </row>
    <row r="3939" spans="1:9" ht="15" customHeight="1" x14ac:dyDescent="0.25">
      <c r="A3939" s="7">
        <v>3938</v>
      </c>
      <c r="B3939" s="1">
        <v>43662</v>
      </c>
      <c r="C3939" s="6" t="s">
        <v>11</v>
      </c>
      <c r="D3939" s="6" t="s">
        <v>9</v>
      </c>
      <c r="E3939" s="6">
        <v>4</v>
      </c>
      <c r="F3939" s="6">
        <v>0</v>
      </c>
      <c r="G3939" s="6" t="s">
        <v>17</v>
      </c>
      <c r="H3939" s="6" t="s">
        <v>18</v>
      </c>
      <c r="I3939" s="6">
        <f>TabJogos[[#This Row],[PontosTime1]]-TabJogos[[#This Row],[PontosTime2]]</f>
        <v>4</v>
      </c>
    </row>
    <row r="3940" spans="1:9" ht="15" customHeight="1" x14ac:dyDescent="0.25">
      <c r="A3940" s="7">
        <v>3939</v>
      </c>
      <c r="B3940" s="1">
        <v>43662</v>
      </c>
      <c r="C3940" s="6" t="s">
        <v>11</v>
      </c>
      <c r="D3940" s="6" t="s">
        <v>18</v>
      </c>
      <c r="E3940" s="6">
        <v>3</v>
      </c>
      <c r="F3940" s="6">
        <v>0</v>
      </c>
      <c r="G3940" s="6" t="s">
        <v>9</v>
      </c>
      <c r="H3940" s="6" t="s">
        <v>17</v>
      </c>
      <c r="I3940" s="6">
        <f>TabJogos[[#This Row],[PontosTime1]]-TabJogos[[#This Row],[PontosTime2]]</f>
        <v>3</v>
      </c>
    </row>
    <row r="3941" spans="1:9" ht="15" customHeight="1" x14ac:dyDescent="0.25">
      <c r="A3941" s="7">
        <v>3940</v>
      </c>
      <c r="B3941" s="1">
        <v>43662</v>
      </c>
      <c r="C3941" s="6" t="s">
        <v>11</v>
      </c>
      <c r="D3941" s="6" t="s">
        <v>17</v>
      </c>
      <c r="E3941" s="6">
        <v>1</v>
      </c>
      <c r="F3941" s="6">
        <v>3</v>
      </c>
      <c r="G3941" s="6" t="s">
        <v>9</v>
      </c>
      <c r="H3941" s="6" t="s">
        <v>18</v>
      </c>
      <c r="I3941" s="6">
        <f>TabJogos[[#This Row],[PontosTime1]]-TabJogos[[#This Row],[PontosTime2]]</f>
        <v>-2</v>
      </c>
    </row>
    <row r="3942" spans="1:9" ht="15" customHeight="1" x14ac:dyDescent="0.25">
      <c r="A3942" s="7">
        <v>3941</v>
      </c>
      <c r="B3942" s="1">
        <v>43662</v>
      </c>
      <c r="C3942" s="6" t="s">
        <v>11</v>
      </c>
      <c r="D3942" s="6" t="s">
        <v>9</v>
      </c>
      <c r="E3942" s="6">
        <v>0</v>
      </c>
      <c r="F3942" s="6">
        <v>4</v>
      </c>
      <c r="G3942" s="6" t="s">
        <v>17</v>
      </c>
      <c r="H3942" s="6" t="s">
        <v>18</v>
      </c>
      <c r="I3942" s="6">
        <f>TabJogos[[#This Row],[PontosTime1]]-TabJogos[[#This Row],[PontosTime2]]</f>
        <v>-4</v>
      </c>
    </row>
    <row r="3943" spans="1:9" ht="15" customHeight="1" x14ac:dyDescent="0.25">
      <c r="A3943" s="7">
        <v>3942</v>
      </c>
      <c r="B3943" s="1">
        <v>43662</v>
      </c>
      <c r="C3943" s="6" t="s">
        <v>11</v>
      </c>
      <c r="D3943" s="6" t="s">
        <v>18</v>
      </c>
      <c r="E3943" s="6">
        <v>3</v>
      </c>
      <c r="F3943" s="6">
        <v>2</v>
      </c>
      <c r="G3943" s="6" t="s">
        <v>9</v>
      </c>
      <c r="H3943" s="6" t="s">
        <v>17</v>
      </c>
      <c r="I3943" s="6">
        <f>TabJogos[[#This Row],[PontosTime1]]-TabJogos[[#This Row],[PontosTime2]]</f>
        <v>1</v>
      </c>
    </row>
    <row r="3944" spans="1:9" ht="15" customHeight="1" x14ac:dyDescent="0.25">
      <c r="A3944" s="7">
        <v>3943</v>
      </c>
      <c r="B3944" s="1">
        <v>43662</v>
      </c>
      <c r="C3944" s="6" t="s">
        <v>11</v>
      </c>
      <c r="D3944" s="6" t="s">
        <v>17</v>
      </c>
      <c r="E3944" s="6">
        <v>3</v>
      </c>
      <c r="F3944" s="6">
        <v>2</v>
      </c>
      <c r="G3944" s="6" t="s">
        <v>9</v>
      </c>
      <c r="H3944" s="6" t="s">
        <v>18</v>
      </c>
      <c r="I3944" s="6">
        <f>TabJogos[[#This Row],[PontosTime1]]-TabJogos[[#This Row],[PontosTime2]]</f>
        <v>1</v>
      </c>
    </row>
    <row r="3945" spans="1:9" ht="15" customHeight="1" x14ac:dyDescent="0.25">
      <c r="A3945" s="7">
        <v>3944</v>
      </c>
      <c r="B3945" s="1">
        <v>43662</v>
      </c>
      <c r="C3945" s="6" t="s">
        <v>11</v>
      </c>
      <c r="D3945" s="6" t="s">
        <v>9</v>
      </c>
      <c r="E3945" s="6">
        <v>2</v>
      </c>
      <c r="F3945" s="6">
        <v>3</v>
      </c>
      <c r="G3945" s="6" t="s">
        <v>17</v>
      </c>
      <c r="H3945" s="6" t="s">
        <v>18</v>
      </c>
      <c r="I3945" s="6">
        <f>TabJogos[[#This Row],[PontosTime1]]-TabJogos[[#This Row],[PontosTime2]]</f>
        <v>-1</v>
      </c>
    </row>
    <row r="3946" spans="1:9" ht="15" customHeight="1" x14ac:dyDescent="0.25">
      <c r="A3946" s="7">
        <v>3945</v>
      </c>
      <c r="B3946" s="1">
        <v>43662</v>
      </c>
      <c r="C3946" s="6" t="s">
        <v>9</v>
      </c>
      <c r="D3946" s="6" t="s">
        <v>17</v>
      </c>
      <c r="E3946" s="6">
        <v>0</v>
      </c>
      <c r="F3946" s="6">
        <v>3</v>
      </c>
      <c r="G3946" s="6" t="s">
        <v>11</v>
      </c>
      <c r="H3946" s="6" t="s">
        <v>18</v>
      </c>
      <c r="I3946" s="6">
        <f>TabJogos[[#This Row],[PontosTime1]]-TabJogos[[#This Row],[PontosTime2]]</f>
        <v>-3</v>
      </c>
    </row>
    <row r="3947" spans="1:9" ht="15" customHeight="1" x14ac:dyDescent="0.25">
      <c r="A3947" s="7">
        <v>3946</v>
      </c>
      <c r="B3947" s="1">
        <v>43663</v>
      </c>
      <c r="C3947" s="6" t="s">
        <v>11</v>
      </c>
      <c r="D3947" s="6" t="s">
        <v>9</v>
      </c>
      <c r="E3947" s="6">
        <v>1</v>
      </c>
      <c r="F3947" s="6">
        <v>3</v>
      </c>
      <c r="G3947" s="6" t="s">
        <v>18</v>
      </c>
      <c r="H3947" s="6" t="s">
        <v>12</v>
      </c>
      <c r="I3947" s="6">
        <f>TabJogos[[#This Row],[PontosTime1]]-TabJogos[[#This Row],[PontosTime2]]</f>
        <v>-2</v>
      </c>
    </row>
    <row r="3948" spans="1:9" ht="15" customHeight="1" x14ac:dyDescent="0.25">
      <c r="A3948" s="7">
        <v>3947</v>
      </c>
      <c r="B3948" s="1">
        <v>43663</v>
      </c>
      <c r="C3948" s="6" t="s">
        <v>9</v>
      </c>
      <c r="D3948" s="6" t="s">
        <v>18</v>
      </c>
      <c r="E3948" s="6">
        <v>1</v>
      </c>
      <c r="F3948" s="6">
        <v>3</v>
      </c>
      <c r="G3948" s="6" t="s">
        <v>12</v>
      </c>
      <c r="H3948" s="6" t="s">
        <v>11</v>
      </c>
      <c r="I3948" s="6">
        <f>TabJogos[[#This Row],[PontosTime1]]-TabJogos[[#This Row],[PontosTime2]]</f>
        <v>-2</v>
      </c>
    </row>
    <row r="3949" spans="1:9" ht="15" customHeight="1" x14ac:dyDescent="0.25">
      <c r="A3949" s="7">
        <v>3948</v>
      </c>
      <c r="B3949" s="1">
        <v>43663</v>
      </c>
      <c r="C3949" s="6" t="s">
        <v>11</v>
      </c>
      <c r="D3949" s="6" t="s">
        <v>18</v>
      </c>
      <c r="E3949" s="6">
        <v>3</v>
      </c>
      <c r="F3949" s="6">
        <v>1</v>
      </c>
      <c r="G3949" s="6" t="s">
        <v>9</v>
      </c>
      <c r="H3949" s="6" t="s">
        <v>18</v>
      </c>
      <c r="I3949" s="6">
        <f>TabJogos[[#This Row],[PontosTime1]]-TabJogos[[#This Row],[PontosTime2]]</f>
        <v>2</v>
      </c>
    </row>
    <row r="3950" spans="1:9" ht="15" customHeight="1" x14ac:dyDescent="0.25">
      <c r="A3950" s="7">
        <v>3949</v>
      </c>
      <c r="B3950" s="1">
        <v>43663</v>
      </c>
      <c r="C3950" s="6" t="s">
        <v>11</v>
      </c>
      <c r="D3950" s="6" t="s">
        <v>9</v>
      </c>
      <c r="E3950" s="6">
        <v>3</v>
      </c>
      <c r="F3950" s="6">
        <v>2</v>
      </c>
      <c r="G3950" s="6" t="s">
        <v>18</v>
      </c>
      <c r="H3950" s="6" t="s">
        <v>12</v>
      </c>
      <c r="I3950" s="6">
        <f>TabJogos[[#This Row],[PontosTime1]]-TabJogos[[#This Row],[PontosTime2]]</f>
        <v>1</v>
      </c>
    </row>
    <row r="3951" spans="1:9" ht="15" customHeight="1" x14ac:dyDescent="0.25">
      <c r="A3951" s="7">
        <v>3950</v>
      </c>
      <c r="B3951" s="1">
        <v>43663</v>
      </c>
      <c r="C3951" s="6" t="s">
        <v>11</v>
      </c>
      <c r="D3951" s="6" t="s">
        <v>12</v>
      </c>
      <c r="E3951" s="6">
        <v>3</v>
      </c>
      <c r="F3951" s="6">
        <v>2</v>
      </c>
      <c r="G3951" s="6" t="s">
        <v>18</v>
      </c>
      <c r="H3951" s="6" t="s">
        <v>9</v>
      </c>
      <c r="I3951" s="6">
        <f>TabJogos[[#This Row],[PontosTime1]]-TabJogos[[#This Row],[PontosTime2]]</f>
        <v>1</v>
      </c>
    </row>
    <row r="3952" spans="1:9" ht="15" customHeight="1" x14ac:dyDescent="0.25">
      <c r="A3952" s="7">
        <v>3951</v>
      </c>
      <c r="B3952" s="1">
        <v>43663</v>
      </c>
      <c r="C3952" s="6" t="s">
        <v>11</v>
      </c>
      <c r="D3952" s="6" t="s">
        <v>18</v>
      </c>
      <c r="E3952" s="6">
        <v>5</v>
      </c>
      <c r="F3952" s="6">
        <v>1</v>
      </c>
      <c r="G3952" s="6" t="s">
        <v>9</v>
      </c>
      <c r="H3952" s="6" t="s">
        <v>12</v>
      </c>
      <c r="I3952" s="6">
        <f>TabJogos[[#This Row],[PontosTime1]]-TabJogos[[#This Row],[PontosTime2]]</f>
        <v>4</v>
      </c>
    </row>
    <row r="3953" spans="1:9" ht="15" customHeight="1" x14ac:dyDescent="0.25">
      <c r="A3953" s="7">
        <v>3952</v>
      </c>
      <c r="B3953" s="1">
        <v>43665</v>
      </c>
      <c r="C3953" s="6" t="s">
        <v>18</v>
      </c>
      <c r="D3953" s="6" t="s">
        <v>11</v>
      </c>
      <c r="E3953" s="6">
        <v>0</v>
      </c>
      <c r="F3953" s="6">
        <v>3</v>
      </c>
      <c r="G3953" s="6" t="s">
        <v>17</v>
      </c>
      <c r="H3953" s="6" t="s">
        <v>9</v>
      </c>
      <c r="I3953" s="6">
        <f>TabJogos[[#This Row],[PontosTime1]]-TabJogos[[#This Row],[PontosTime2]]</f>
        <v>-3</v>
      </c>
    </row>
    <row r="3954" spans="1:9" ht="15" customHeight="1" x14ac:dyDescent="0.25">
      <c r="A3954" s="7">
        <v>3953</v>
      </c>
      <c r="B3954" s="1">
        <v>43665</v>
      </c>
      <c r="C3954" s="6" t="s">
        <v>17</v>
      </c>
      <c r="D3954" s="6" t="s">
        <v>18</v>
      </c>
      <c r="E3954" s="6">
        <v>3</v>
      </c>
      <c r="F3954" s="6">
        <v>0</v>
      </c>
      <c r="G3954" s="6" t="s">
        <v>11</v>
      </c>
      <c r="H3954" s="6" t="s">
        <v>9</v>
      </c>
      <c r="I3954" s="6">
        <f>TabJogos[[#This Row],[PontosTime1]]-TabJogos[[#This Row],[PontosTime2]]</f>
        <v>3</v>
      </c>
    </row>
    <row r="3955" spans="1:9" ht="15" customHeight="1" x14ac:dyDescent="0.25">
      <c r="A3955" s="7">
        <v>3954</v>
      </c>
      <c r="B3955" s="1">
        <v>43665</v>
      </c>
      <c r="C3955" s="6" t="s">
        <v>11</v>
      </c>
      <c r="D3955" s="6" t="s">
        <v>17</v>
      </c>
      <c r="E3955" s="6">
        <v>2</v>
      </c>
      <c r="F3955" s="6">
        <v>4</v>
      </c>
      <c r="G3955" s="6" t="s">
        <v>18</v>
      </c>
      <c r="H3955" s="6" t="s">
        <v>9</v>
      </c>
      <c r="I3955" s="6">
        <f>TabJogos[[#This Row],[PontosTime1]]-TabJogos[[#This Row],[PontosTime2]]</f>
        <v>-2</v>
      </c>
    </row>
    <row r="3956" spans="1:9" ht="15" customHeight="1" x14ac:dyDescent="0.25">
      <c r="A3956" s="7">
        <v>3955</v>
      </c>
      <c r="B3956" s="1">
        <v>43665</v>
      </c>
      <c r="C3956" s="6" t="s">
        <v>11</v>
      </c>
      <c r="D3956" s="6" t="s">
        <v>18</v>
      </c>
      <c r="E3956" s="6">
        <v>0</v>
      </c>
      <c r="F3956" s="6">
        <v>3</v>
      </c>
      <c r="G3956" s="6" t="s">
        <v>9</v>
      </c>
      <c r="H3956" s="6" t="s">
        <v>17</v>
      </c>
      <c r="I3956" s="6">
        <f>TabJogos[[#This Row],[PontosTime1]]-TabJogos[[#This Row],[PontosTime2]]</f>
        <v>-3</v>
      </c>
    </row>
    <row r="3957" spans="1:9" ht="15" customHeight="1" x14ac:dyDescent="0.25">
      <c r="A3957" s="7">
        <v>3956</v>
      </c>
      <c r="B3957" s="1">
        <v>43665</v>
      </c>
      <c r="C3957" s="6" t="s">
        <v>11</v>
      </c>
      <c r="D3957" s="6" t="s">
        <v>9</v>
      </c>
      <c r="E3957" s="6">
        <v>2</v>
      </c>
      <c r="F3957" s="6">
        <v>3</v>
      </c>
      <c r="G3957" s="6" t="s">
        <v>18</v>
      </c>
      <c r="H3957" s="6" t="s">
        <v>17</v>
      </c>
      <c r="I3957" s="6">
        <f>TabJogos[[#This Row],[PontosTime1]]-TabJogos[[#This Row],[PontosTime2]]</f>
        <v>-1</v>
      </c>
    </row>
    <row r="3958" spans="1:9" ht="15" customHeight="1" x14ac:dyDescent="0.25">
      <c r="A3958" s="7">
        <v>3957</v>
      </c>
      <c r="B3958" s="1">
        <v>43668</v>
      </c>
      <c r="C3958" s="6" t="s">
        <v>11</v>
      </c>
      <c r="D3958" s="6" t="s">
        <v>15</v>
      </c>
      <c r="E3958" s="6">
        <v>1</v>
      </c>
      <c r="F3958" s="6">
        <v>3</v>
      </c>
      <c r="G3958" s="6" t="s">
        <v>9</v>
      </c>
      <c r="H3958" s="6" t="s">
        <v>32</v>
      </c>
      <c r="I3958" s="6">
        <f>TabJogos[[#This Row],[PontosTime1]]-TabJogos[[#This Row],[PontosTime2]]</f>
        <v>-2</v>
      </c>
    </row>
    <row r="3959" spans="1:9" ht="15" customHeight="1" x14ac:dyDescent="0.25">
      <c r="A3959" s="7">
        <v>3958</v>
      </c>
      <c r="B3959" s="1">
        <v>43668</v>
      </c>
      <c r="C3959" s="6" t="s">
        <v>11</v>
      </c>
      <c r="D3959" s="6" t="s">
        <v>9</v>
      </c>
      <c r="E3959" s="6">
        <v>3</v>
      </c>
      <c r="F3959" s="6">
        <v>1</v>
      </c>
      <c r="G3959" s="6" t="s">
        <v>32</v>
      </c>
      <c r="H3959" s="6" t="s">
        <v>15</v>
      </c>
      <c r="I3959" s="6">
        <f>TabJogos[[#This Row],[PontosTime1]]-TabJogos[[#This Row],[PontosTime2]]</f>
        <v>2</v>
      </c>
    </row>
    <row r="3960" spans="1:9" ht="15" customHeight="1" x14ac:dyDescent="0.25">
      <c r="A3960" s="7">
        <v>3959</v>
      </c>
      <c r="B3960" s="1">
        <v>43668</v>
      </c>
      <c r="C3960" s="6" t="s">
        <v>15</v>
      </c>
      <c r="D3960" s="6" t="s">
        <v>9</v>
      </c>
      <c r="E3960" s="6">
        <v>3</v>
      </c>
      <c r="F3960" s="6">
        <v>0</v>
      </c>
      <c r="G3960" s="6" t="s">
        <v>32</v>
      </c>
      <c r="H3960" s="6" t="s">
        <v>11</v>
      </c>
      <c r="I3960" s="6">
        <f>TabJogos[[#This Row],[PontosTime1]]-TabJogos[[#This Row],[PontosTime2]]</f>
        <v>3</v>
      </c>
    </row>
    <row r="3961" spans="1:9" ht="15" customHeight="1" x14ac:dyDescent="0.25">
      <c r="A3961" s="7">
        <v>3960</v>
      </c>
      <c r="B3961" s="1">
        <v>43668</v>
      </c>
      <c r="C3961" s="6" t="s">
        <v>15</v>
      </c>
      <c r="D3961" s="6" t="s">
        <v>11</v>
      </c>
      <c r="E3961" s="6">
        <v>3</v>
      </c>
      <c r="F3961" s="6">
        <v>0</v>
      </c>
      <c r="G3961" s="6" t="s">
        <v>9</v>
      </c>
      <c r="H3961" s="6" t="s">
        <v>18</v>
      </c>
      <c r="I3961" s="6">
        <f>TabJogos[[#This Row],[PontosTime1]]-TabJogos[[#This Row],[PontosTime2]]</f>
        <v>3</v>
      </c>
    </row>
    <row r="3962" spans="1:9" ht="15" customHeight="1" x14ac:dyDescent="0.25">
      <c r="A3962" s="7">
        <v>3961</v>
      </c>
      <c r="B3962" s="1">
        <v>43668</v>
      </c>
      <c r="C3962" s="6" t="s">
        <v>11</v>
      </c>
      <c r="D3962" s="6" t="s">
        <v>9</v>
      </c>
      <c r="E3962" s="6">
        <v>0</v>
      </c>
      <c r="F3962" s="6">
        <v>3</v>
      </c>
      <c r="G3962" s="6" t="s">
        <v>15</v>
      </c>
      <c r="H3962" s="6" t="s">
        <v>18</v>
      </c>
      <c r="I3962" s="6">
        <f>TabJogos[[#This Row],[PontosTime1]]-TabJogos[[#This Row],[PontosTime2]]</f>
        <v>-3</v>
      </c>
    </row>
    <row r="3963" spans="1:9" ht="15" customHeight="1" x14ac:dyDescent="0.25">
      <c r="A3963" s="7">
        <v>3962</v>
      </c>
      <c r="B3963" s="1">
        <v>43668</v>
      </c>
      <c r="C3963" s="6" t="s">
        <v>11</v>
      </c>
      <c r="D3963" s="6" t="s">
        <v>18</v>
      </c>
      <c r="E3963" s="6">
        <v>3</v>
      </c>
      <c r="F3963" s="6">
        <v>0</v>
      </c>
      <c r="G3963" s="6" t="s">
        <v>32</v>
      </c>
      <c r="H3963" s="6" t="s">
        <v>15</v>
      </c>
      <c r="I3963" s="6">
        <f>TabJogos[[#This Row],[PontosTime1]]-TabJogos[[#This Row],[PontosTime2]]</f>
        <v>3</v>
      </c>
    </row>
    <row r="3964" spans="1:9" ht="15" customHeight="1" x14ac:dyDescent="0.25">
      <c r="A3964" s="7">
        <v>3963</v>
      </c>
      <c r="B3964" s="1">
        <v>43668</v>
      </c>
      <c r="C3964" s="6" t="s">
        <v>11</v>
      </c>
      <c r="D3964" s="6" t="s">
        <v>32</v>
      </c>
      <c r="E3964" s="6">
        <v>3</v>
      </c>
      <c r="F3964" s="6">
        <v>1</v>
      </c>
      <c r="G3964" s="6" t="s">
        <v>9</v>
      </c>
      <c r="H3964" s="6" t="s">
        <v>18</v>
      </c>
      <c r="I3964" s="6">
        <f>TabJogos[[#This Row],[PontosTime1]]-TabJogos[[#This Row],[PontosTime2]]</f>
        <v>2</v>
      </c>
    </row>
    <row r="3965" spans="1:9" ht="15" customHeight="1" x14ac:dyDescent="0.25">
      <c r="A3965" s="7">
        <v>3964</v>
      </c>
      <c r="B3965" s="1">
        <v>43668</v>
      </c>
      <c r="C3965" s="6" t="s">
        <v>18</v>
      </c>
      <c r="D3965" s="6" t="s">
        <v>32</v>
      </c>
      <c r="E3965" s="6">
        <v>3</v>
      </c>
      <c r="F3965" s="6">
        <v>1</v>
      </c>
      <c r="G3965" s="6" t="s">
        <v>11</v>
      </c>
      <c r="H3965" s="6" t="s">
        <v>15</v>
      </c>
      <c r="I3965" s="6">
        <f>TabJogos[[#This Row],[PontosTime1]]-TabJogos[[#This Row],[PontosTime2]]</f>
        <v>2</v>
      </c>
    </row>
    <row r="3966" spans="1:9" ht="15" customHeight="1" x14ac:dyDescent="0.25">
      <c r="A3966" s="7">
        <v>3965</v>
      </c>
      <c r="B3966" s="1">
        <v>43668</v>
      </c>
      <c r="C3966" s="6" t="s">
        <v>15</v>
      </c>
      <c r="D3966" s="6" t="s">
        <v>18</v>
      </c>
      <c r="E3966" s="6">
        <v>3</v>
      </c>
      <c r="F3966" s="6">
        <v>2</v>
      </c>
      <c r="G3966" s="6" t="s">
        <v>32</v>
      </c>
      <c r="H3966" s="6" t="s">
        <v>9</v>
      </c>
      <c r="I3966" s="6">
        <f>TabJogos[[#This Row],[PontosTime1]]-TabJogos[[#This Row],[PontosTime2]]</f>
        <v>1</v>
      </c>
    </row>
    <row r="3967" spans="1:9" ht="15" customHeight="1" x14ac:dyDescent="0.25">
      <c r="A3967" s="7">
        <v>3966</v>
      </c>
      <c r="B3967" s="1">
        <v>43668</v>
      </c>
      <c r="C3967" s="6" t="s">
        <v>9</v>
      </c>
      <c r="D3967" s="6" t="s">
        <v>15</v>
      </c>
      <c r="E3967" s="6">
        <v>0</v>
      </c>
      <c r="F3967" s="6">
        <v>4</v>
      </c>
      <c r="G3967" s="6" t="s">
        <v>18</v>
      </c>
      <c r="H3967" s="6" t="s">
        <v>32</v>
      </c>
      <c r="I3967" s="6">
        <f>TabJogos[[#This Row],[PontosTime1]]-TabJogos[[#This Row],[PontosTime2]]</f>
        <v>-4</v>
      </c>
    </row>
    <row r="3968" spans="1:9" ht="15" customHeight="1" x14ac:dyDescent="0.25">
      <c r="A3968" s="7">
        <v>3967</v>
      </c>
      <c r="B3968" s="1">
        <v>43668</v>
      </c>
      <c r="C3968" s="6" t="s">
        <v>9</v>
      </c>
      <c r="D3968" s="6" t="s">
        <v>18</v>
      </c>
      <c r="E3968" s="6">
        <v>4</v>
      </c>
      <c r="F3968" s="6">
        <v>1</v>
      </c>
      <c r="G3968" s="6" t="s">
        <v>11</v>
      </c>
      <c r="H3968" s="6" t="s">
        <v>32</v>
      </c>
      <c r="I3968" s="6">
        <f>TabJogos[[#This Row],[PontosTime1]]-TabJogos[[#This Row],[PontosTime2]]</f>
        <v>3</v>
      </c>
    </row>
    <row r="3969" spans="1:9" ht="15" customHeight="1" x14ac:dyDescent="0.25">
      <c r="A3969" s="7">
        <v>3968</v>
      </c>
      <c r="B3969" s="1">
        <v>43668</v>
      </c>
      <c r="C3969" s="6" t="s">
        <v>11</v>
      </c>
      <c r="D3969" s="6" t="s">
        <v>18</v>
      </c>
      <c r="E3969" s="6">
        <v>3</v>
      </c>
      <c r="F3969" s="6">
        <v>2</v>
      </c>
      <c r="G3969" s="6" t="s">
        <v>9</v>
      </c>
      <c r="H3969" s="6" t="s">
        <v>15</v>
      </c>
      <c r="I3969" s="6">
        <f>TabJogos[[#This Row],[PontosTime1]]-TabJogos[[#This Row],[PontosTime2]]</f>
        <v>1</v>
      </c>
    </row>
    <row r="3970" spans="1:9" ht="15" customHeight="1" x14ac:dyDescent="0.25">
      <c r="A3970" s="7">
        <v>3969</v>
      </c>
      <c r="B3970" s="1">
        <v>43668</v>
      </c>
      <c r="C3970" s="6" t="s">
        <v>11</v>
      </c>
      <c r="D3970" s="6" t="s">
        <v>9</v>
      </c>
      <c r="E3970" s="6">
        <v>2</v>
      </c>
      <c r="F3970" s="6">
        <v>3</v>
      </c>
      <c r="G3970" s="6" t="s">
        <v>15</v>
      </c>
      <c r="H3970" s="6" t="s">
        <v>18</v>
      </c>
      <c r="I3970" s="6">
        <f>TabJogos[[#This Row],[PontosTime1]]-TabJogos[[#This Row],[PontosTime2]]</f>
        <v>-1</v>
      </c>
    </row>
    <row r="3971" spans="1:9" ht="15" customHeight="1" x14ac:dyDescent="0.25">
      <c r="A3971" s="7">
        <v>3970</v>
      </c>
      <c r="B3971" s="1">
        <v>43668</v>
      </c>
      <c r="C3971" s="6" t="s">
        <v>18</v>
      </c>
      <c r="D3971" s="6" t="s">
        <v>9</v>
      </c>
      <c r="E3971" s="6">
        <v>3</v>
      </c>
      <c r="F3971" s="6">
        <v>0</v>
      </c>
      <c r="G3971" s="6" t="s">
        <v>15</v>
      </c>
      <c r="H3971" s="6" t="s">
        <v>11</v>
      </c>
      <c r="I3971" s="6">
        <f>TabJogos[[#This Row],[PontosTime1]]-TabJogos[[#This Row],[PontosTime2]]</f>
        <v>3</v>
      </c>
    </row>
    <row r="3972" spans="1:9" ht="15" customHeight="1" x14ac:dyDescent="0.25">
      <c r="A3972" s="7">
        <v>3971</v>
      </c>
      <c r="B3972" s="1">
        <v>43668</v>
      </c>
      <c r="C3972" s="6" t="s">
        <v>15</v>
      </c>
      <c r="D3972" s="6" t="s">
        <v>9</v>
      </c>
      <c r="E3972" s="6">
        <v>3</v>
      </c>
      <c r="F3972" s="6">
        <v>0</v>
      </c>
      <c r="G3972" s="6" t="s">
        <v>11</v>
      </c>
      <c r="H3972" s="6" t="s">
        <v>18</v>
      </c>
      <c r="I3972" s="6">
        <f>TabJogos[[#This Row],[PontosTime1]]-TabJogos[[#This Row],[PontosTime2]]</f>
        <v>3</v>
      </c>
    </row>
    <row r="3973" spans="1:9" ht="15" customHeight="1" x14ac:dyDescent="0.25">
      <c r="A3973" s="7">
        <v>3972</v>
      </c>
      <c r="B3973" s="1">
        <v>43669</v>
      </c>
      <c r="C3973" s="6" t="s">
        <v>11</v>
      </c>
      <c r="D3973" s="6" t="s">
        <v>18</v>
      </c>
      <c r="E3973" s="6">
        <v>3</v>
      </c>
      <c r="F3973" s="6">
        <v>1</v>
      </c>
      <c r="G3973" s="6" t="s">
        <v>9</v>
      </c>
      <c r="H3973" s="6" t="s">
        <v>17</v>
      </c>
      <c r="I3973" s="6">
        <f>TabJogos[[#This Row],[PontosTime1]]-TabJogos[[#This Row],[PontosTime2]]</f>
        <v>2</v>
      </c>
    </row>
    <row r="3974" spans="1:9" ht="15" customHeight="1" x14ac:dyDescent="0.25">
      <c r="A3974" s="7">
        <v>3973</v>
      </c>
      <c r="B3974" s="1">
        <v>43669</v>
      </c>
      <c r="C3974" s="6" t="s">
        <v>11</v>
      </c>
      <c r="D3974" s="6" t="s">
        <v>15</v>
      </c>
      <c r="E3974" s="6">
        <v>4</v>
      </c>
      <c r="F3974" s="6">
        <v>1</v>
      </c>
      <c r="G3974" s="6" t="s">
        <v>18</v>
      </c>
      <c r="H3974" s="6" t="s">
        <v>9</v>
      </c>
      <c r="I3974" s="6">
        <f>TabJogos[[#This Row],[PontosTime1]]-TabJogos[[#This Row],[PontosTime2]]</f>
        <v>3</v>
      </c>
    </row>
    <row r="3975" spans="1:9" ht="15" customHeight="1" x14ac:dyDescent="0.25">
      <c r="A3975" s="7">
        <v>3974</v>
      </c>
      <c r="B3975" s="1">
        <v>43669</v>
      </c>
      <c r="C3975" s="6" t="s">
        <v>11</v>
      </c>
      <c r="D3975" s="6" t="s">
        <v>17</v>
      </c>
      <c r="E3975" s="6">
        <v>0</v>
      </c>
      <c r="F3975" s="6">
        <v>6</v>
      </c>
      <c r="G3975" s="6" t="s">
        <v>18</v>
      </c>
      <c r="H3975" s="6" t="s">
        <v>15</v>
      </c>
      <c r="I3975" s="6">
        <f>TabJogos[[#This Row],[PontosTime1]]-TabJogos[[#This Row],[PontosTime2]]</f>
        <v>-6</v>
      </c>
    </row>
    <row r="3976" spans="1:9" ht="15" customHeight="1" x14ac:dyDescent="0.25">
      <c r="A3976" s="7">
        <v>3975</v>
      </c>
      <c r="B3976" s="1">
        <v>43669</v>
      </c>
      <c r="C3976" s="6" t="s">
        <v>9</v>
      </c>
      <c r="D3976" s="6" t="s">
        <v>15</v>
      </c>
      <c r="E3976" s="6">
        <v>1</v>
      </c>
      <c r="F3976" s="6">
        <v>3</v>
      </c>
      <c r="G3976" s="6" t="s">
        <v>18</v>
      </c>
      <c r="H3976" s="6" t="s">
        <v>17</v>
      </c>
      <c r="I3976" s="6">
        <f>TabJogos[[#This Row],[PontosTime1]]-TabJogos[[#This Row],[PontosTime2]]</f>
        <v>-2</v>
      </c>
    </row>
    <row r="3977" spans="1:9" ht="15" customHeight="1" x14ac:dyDescent="0.25">
      <c r="A3977" s="7">
        <v>3976</v>
      </c>
      <c r="B3977" s="1">
        <v>43669</v>
      </c>
      <c r="C3977" s="6" t="s">
        <v>11</v>
      </c>
      <c r="D3977" s="6" t="s">
        <v>18</v>
      </c>
      <c r="E3977" s="6">
        <v>3</v>
      </c>
      <c r="F3977" s="6">
        <v>2</v>
      </c>
      <c r="G3977" s="6" t="s">
        <v>17</v>
      </c>
      <c r="H3977" s="6" t="s">
        <v>32</v>
      </c>
      <c r="I3977" s="6">
        <f>TabJogos[[#This Row],[PontosTime1]]-TabJogos[[#This Row],[PontosTime2]]</f>
        <v>1</v>
      </c>
    </row>
    <row r="3978" spans="1:9" ht="15" customHeight="1" x14ac:dyDescent="0.25">
      <c r="A3978" s="7">
        <v>3977</v>
      </c>
      <c r="B3978" s="1">
        <v>43669</v>
      </c>
      <c r="C3978" s="6" t="s">
        <v>11</v>
      </c>
      <c r="D3978" s="6" t="s">
        <v>9</v>
      </c>
      <c r="E3978" s="6">
        <v>0</v>
      </c>
      <c r="F3978" s="6">
        <v>3</v>
      </c>
      <c r="G3978" s="6" t="s">
        <v>18</v>
      </c>
      <c r="H3978" s="6" t="s">
        <v>15</v>
      </c>
      <c r="I3978" s="6">
        <f>TabJogos[[#This Row],[PontosTime1]]-TabJogos[[#This Row],[PontosTime2]]</f>
        <v>-3</v>
      </c>
    </row>
    <row r="3979" spans="1:9" ht="15" customHeight="1" x14ac:dyDescent="0.25">
      <c r="A3979" s="7">
        <v>3978</v>
      </c>
      <c r="B3979" s="1">
        <v>43669</v>
      </c>
      <c r="C3979" s="6" t="s">
        <v>17</v>
      </c>
      <c r="D3979" s="6" t="s">
        <v>15</v>
      </c>
      <c r="E3979" s="6">
        <v>2</v>
      </c>
      <c r="F3979" s="6">
        <v>5</v>
      </c>
      <c r="G3979" s="6" t="s">
        <v>18</v>
      </c>
      <c r="H3979" s="6" t="s">
        <v>32</v>
      </c>
      <c r="I3979" s="6">
        <f>TabJogos[[#This Row],[PontosTime1]]-TabJogos[[#This Row],[PontosTime2]]</f>
        <v>-3</v>
      </c>
    </row>
    <row r="3980" spans="1:9" ht="15" customHeight="1" x14ac:dyDescent="0.25">
      <c r="A3980" s="7">
        <v>3979</v>
      </c>
      <c r="B3980" s="1">
        <v>43669</v>
      </c>
      <c r="C3980" s="6" t="s">
        <v>11</v>
      </c>
      <c r="D3980" s="6" t="s">
        <v>32</v>
      </c>
      <c r="E3980" s="6">
        <v>3</v>
      </c>
      <c r="F3980" s="6">
        <v>0</v>
      </c>
      <c r="G3980" s="6" t="s">
        <v>18</v>
      </c>
      <c r="H3980" s="6" t="s">
        <v>9</v>
      </c>
      <c r="I3980" s="6">
        <f>TabJogos[[#This Row],[PontosTime1]]-TabJogos[[#This Row],[PontosTime2]]</f>
        <v>3</v>
      </c>
    </row>
    <row r="3981" spans="1:9" ht="15" customHeight="1" x14ac:dyDescent="0.25">
      <c r="A3981" s="7">
        <v>3980</v>
      </c>
      <c r="B3981" s="1">
        <v>43669</v>
      </c>
      <c r="C3981" s="6" t="s">
        <v>15</v>
      </c>
      <c r="D3981" s="6" t="s">
        <v>32</v>
      </c>
      <c r="E3981" s="6">
        <v>2</v>
      </c>
      <c r="F3981" s="6">
        <v>3</v>
      </c>
      <c r="G3981" s="6" t="s">
        <v>11</v>
      </c>
      <c r="H3981" s="6" t="s">
        <v>17</v>
      </c>
      <c r="I3981" s="6">
        <f>TabJogos[[#This Row],[PontosTime1]]-TabJogos[[#This Row],[PontosTime2]]</f>
        <v>-1</v>
      </c>
    </row>
    <row r="3982" spans="1:9" ht="15" customHeight="1" x14ac:dyDescent="0.25">
      <c r="A3982" s="7">
        <v>3981</v>
      </c>
      <c r="B3982" s="1">
        <v>43669</v>
      </c>
      <c r="C3982" s="6" t="s">
        <v>11</v>
      </c>
      <c r="D3982" s="6" t="s">
        <v>18</v>
      </c>
      <c r="E3982" s="6">
        <v>5</v>
      </c>
      <c r="F3982" s="6">
        <v>1</v>
      </c>
      <c r="G3982" s="6" t="s">
        <v>9</v>
      </c>
      <c r="H3982" s="6" t="s">
        <v>17</v>
      </c>
      <c r="I3982" s="6">
        <f>TabJogos[[#This Row],[PontosTime1]]-TabJogos[[#This Row],[PontosTime2]]</f>
        <v>4</v>
      </c>
    </row>
    <row r="3983" spans="1:9" ht="15" customHeight="1" x14ac:dyDescent="0.25">
      <c r="A3983" s="7">
        <v>3982</v>
      </c>
      <c r="B3983" s="1">
        <v>43669</v>
      </c>
      <c r="C3983" s="6" t="s">
        <v>11</v>
      </c>
      <c r="D3983" s="6" t="s">
        <v>15</v>
      </c>
      <c r="E3983" s="6">
        <v>2</v>
      </c>
      <c r="F3983" s="6">
        <v>3</v>
      </c>
      <c r="G3983" s="6" t="s">
        <v>32</v>
      </c>
      <c r="H3983" s="6" t="s">
        <v>18</v>
      </c>
      <c r="I3983" s="6">
        <f>TabJogos[[#This Row],[PontosTime1]]-TabJogos[[#This Row],[PontosTime2]]</f>
        <v>-1</v>
      </c>
    </row>
    <row r="3984" spans="1:9" ht="15" customHeight="1" x14ac:dyDescent="0.25">
      <c r="A3984" s="7">
        <v>3983</v>
      </c>
      <c r="B3984" s="1">
        <v>43669</v>
      </c>
      <c r="C3984" s="6" t="s">
        <v>17</v>
      </c>
      <c r="D3984" s="6" t="s">
        <v>18</v>
      </c>
      <c r="E3984" s="6">
        <v>4</v>
      </c>
      <c r="F3984" s="6">
        <v>1</v>
      </c>
      <c r="G3984" s="6" t="s">
        <v>9</v>
      </c>
      <c r="H3984" s="6" t="s">
        <v>32</v>
      </c>
      <c r="I3984" s="6">
        <f>TabJogos[[#This Row],[PontosTime1]]-TabJogos[[#This Row],[PontosTime2]]</f>
        <v>3</v>
      </c>
    </row>
    <row r="3985" spans="1:9" ht="15" customHeight="1" x14ac:dyDescent="0.25">
      <c r="A3985" s="7">
        <v>3984</v>
      </c>
      <c r="B3985" s="1">
        <v>43669</v>
      </c>
      <c r="C3985" s="6" t="s">
        <v>15</v>
      </c>
      <c r="D3985" s="6" t="s">
        <v>17</v>
      </c>
      <c r="E3985" s="6">
        <v>3</v>
      </c>
      <c r="F3985" s="6">
        <v>2</v>
      </c>
      <c r="G3985" s="6" t="s">
        <v>9</v>
      </c>
      <c r="H3985" s="6" t="s">
        <v>18</v>
      </c>
      <c r="I3985" s="6">
        <f>TabJogos[[#This Row],[PontosTime1]]-TabJogos[[#This Row],[PontosTime2]]</f>
        <v>1</v>
      </c>
    </row>
    <row r="3986" spans="1:9" ht="15" customHeight="1" x14ac:dyDescent="0.25">
      <c r="A3986" s="7">
        <v>3985</v>
      </c>
      <c r="B3986" s="1">
        <v>43669</v>
      </c>
      <c r="C3986" s="6" t="s">
        <v>11</v>
      </c>
      <c r="D3986" s="6" t="s">
        <v>17</v>
      </c>
      <c r="E3986" s="6">
        <v>4</v>
      </c>
      <c r="F3986" s="6">
        <v>0</v>
      </c>
      <c r="G3986" s="6" t="s">
        <v>9</v>
      </c>
      <c r="H3986" s="6" t="s">
        <v>15</v>
      </c>
      <c r="I3986" s="6">
        <f>TabJogos[[#This Row],[PontosTime1]]-TabJogos[[#This Row],[PontosTime2]]</f>
        <v>4</v>
      </c>
    </row>
    <row r="3987" spans="1:9" ht="15" customHeight="1" x14ac:dyDescent="0.25">
      <c r="A3987" s="7">
        <v>3986</v>
      </c>
      <c r="B3987" s="1">
        <v>43669</v>
      </c>
      <c r="C3987" s="6" t="s">
        <v>11</v>
      </c>
      <c r="D3987" s="6" t="s">
        <v>9</v>
      </c>
      <c r="E3987" s="6">
        <v>2</v>
      </c>
      <c r="F3987" s="6">
        <v>3</v>
      </c>
      <c r="G3987" s="6" t="s">
        <v>17</v>
      </c>
      <c r="H3987" s="6" t="s">
        <v>18</v>
      </c>
      <c r="I3987" s="6">
        <f>TabJogos[[#This Row],[PontosTime1]]-TabJogos[[#This Row],[PontosTime2]]</f>
        <v>-1</v>
      </c>
    </row>
    <row r="3988" spans="1:9" ht="15" customHeight="1" x14ac:dyDescent="0.25">
      <c r="A3988" s="7">
        <v>3987</v>
      </c>
      <c r="B3988" s="1">
        <v>43669</v>
      </c>
      <c r="C3988" s="6" t="s">
        <v>11</v>
      </c>
      <c r="D3988" s="6" t="s">
        <v>18</v>
      </c>
      <c r="E3988" s="6">
        <v>4</v>
      </c>
      <c r="F3988" s="6">
        <v>2</v>
      </c>
      <c r="G3988" s="6" t="s">
        <v>9</v>
      </c>
      <c r="H3988" s="6" t="s">
        <v>17</v>
      </c>
      <c r="I3988" s="6">
        <f>TabJogos[[#This Row],[PontosTime1]]-TabJogos[[#This Row],[PontosTime2]]</f>
        <v>2</v>
      </c>
    </row>
    <row r="3989" spans="1:9" ht="15" customHeight="1" x14ac:dyDescent="0.25">
      <c r="A3989" s="7">
        <v>3988</v>
      </c>
      <c r="B3989" s="1">
        <v>43669</v>
      </c>
      <c r="C3989" s="6" t="s">
        <v>11</v>
      </c>
      <c r="D3989" s="6" t="s">
        <v>17</v>
      </c>
      <c r="E3989" s="6">
        <v>4</v>
      </c>
      <c r="F3989" s="6">
        <v>0</v>
      </c>
      <c r="G3989" s="6" t="s">
        <v>9</v>
      </c>
      <c r="H3989" s="6" t="s">
        <v>18</v>
      </c>
      <c r="I3989" s="6">
        <f>TabJogos[[#This Row],[PontosTime1]]-TabJogos[[#This Row],[PontosTime2]]</f>
        <v>4</v>
      </c>
    </row>
    <row r="3990" spans="1:9" ht="15" customHeight="1" x14ac:dyDescent="0.25">
      <c r="A3990" s="7">
        <v>3989</v>
      </c>
      <c r="B3990" s="1">
        <v>43669</v>
      </c>
      <c r="C3990" s="6" t="s">
        <v>11</v>
      </c>
      <c r="D3990" s="6" t="s">
        <v>9</v>
      </c>
      <c r="E3990" s="6">
        <v>3</v>
      </c>
      <c r="F3990" s="6">
        <v>0</v>
      </c>
      <c r="G3990" s="6" t="s">
        <v>17</v>
      </c>
      <c r="H3990" s="6" t="s">
        <v>18</v>
      </c>
      <c r="I3990" s="6">
        <f>TabJogos[[#This Row],[PontosTime1]]-TabJogos[[#This Row],[PontosTime2]]</f>
        <v>3</v>
      </c>
    </row>
    <row r="3991" spans="1:9" ht="15" customHeight="1" x14ac:dyDescent="0.25">
      <c r="A3991" s="7">
        <v>3990</v>
      </c>
      <c r="B3991" s="1">
        <v>43670</v>
      </c>
      <c r="C3991" s="6" t="s">
        <v>17</v>
      </c>
      <c r="D3991" s="6" t="s">
        <v>32</v>
      </c>
      <c r="E3991" s="6">
        <v>4</v>
      </c>
      <c r="F3991" s="6">
        <v>2</v>
      </c>
      <c r="G3991" s="6" t="s">
        <v>9</v>
      </c>
      <c r="H3991" s="6" t="s">
        <v>11</v>
      </c>
      <c r="I3991" s="6">
        <f>TabJogos[[#This Row],[PontosTime1]]-TabJogos[[#This Row],[PontosTime2]]</f>
        <v>2</v>
      </c>
    </row>
    <row r="3992" spans="1:9" ht="15" customHeight="1" x14ac:dyDescent="0.25">
      <c r="A3992" s="7">
        <v>3991</v>
      </c>
      <c r="B3992" s="1">
        <v>43670</v>
      </c>
      <c r="C3992" s="6" t="s">
        <v>17</v>
      </c>
      <c r="D3992" s="6" t="s">
        <v>9</v>
      </c>
      <c r="E3992" s="6">
        <v>0</v>
      </c>
      <c r="F3992" s="6">
        <v>3</v>
      </c>
      <c r="G3992" s="6" t="s">
        <v>11</v>
      </c>
      <c r="H3992" s="6" t="s">
        <v>32</v>
      </c>
      <c r="I3992" s="6">
        <f>TabJogos[[#This Row],[PontosTime1]]-TabJogos[[#This Row],[PontosTime2]]</f>
        <v>-3</v>
      </c>
    </row>
    <row r="3993" spans="1:9" ht="15" customHeight="1" x14ac:dyDescent="0.25">
      <c r="A3993" s="7">
        <v>3992</v>
      </c>
      <c r="B3993" s="1">
        <v>43670</v>
      </c>
      <c r="C3993" s="6" t="s">
        <v>18</v>
      </c>
      <c r="D3993" s="6" t="s">
        <v>32</v>
      </c>
      <c r="E3993" s="6">
        <v>2</v>
      </c>
      <c r="F3993" s="6">
        <v>3</v>
      </c>
      <c r="G3993" s="6" t="s">
        <v>11</v>
      </c>
      <c r="H3993" s="6" t="s">
        <v>17</v>
      </c>
      <c r="I3993" s="6">
        <f>TabJogos[[#This Row],[PontosTime1]]-TabJogos[[#This Row],[PontosTime2]]</f>
        <v>-1</v>
      </c>
    </row>
    <row r="3994" spans="1:9" ht="15" customHeight="1" x14ac:dyDescent="0.25">
      <c r="A3994" s="7">
        <v>3993</v>
      </c>
      <c r="B3994" s="1">
        <v>43670</v>
      </c>
      <c r="C3994" s="6" t="s">
        <v>9</v>
      </c>
      <c r="D3994" s="6" t="s">
        <v>17</v>
      </c>
      <c r="E3994" s="6">
        <v>3</v>
      </c>
      <c r="F3994" s="6">
        <v>2</v>
      </c>
      <c r="G3994" s="6" t="s">
        <v>11</v>
      </c>
      <c r="H3994" s="6" t="s">
        <v>32</v>
      </c>
      <c r="I3994" s="6">
        <f>TabJogos[[#This Row],[PontosTime1]]-TabJogos[[#This Row],[PontosTime2]]</f>
        <v>1</v>
      </c>
    </row>
    <row r="3995" spans="1:9" ht="15" customHeight="1" x14ac:dyDescent="0.25">
      <c r="A3995" s="7">
        <v>3994</v>
      </c>
      <c r="B3995" s="1">
        <v>43670</v>
      </c>
      <c r="C3995" s="6" t="s">
        <v>32</v>
      </c>
      <c r="D3995" s="6" t="s">
        <v>9</v>
      </c>
      <c r="E3995" s="6">
        <v>3</v>
      </c>
      <c r="F3995" s="6">
        <v>0</v>
      </c>
      <c r="G3995" s="6" t="s">
        <v>17</v>
      </c>
      <c r="H3995" s="6" t="s">
        <v>18</v>
      </c>
      <c r="I3995" s="6">
        <f>TabJogos[[#This Row],[PontosTime1]]-TabJogos[[#This Row],[PontosTime2]]</f>
        <v>3</v>
      </c>
    </row>
    <row r="3996" spans="1:9" ht="15" customHeight="1" x14ac:dyDescent="0.25">
      <c r="A3996" s="7">
        <v>3995</v>
      </c>
      <c r="B3996" s="1">
        <v>43670</v>
      </c>
      <c r="C3996" s="6" t="s">
        <v>9</v>
      </c>
      <c r="D3996" s="6" t="s">
        <v>11</v>
      </c>
      <c r="E3996" s="6">
        <v>3</v>
      </c>
      <c r="F3996" s="6">
        <v>0</v>
      </c>
      <c r="G3996" s="6" t="s">
        <v>17</v>
      </c>
      <c r="H3996" s="6" t="s">
        <v>32</v>
      </c>
      <c r="I3996" s="6">
        <f>TabJogos[[#This Row],[PontosTime1]]-TabJogos[[#This Row],[PontosTime2]]</f>
        <v>3</v>
      </c>
    </row>
    <row r="3997" spans="1:9" ht="15" customHeight="1" x14ac:dyDescent="0.25">
      <c r="A3997" s="7">
        <v>3996</v>
      </c>
      <c r="B3997" s="1">
        <v>43670</v>
      </c>
      <c r="C3997" s="6" t="s">
        <v>9</v>
      </c>
      <c r="D3997" s="6" t="s">
        <v>18</v>
      </c>
      <c r="E3997" s="6">
        <v>3</v>
      </c>
      <c r="F3997" s="6">
        <v>1</v>
      </c>
      <c r="G3997" s="6" t="s">
        <v>11</v>
      </c>
      <c r="H3997" s="6" t="s">
        <v>17</v>
      </c>
      <c r="I3997" s="6">
        <f>TabJogos[[#This Row],[PontosTime1]]-TabJogos[[#This Row],[PontosTime2]]</f>
        <v>2</v>
      </c>
    </row>
    <row r="3998" spans="1:9" ht="15" customHeight="1" x14ac:dyDescent="0.25">
      <c r="A3998" s="7">
        <v>3997</v>
      </c>
      <c r="B3998" s="1">
        <v>43670</v>
      </c>
      <c r="C3998" s="6" t="s">
        <v>9</v>
      </c>
      <c r="D3998" s="6" t="s">
        <v>17</v>
      </c>
      <c r="E3998" s="6">
        <v>3</v>
      </c>
      <c r="F3998" s="6">
        <v>1</v>
      </c>
      <c r="G3998" s="6" t="s">
        <v>18</v>
      </c>
      <c r="H3998" s="6" t="s">
        <v>11</v>
      </c>
      <c r="I3998" s="6">
        <f>TabJogos[[#This Row],[PontosTime1]]-TabJogos[[#This Row],[PontosTime2]]</f>
        <v>2</v>
      </c>
    </row>
    <row r="3999" spans="1:9" ht="15" customHeight="1" x14ac:dyDescent="0.25">
      <c r="A3999" s="7">
        <v>3998</v>
      </c>
      <c r="B3999" s="1">
        <v>43670</v>
      </c>
      <c r="C3999" s="6" t="s">
        <v>9</v>
      </c>
      <c r="D3999" s="6" t="s">
        <v>11</v>
      </c>
      <c r="E3999" s="6">
        <v>3</v>
      </c>
      <c r="F3999" s="6">
        <v>0</v>
      </c>
      <c r="G3999" s="6" t="s">
        <v>17</v>
      </c>
      <c r="H3999" s="6" t="s">
        <v>18</v>
      </c>
      <c r="I3999" s="6">
        <f>TabJogos[[#This Row],[PontosTime1]]-TabJogos[[#This Row],[PontosTime2]]</f>
        <v>3</v>
      </c>
    </row>
    <row r="4000" spans="1:9" ht="15" customHeight="1" x14ac:dyDescent="0.25">
      <c r="A4000" s="7">
        <v>3999</v>
      </c>
      <c r="B4000" s="1">
        <v>43670</v>
      </c>
      <c r="C4000" s="6" t="s">
        <v>11</v>
      </c>
      <c r="D4000" s="6" t="s">
        <v>17</v>
      </c>
      <c r="E4000" s="6">
        <v>3</v>
      </c>
      <c r="F4000" s="6">
        <v>2</v>
      </c>
      <c r="G4000" s="6" t="s">
        <v>9</v>
      </c>
      <c r="H4000" s="6" t="s">
        <v>18</v>
      </c>
      <c r="I4000" s="6">
        <f>TabJogos[[#This Row],[PontosTime1]]-TabJogos[[#This Row],[PontosTime2]]</f>
        <v>1</v>
      </c>
    </row>
    <row r="4001" spans="1:9" ht="15" customHeight="1" x14ac:dyDescent="0.25">
      <c r="A4001" s="7">
        <v>4000</v>
      </c>
      <c r="B4001" s="1">
        <v>43670</v>
      </c>
      <c r="C4001" s="6" t="s">
        <v>11</v>
      </c>
      <c r="D4001" s="6" t="s">
        <v>18</v>
      </c>
      <c r="E4001" s="6">
        <v>4</v>
      </c>
      <c r="F4001" s="6">
        <v>0</v>
      </c>
      <c r="G4001" s="6" t="s">
        <v>9</v>
      </c>
      <c r="H4001" s="6" t="s">
        <v>17</v>
      </c>
      <c r="I4001" s="6">
        <f>TabJogos[[#This Row],[PontosTime1]]-TabJogos[[#This Row],[PontosTime2]]</f>
        <v>4</v>
      </c>
    </row>
    <row r="4002" spans="1:9" ht="15" customHeight="1" x14ac:dyDescent="0.25">
      <c r="A4002" s="7">
        <v>4001</v>
      </c>
      <c r="B4002" s="1">
        <v>43670</v>
      </c>
      <c r="C4002" s="6" t="s">
        <v>11</v>
      </c>
      <c r="D4002" s="6" t="s">
        <v>9</v>
      </c>
      <c r="E4002" s="6">
        <v>2</v>
      </c>
      <c r="F4002" s="6">
        <v>4</v>
      </c>
      <c r="G4002" s="6" t="s">
        <v>18</v>
      </c>
      <c r="H4002" s="6" t="s">
        <v>17</v>
      </c>
      <c r="I4002" s="6">
        <f>TabJogos[[#This Row],[PontosTime1]]-TabJogos[[#This Row],[PontosTime2]]</f>
        <v>-2</v>
      </c>
    </row>
    <row r="4003" spans="1:9" ht="15" customHeight="1" x14ac:dyDescent="0.25">
      <c r="A4003" s="7">
        <v>4002</v>
      </c>
      <c r="B4003" s="1">
        <v>43672</v>
      </c>
      <c r="C4003" s="6" t="s">
        <v>17</v>
      </c>
      <c r="D4003" s="6" t="s">
        <v>18</v>
      </c>
      <c r="E4003" s="6">
        <v>3</v>
      </c>
      <c r="F4003" s="6">
        <v>1</v>
      </c>
      <c r="G4003" s="6" t="s">
        <v>11</v>
      </c>
      <c r="H4003" s="6" t="s">
        <v>9</v>
      </c>
      <c r="I4003" s="6">
        <f>TabJogos[[#This Row],[PontosTime1]]-TabJogos[[#This Row],[PontosTime2]]</f>
        <v>2</v>
      </c>
    </row>
    <row r="4004" spans="1:9" ht="15" customHeight="1" x14ac:dyDescent="0.25">
      <c r="A4004" s="7">
        <v>4003</v>
      </c>
      <c r="B4004" s="1">
        <v>43672</v>
      </c>
      <c r="C4004" s="6" t="s">
        <v>11</v>
      </c>
      <c r="D4004" s="6" t="s">
        <v>17</v>
      </c>
      <c r="E4004" s="6">
        <v>3</v>
      </c>
      <c r="F4004" s="6">
        <v>2</v>
      </c>
      <c r="G4004" s="6" t="s">
        <v>9</v>
      </c>
      <c r="H4004" s="6" t="s">
        <v>18</v>
      </c>
      <c r="I4004" s="6">
        <f>TabJogos[[#This Row],[PontosTime1]]-TabJogos[[#This Row],[PontosTime2]]</f>
        <v>1</v>
      </c>
    </row>
    <row r="4005" spans="1:9" ht="15" customHeight="1" x14ac:dyDescent="0.25">
      <c r="A4005" s="7">
        <v>4004</v>
      </c>
      <c r="B4005" s="1">
        <v>43672</v>
      </c>
      <c r="C4005" s="6" t="s">
        <v>11</v>
      </c>
      <c r="D4005" s="6" t="s">
        <v>18</v>
      </c>
      <c r="E4005" s="6">
        <v>2</v>
      </c>
      <c r="F4005" s="6">
        <v>3</v>
      </c>
      <c r="G4005" s="6" t="s">
        <v>17</v>
      </c>
      <c r="H4005" s="6" t="s">
        <v>9</v>
      </c>
      <c r="I4005" s="6">
        <f>TabJogos[[#This Row],[PontosTime1]]-TabJogos[[#This Row],[PontosTime2]]</f>
        <v>-1</v>
      </c>
    </row>
    <row r="4006" spans="1:9" ht="15" customHeight="1" x14ac:dyDescent="0.25">
      <c r="A4006" s="7">
        <v>4005</v>
      </c>
      <c r="B4006" s="1">
        <v>43672</v>
      </c>
      <c r="C4006" s="6" t="s">
        <v>11</v>
      </c>
      <c r="D4006" s="6" t="s">
        <v>9</v>
      </c>
      <c r="E4006" s="6">
        <v>1</v>
      </c>
      <c r="F4006" s="6">
        <v>4</v>
      </c>
      <c r="G4006" s="6" t="s">
        <v>17</v>
      </c>
      <c r="H4006" s="6" t="s">
        <v>18</v>
      </c>
      <c r="I4006" s="6">
        <f>TabJogos[[#This Row],[PontosTime1]]-TabJogos[[#This Row],[PontosTime2]]</f>
        <v>-3</v>
      </c>
    </row>
    <row r="4007" spans="1:9" ht="15" customHeight="1" x14ac:dyDescent="0.25">
      <c r="A4007" s="7">
        <v>4006</v>
      </c>
      <c r="B4007" s="1">
        <v>43672</v>
      </c>
      <c r="C4007" s="6" t="s">
        <v>11</v>
      </c>
      <c r="D4007" s="6" t="s">
        <v>17</v>
      </c>
      <c r="E4007" s="6">
        <v>3</v>
      </c>
      <c r="F4007" s="6">
        <v>2</v>
      </c>
      <c r="G4007" s="6" t="s">
        <v>9</v>
      </c>
      <c r="H4007" s="6" t="s">
        <v>18</v>
      </c>
      <c r="I4007" s="6">
        <f>TabJogos[[#This Row],[PontosTime1]]-TabJogos[[#This Row],[PontosTime2]]</f>
        <v>1</v>
      </c>
    </row>
    <row r="4008" spans="1:9" ht="15" customHeight="1" x14ac:dyDescent="0.25">
      <c r="A4008" s="7">
        <v>4007</v>
      </c>
      <c r="B4008" s="1">
        <v>43672</v>
      </c>
      <c r="C4008" s="6" t="s">
        <v>11</v>
      </c>
      <c r="D4008" s="6" t="s">
        <v>18</v>
      </c>
      <c r="E4008" s="6">
        <v>1</v>
      </c>
      <c r="F4008" s="6">
        <v>3</v>
      </c>
      <c r="G4008" s="6" t="s">
        <v>17</v>
      </c>
      <c r="H4008" s="6" t="s">
        <v>9</v>
      </c>
      <c r="I4008" s="6">
        <f>TabJogos[[#This Row],[PontosTime1]]-TabJogos[[#This Row],[PontosTime2]]</f>
        <v>-2</v>
      </c>
    </row>
    <row r="4009" spans="1:9" ht="15" customHeight="1" x14ac:dyDescent="0.25">
      <c r="A4009" s="7">
        <v>4008</v>
      </c>
      <c r="B4009" s="1">
        <v>43672</v>
      </c>
      <c r="C4009" s="6" t="s">
        <v>9</v>
      </c>
      <c r="D4009" s="6" t="s">
        <v>11</v>
      </c>
      <c r="E4009" s="6">
        <v>3</v>
      </c>
      <c r="F4009" s="6">
        <v>1</v>
      </c>
      <c r="G4009" s="6" t="s">
        <v>17</v>
      </c>
      <c r="H4009" s="6" t="s">
        <v>18</v>
      </c>
      <c r="I4009" s="6">
        <f>TabJogos[[#This Row],[PontosTime1]]-TabJogos[[#This Row],[PontosTime2]]</f>
        <v>2</v>
      </c>
    </row>
    <row r="4010" spans="1:9" ht="15" customHeight="1" x14ac:dyDescent="0.25">
      <c r="A4010" s="7">
        <v>4009</v>
      </c>
      <c r="B4010" s="1">
        <v>43672</v>
      </c>
      <c r="C4010" s="6" t="s">
        <v>11</v>
      </c>
      <c r="D4010" s="6" t="s">
        <v>17</v>
      </c>
      <c r="E4010" s="6">
        <v>3</v>
      </c>
      <c r="F4010" s="6">
        <v>0</v>
      </c>
      <c r="G4010" s="6" t="s">
        <v>9</v>
      </c>
      <c r="H4010" s="6" t="s">
        <v>18</v>
      </c>
      <c r="I4010" s="6">
        <f>TabJogos[[#This Row],[PontosTime1]]-TabJogos[[#This Row],[PontosTime2]]</f>
        <v>3</v>
      </c>
    </row>
    <row r="4011" spans="1:9" ht="15" customHeight="1" x14ac:dyDescent="0.25">
      <c r="A4011" s="7">
        <v>4010</v>
      </c>
      <c r="B4011" s="1">
        <v>43672</v>
      </c>
      <c r="C4011" s="6" t="s">
        <v>11</v>
      </c>
      <c r="D4011" s="6" t="s">
        <v>18</v>
      </c>
      <c r="E4011" s="6">
        <v>0</v>
      </c>
      <c r="F4011" s="6">
        <v>3</v>
      </c>
      <c r="G4011" s="6" t="s">
        <v>17</v>
      </c>
      <c r="H4011" s="6" t="s">
        <v>9</v>
      </c>
      <c r="I4011" s="6">
        <f>TabJogos[[#This Row],[PontosTime1]]-TabJogos[[#This Row],[PontosTime2]]</f>
        <v>-3</v>
      </c>
    </row>
    <row r="4012" spans="1:9" ht="15" customHeight="1" x14ac:dyDescent="0.25">
      <c r="A4012" s="7">
        <v>4011</v>
      </c>
      <c r="B4012" s="1">
        <v>43672</v>
      </c>
      <c r="C4012" s="6" t="s">
        <v>11</v>
      </c>
      <c r="D4012" s="6" t="s">
        <v>9</v>
      </c>
      <c r="E4012" s="6">
        <v>2</v>
      </c>
      <c r="F4012" s="6">
        <v>3</v>
      </c>
      <c r="G4012" s="6" t="s">
        <v>17</v>
      </c>
      <c r="H4012" s="6" t="s">
        <v>18</v>
      </c>
      <c r="I4012" s="6">
        <f>TabJogos[[#This Row],[PontosTime1]]-TabJogos[[#This Row],[PontosTime2]]</f>
        <v>-1</v>
      </c>
    </row>
    <row r="4013" spans="1:9" ht="15" customHeight="1" x14ac:dyDescent="0.25">
      <c r="A4013" s="7">
        <v>4012</v>
      </c>
      <c r="B4013" s="1">
        <v>43672</v>
      </c>
      <c r="C4013" s="6" t="s">
        <v>11</v>
      </c>
      <c r="D4013" s="6" t="s">
        <v>17</v>
      </c>
      <c r="E4013" s="6">
        <v>2</v>
      </c>
      <c r="F4013" s="6">
        <v>3</v>
      </c>
      <c r="G4013" s="6" t="s">
        <v>18</v>
      </c>
      <c r="H4013" s="6" t="s">
        <v>9</v>
      </c>
      <c r="I4013" s="6">
        <f>TabJogos[[#This Row],[PontosTime1]]-TabJogos[[#This Row],[PontosTime2]]</f>
        <v>-1</v>
      </c>
    </row>
    <row r="4014" spans="1:9" ht="15" customHeight="1" x14ac:dyDescent="0.25">
      <c r="A4014" s="7">
        <v>4013</v>
      </c>
      <c r="B4014" s="1">
        <v>43672</v>
      </c>
      <c r="C4014" s="6" t="s">
        <v>11</v>
      </c>
      <c r="D4014" s="6" t="s">
        <v>18</v>
      </c>
      <c r="E4014" s="6">
        <v>3</v>
      </c>
      <c r="F4014" s="6">
        <v>2</v>
      </c>
      <c r="G4014" s="6" t="s">
        <v>17</v>
      </c>
      <c r="H4014" s="6" t="s">
        <v>9</v>
      </c>
      <c r="I4014" s="6">
        <f>TabJogos[[#This Row],[PontosTime1]]-TabJogos[[#This Row],[PontosTime2]]</f>
        <v>1</v>
      </c>
    </row>
    <row r="4015" spans="1:9" ht="15" customHeight="1" x14ac:dyDescent="0.25">
      <c r="A4015" s="7">
        <v>4014</v>
      </c>
      <c r="B4015" s="1">
        <v>43676</v>
      </c>
      <c r="C4015" s="6" t="s">
        <v>18</v>
      </c>
      <c r="D4015" s="6" t="s">
        <v>41</v>
      </c>
      <c r="E4015" s="6">
        <v>3</v>
      </c>
      <c r="F4015" s="6">
        <v>2</v>
      </c>
      <c r="G4015" s="6" t="s">
        <v>17</v>
      </c>
      <c r="H4015" s="6" t="s">
        <v>15</v>
      </c>
      <c r="I4015" s="6">
        <f>TabJogos[[#This Row],[PontosTime1]]-TabJogos[[#This Row],[PontosTime2]]</f>
        <v>1</v>
      </c>
    </row>
    <row r="4016" spans="1:9" ht="15" customHeight="1" x14ac:dyDescent="0.25">
      <c r="A4016" s="7">
        <v>4015</v>
      </c>
      <c r="B4016" s="1">
        <v>43676</v>
      </c>
      <c r="C4016" s="6" t="s">
        <v>18</v>
      </c>
      <c r="D4016" s="6" t="s">
        <v>27</v>
      </c>
      <c r="E4016" s="6">
        <v>3</v>
      </c>
      <c r="F4016" s="6">
        <v>2</v>
      </c>
      <c r="G4016" s="6" t="s">
        <v>41</v>
      </c>
      <c r="H4016" s="6" t="s">
        <v>32</v>
      </c>
      <c r="I4016" s="6">
        <f>TabJogos[[#This Row],[PontosTime1]]-TabJogos[[#This Row],[PontosTime2]]</f>
        <v>1</v>
      </c>
    </row>
    <row r="4017" spans="1:9" ht="15" customHeight="1" x14ac:dyDescent="0.25">
      <c r="A4017" s="7">
        <v>4016</v>
      </c>
      <c r="B4017" s="1">
        <v>43676</v>
      </c>
      <c r="C4017" s="6" t="s">
        <v>27</v>
      </c>
      <c r="D4017" s="6" t="s">
        <v>17</v>
      </c>
      <c r="E4017" s="6">
        <v>1</v>
      </c>
      <c r="F4017" s="6">
        <v>5</v>
      </c>
      <c r="G4017" s="6" t="s">
        <v>15</v>
      </c>
      <c r="H4017" s="6" t="s">
        <v>18</v>
      </c>
      <c r="I4017" s="6">
        <f>TabJogos[[#This Row],[PontosTime1]]-TabJogos[[#This Row],[PontosTime2]]</f>
        <v>-4</v>
      </c>
    </row>
    <row r="4018" spans="1:9" ht="15" customHeight="1" x14ac:dyDescent="0.25">
      <c r="A4018" s="7">
        <v>4017</v>
      </c>
      <c r="B4018" s="1">
        <v>43676</v>
      </c>
      <c r="C4018" s="6" t="s">
        <v>11</v>
      </c>
      <c r="D4018" s="6" t="s">
        <v>15</v>
      </c>
      <c r="E4018" s="6">
        <v>2</v>
      </c>
      <c r="F4018" s="6">
        <v>3</v>
      </c>
      <c r="G4018" s="6" t="s">
        <v>18</v>
      </c>
      <c r="H4018" s="6" t="s">
        <v>9</v>
      </c>
      <c r="I4018" s="6">
        <f>TabJogos[[#This Row],[PontosTime1]]-TabJogos[[#This Row],[PontosTime2]]</f>
        <v>-1</v>
      </c>
    </row>
    <row r="4019" spans="1:9" ht="15" customHeight="1" x14ac:dyDescent="0.25">
      <c r="A4019" s="7">
        <v>4018</v>
      </c>
      <c r="B4019" s="1">
        <v>43676</v>
      </c>
      <c r="C4019" s="6" t="s">
        <v>27</v>
      </c>
      <c r="D4019" s="6" t="s">
        <v>9</v>
      </c>
      <c r="E4019" s="6">
        <v>1</v>
      </c>
      <c r="F4019" s="6">
        <v>3</v>
      </c>
      <c r="G4019" s="6" t="s">
        <v>18</v>
      </c>
      <c r="H4019" s="6" t="s">
        <v>41</v>
      </c>
      <c r="I4019" s="6">
        <f>TabJogos[[#This Row],[PontosTime1]]-TabJogos[[#This Row],[PontosTime2]]</f>
        <v>-2</v>
      </c>
    </row>
    <row r="4020" spans="1:9" ht="15" customHeight="1" x14ac:dyDescent="0.25">
      <c r="A4020" s="7">
        <v>4019</v>
      </c>
      <c r="B4020" s="1">
        <v>43676</v>
      </c>
      <c r="C4020" s="6" t="s">
        <v>17</v>
      </c>
      <c r="D4020" s="6" t="s">
        <v>18</v>
      </c>
      <c r="E4020" s="6">
        <v>3</v>
      </c>
      <c r="F4020" s="6">
        <v>0</v>
      </c>
      <c r="G4020" s="6" t="s">
        <v>15</v>
      </c>
      <c r="H4020" s="6" t="s">
        <v>41</v>
      </c>
      <c r="I4020" s="6">
        <f>TabJogos[[#This Row],[PontosTime1]]-TabJogos[[#This Row],[PontosTime2]]</f>
        <v>3</v>
      </c>
    </row>
    <row r="4021" spans="1:9" ht="15" customHeight="1" x14ac:dyDescent="0.25">
      <c r="A4021" s="7">
        <v>4020</v>
      </c>
      <c r="B4021" s="1">
        <v>43676</v>
      </c>
      <c r="C4021" s="6" t="s">
        <v>13</v>
      </c>
      <c r="D4021" s="6" t="s">
        <v>18</v>
      </c>
      <c r="E4021" s="6">
        <v>3</v>
      </c>
      <c r="F4021" s="6">
        <v>0</v>
      </c>
      <c r="G4021" s="6" t="s">
        <v>11</v>
      </c>
      <c r="H4021" s="6" t="s">
        <v>17</v>
      </c>
      <c r="I4021" s="6">
        <f>TabJogos[[#This Row],[PontosTime1]]-TabJogos[[#This Row],[PontosTime2]]</f>
        <v>3</v>
      </c>
    </row>
    <row r="4022" spans="1:9" ht="15" customHeight="1" x14ac:dyDescent="0.25">
      <c r="A4022" s="7">
        <v>4021</v>
      </c>
      <c r="B4022" s="1">
        <v>43676</v>
      </c>
      <c r="C4022" s="6" t="s">
        <v>13</v>
      </c>
      <c r="D4022" s="6" t="s">
        <v>41</v>
      </c>
      <c r="E4022" s="6">
        <v>0</v>
      </c>
      <c r="F4022" s="6">
        <v>4</v>
      </c>
      <c r="G4022" s="6" t="s">
        <v>18</v>
      </c>
      <c r="H4022" s="6" t="s">
        <v>15</v>
      </c>
      <c r="I4022" s="6">
        <f>TabJogos[[#This Row],[PontosTime1]]-TabJogos[[#This Row],[PontosTime2]]</f>
        <v>-4</v>
      </c>
    </row>
    <row r="4023" spans="1:9" ht="15" customHeight="1" x14ac:dyDescent="0.25">
      <c r="A4023" s="7">
        <v>4022</v>
      </c>
      <c r="B4023" s="1">
        <v>43676</v>
      </c>
      <c r="C4023" s="6" t="s">
        <v>11</v>
      </c>
      <c r="D4023" s="6" t="s">
        <v>18</v>
      </c>
      <c r="E4023" s="6">
        <v>5</v>
      </c>
      <c r="F4023" s="6">
        <v>0</v>
      </c>
      <c r="G4023" s="6" t="s">
        <v>17</v>
      </c>
      <c r="H4023" s="6" t="s">
        <v>15</v>
      </c>
      <c r="I4023" s="6">
        <f>TabJogos[[#This Row],[PontosTime1]]-TabJogos[[#This Row],[PontosTime2]]</f>
        <v>5</v>
      </c>
    </row>
    <row r="4024" spans="1:9" ht="15" customHeight="1" x14ac:dyDescent="0.25">
      <c r="A4024" s="7">
        <v>4023</v>
      </c>
      <c r="B4024" s="1">
        <v>43676</v>
      </c>
      <c r="C4024" s="6" t="s">
        <v>11</v>
      </c>
      <c r="D4024" s="6" t="s">
        <v>13</v>
      </c>
      <c r="E4024" s="6">
        <v>3</v>
      </c>
      <c r="F4024" s="6">
        <v>1</v>
      </c>
      <c r="G4024" s="6" t="s">
        <v>41</v>
      </c>
      <c r="H4024" s="6" t="s">
        <v>18</v>
      </c>
      <c r="I4024" s="6">
        <f>TabJogos[[#This Row],[PontosTime1]]-TabJogos[[#This Row],[PontosTime2]]</f>
        <v>2</v>
      </c>
    </row>
    <row r="4025" spans="1:9" ht="15" customHeight="1" x14ac:dyDescent="0.25">
      <c r="A4025" s="7">
        <v>4024</v>
      </c>
      <c r="B4025" s="1">
        <v>43676</v>
      </c>
      <c r="C4025" s="6" t="s">
        <v>17</v>
      </c>
      <c r="D4025" s="6" t="s">
        <v>13</v>
      </c>
      <c r="E4025" s="6">
        <v>0</v>
      </c>
      <c r="F4025" s="6">
        <v>4</v>
      </c>
      <c r="G4025" s="6" t="s">
        <v>11</v>
      </c>
      <c r="H4025" s="6" t="s">
        <v>18</v>
      </c>
      <c r="I4025" s="6">
        <f>TabJogos[[#This Row],[PontosTime1]]-TabJogos[[#This Row],[PontosTime2]]</f>
        <v>-4</v>
      </c>
    </row>
    <row r="4026" spans="1:9" ht="15" customHeight="1" x14ac:dyDescent="0.25">
      <c r="A4026" s="7">
        <v>4025</v>
      </c>
      <c r="B4026" s="1">
        <v>43676</v>
      </c>
      <c r="C4026" s="6" t="s">
        <v>11</v>
      </c>
      <c r="D4026" s="6" t="s">
        <v>17</v>
      </c>
      <c r="E4026" s="6">
        <v>2</v>
      </c>
      <c r="F4026" s="6">
        <v>3</v>
      </c>
      <c r="G4026" s="6" t="s">
        <v>18</v>
      </c>
      <c r="H4026" s="6" t="s">
        <v>13</v>
      </c>
      <c r="I4026" s="6">
        <f>TabJogos[[#This Row],[PontosTime1]]-TabJogos[[#This Row],[PontosTime2]]</f>
        <v>-1</v>
      </c>
    </row>
    <row r="4027" spans="1:9" ht="15" customHeight="1" x14ac:dyDescent="0.25">
      <c r="A4027" s="7">
        <v>4026</v>
      </c>
      <c r="B4027" s="1">
        <v>43676</v>
      </c>
      <c r="C4027" s="6" t="s">
        <v>17</v>
      </c>
      <c r="D4027" s="6" t="s">
        <v>18</v>
      </c>
      <c r="E4027" s="6">
        <v>5</v>
      </c>
      <c r="F4027" s="6">
        <v>1</v>
      </c>
      <c r="G4027" s="6" t="s">
        <v>13</v>
      </c>
      <c r="H4027" s="6" t="s">
        <v>11</v>
      </c>
      <c r="I4027" s="6">
        <f>TabJogos[[#This Row],[PontosTime1]]-TabJogos[[#This Row],[PontosTime2]]</f>
        <v>4</v>
      </c>
    </row>
    <row r="4028" spans="1:9" ht="15" customHeight="1" x14ac:dyDescent="0.25">
      <c r="A4028" s="7">
        <v>4027</v>
      </c>
      <c r="B4028" s="1">
        <v>43676</v>
      </c>
      <c r="C4028" s="6" t="s">
        <v>11</v>
      </c>
      <c r="D4028" s="6" t="s">
        <v>18</v>
      </c>
      <c r="E4028" s="6">
        <v>2</v>
      </c>
      <c r="F4028" s="6">
        <v>4</v>
      </c>
      <c r="G4028" s="6" t="s">
        <v>17</v>
      </c>
      <c r="H4028" s="6" t="s">
        <v>13</v>
      </c>
      <c r="I4028" s="6">
        <f>TabJogos[[#This Row],[PontosTime1]]-TabJogos[[#This Row],[PontosTime2]]</f>
        <v>-2</v>
      </c>
    </row>
    <row r="4029" spans="1:9" ht="15" customHeight="1" x14ac:dyDescent="0.25">
      <c r="A4029" s="7">
        <v>4028</v>
      </c>
      <c r="B4029" s="1">
        <v>43676</v>
      </c>
      <c r="C4029" s="6" t="s">
        <v>11</v>
      </c>
      <c r="D4029" s="6" t="s">
        <v>17</v>
      </c>
      <c r="E4029" s="6">
        <v>2</v>
      </c>
      <c r="F4029" s="6">
        <v>3</v>
      </c>
      <c r="G4029" s="6" t="s">
        <v>13</v>
      </c>
      <c r="H4029" s="6" t="s">
        <v>18</v>
      </c>
      <c r="I4029" s="6">
        <f>TabJogos[[#This Row],[PontosTime1]]-TabJogos[[#This Row],[PontosTime2]]</f>
        <v>-1</v>
      </c>
    </row>
    <row r="4030" spans="1:9" ht="15" customHeight="1" x14ac:dyDescent="0.25">
      <c r="A4030" s="7">
        <v>4029</v>
      </c>
      <c r="B4030" s="1">
        <v>43676</v>
      </c>
      <c r="C4030" s="6" t="s">
        <v>11</v>
      </c>
      <c r="D4030" s="6" t="s">
        <v>13</v>
      </c>
      <c r="E4030" s="6">
        <v>3</v>
      </c>
      <c r="F4030" s="6">
        <v>1</v>
      </c>
      <c r="G4030" s="6" t="s">
        <v>18</v>
      </c>
      <c r="H4030" s="6" t="s">
        <v>17</v>
      </c>
      <c r="I4030" s="6">
        <f>TabJogos[[#This Row],[PontosTime1]]-TabJogos[[#This Row],[PontosTime2]]</f>
        <v>2</v>
      </c>
    </row>
    <row r="4031" spans="1:9" ht="15" customHeight="1" x14ac:dyDescent="0.25">
      <c r="I4031" s="6"/>
    </row>
    <row r="4032" spans="1:9" ht="15" customHeight="1" x14ac:dyDescent="0.25">
      <c r="I4032" s="6"/>
    </row>
    <row r="4033" spans="9:9" ht="15" customHeight="1" x14ac:dyDescent="0.25">
      <c r="I4033" s="6"/>
    </row>
    <row r="4034" spans="9:9" ht="15" customHeight="1" x14ac:dyDescent="0.25">
      <c r="I4034" s="6"/>
    </row>
    <row r="4035" spans="9:9" ht="15" customHeight="1" x14ac:dyDescent="0.25">
      <c r="I4035" s="6"/>
    </row>
    <row r="4036" spans="9:9" ht="15" customHeight="1" x14ac:dyDescent="0.25">
      <c r="I4036" s="6"/>
    </row>
    <row r="4037" spans="9:9" ht="15" customHeight="1" x14ac:dyDescent="0.25">
      <c r="I4037" s="6"/>
    </row>
    <row r="4038" spans="9:9" ht="15" customHeight="1" x14ac:dyDescent="0.25">
      <c r="I4038" s="6"/>
    </row>
    <row r="4039" spans="9:9" ht="15" customHeight="1" x14ac:dyDescent="0.25">
      <c r="I4039" s="6"/>
    </row>
    <row r="4040" spans="9:9" ht="15" customHeight="1" x14ac:dyDescent="0.25">
      <c r="I4040" s="6"/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766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418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348</v>
      </c>
      <c r="E3" s="3">
        <f t="shared" ca="1" si="0"/>
        <v>70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65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164</v>
      </c>
      <c r="H3" s="4">
        <f t="shared" ca="1" si="1"/>
        <v>0.54569190600522188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54.569190600522191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694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374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320</v>
      </c>
      <c r="E4" s="3">
        <f t="shared" ca="1" si="0"/>
        <v>54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87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150</v>
      </c>
      <c r="H4" s="4">
        <f t="shared" ca="1" si="1"/>
        <v>0.5389048991354467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53.89048991354467</v>
      </c>
      <c r="L4" s="12" t="s">
        <v>54</v>
      </c>
      <c r="M4" s="14">
        <f ca="1">EOMONTH(TODAY(),0)</f>
        <v>43677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1343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728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615</v>
      </c>
      <c r="E5" s="3">
        <f t="shared" ca="1" si="0"/>
        <v>113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107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401</v>
      </c>
      <c r="H5" s="4">
        <f t="shared" ca="1" si="1"/>
        <v>0.54206999255398358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54.206999255398358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1251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666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585</v>
      </c>
      <c r="E6" s="3">
        <f t="shared" ca="1" si="0"/>
        <v>81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119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187</v>
      </c>
      <c r="H6" s="4">
        <f t="shared" ca="1" si="1"/>
        <v>0.53237410071942448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53.237410071942449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383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192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191</v>
      </c>
      <c r="E7" s="3">
        <f t="shared" ca="1" si="0"/>
        <v>1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34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10</v>
      </c>
      <c r="H7" s="4">
        <f t="shared" ca="1" si="1"/>
        <v>0.50130548302872058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50.130548302872057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2537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1343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1194</v>
      </c>
      <c r="E8" s="3">
        <f t="shared" ca="1" si="0"/>
        <v>149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245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505</v>
      </c>
      <c r="H8" s="4">
        <f t="shared" ca="1" si="1"/>
        <v>0.52936539219550649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52.936539219550646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2121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1065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1056</v>
      </c>
      <c r="E9" s="3">
        <f t="shared" ca="1" si="0"/>
        <v>9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191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52</v>
      </c>
      <c r="H9" s="4">
        <f t="shared" ca="1" si="1"/>
        <v>0.50212164073550214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50.212164073550213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928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454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474</v>
      </c>
      <c r="E10" s="3">
        <f t="shared" ca="1" si="0"/>
        <v>-20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70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-68</v>
      </c>
      <c r="H10" s="4">
        <f t="shared" ca="1" si="1"/>
        <v>0.48922413793103448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48.922413793103445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1118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546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572</v>
      </c>
      <c r="E12" s="3">
        <f t="shared" ca="1" si="0"/>
        <v>-26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114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-51</v>
      </c>
      <c r="H12" s="4">
        <f t="shared" ca="1" si="1"/>
        <v>0.48837209302325579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48.837209302325576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640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316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324</v>
      </c>
      <c r="E14" s="3">
        <f t="shared" ca="1" si="0"/>
        <v>-8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75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-36</v>
      </c>
      <c r="H14" s="4">
        <f t="shared" ca="1" si="1"/>
        <v>0.49375000000000002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49.375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614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280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334</v>
      </c>
      <c r="E15" s="3">
        <f t="shared" ca="1" si="0"/>
        <v>-54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66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-126</v>
      </c>
      <c r="H15" s="4">
        <f t="shared" ca="1" si="1"/>
        <v>0.4560260586319218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45.602605863192181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2299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999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1300</v>
      </c>
      <c r="E17" s="3">
        <f t="shared" ca="1" si="0"/>
        <v>-301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191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-1012</v>
      </c>
      <c r="H17" s="4">
        <f t="shared" ca="1" si="1"/>
        <v>0.43453675511091777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43.453675511091774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476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207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269</v>
      </c>
      <c r="E18" s="3">
        <f t="shared" ca="1" si="0"/>
        <v>-62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34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-201</v>
      </c>
      <c r="H18" s="4">
        <f t="shared" ca="1" si="1"/>
        <v>0.43487394957983194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43.487394957983192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28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12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-17</v>
      </c>
      <c r="H26" s="4">
        <f t="shared" ca="1" si="1"/>
        <v>0.42857142857142855</v>
      </c>
      <c r="I26" s="27">
        <f ca="1">IF(TabResultados3[[#This Row],[Jogos]]&lt;20,0,IF(TabResultados3[[#This Row],[Jogos]]&lt;=40,0.9+0.1*(TabResultados3[[#This Row],[Jogos]]-20)/20,1))</f>
        <v>0.94000000000000006</v>
      </c>
      <c r="J26" s="22">
        <f ca="1">100*TabResultados3[[#This Row],[Aprov]]*TabResultados3[[#This Row],[KJogos]]</f>
        <v>40.285714285714285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0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2019-07-31T14:26:17Z</dcterms:modified>
  <cp:category/>
  <cp:contentStatus/>
</cp:coreProperties>
</file>
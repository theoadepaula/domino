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E94ABA7C-376F-4B70-9EFF-F7765731D95B}" xr6:coauthVersionLast="44" xr6:coauthVersionMax="44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339" i="3" l="1"/>
  <c r="I4340" i="3"/>
  <c r="I4341" i="3"/>
  <c r="I4342" i="3"/>
  <c r="I4343" i="3"/>
  <c r="I4344" i="3"/>
  <c r="I4345" i="3"/>
  <c r="I4346" i="3"/>
  <c r="I4347" i="3"/>
  <c r="I4348" i="3"/>
  <c r="I4349" i="3"/>
  <c r="I4350" i="3"/>
  <c r="I4351" i="3"/>
  <c r="I4337" i="3" l="1"/>
  <c r="I4338" i="3"/>
  <c r="I4298" i="3"/>
  <c r="I4299" i="3"/>
  <c r="I4300" i="3"/>
  <c r="I4301" i="3"/>
  <c r="I4302" i="3"/>
  <c r="I4303" i="3"/>
  <c r="I4304" i="3"/>
  <c r="I4305" i="3"/>
  <c r="I4306" i="3"/>
  <c r="I4307" i="3"/>
  <c r="I4308" i="3"/>
  <c r="I4335" i="3" l="1"/>
  <c r="I4336" i="3"/>
  <c r="I4317" i="3"/>
  <c r="I4318" i="3"/>
  <c r="I4319" i="3"/>
  <c r="I4320" i="3"/>
  <c r="I4321" i="3"/>
  <c r="I4322" i="3"/>
  <c r="I4323" i="3"/>
  <c r="I4324" i="3"/>
  <c r="I4325" i="3"/>
  <c r="I4326" i="3"/>
  <c r="I4327" i="3"/>
  <c r="I4328" i="3"/>
  <c r="I4329" i="3"/>
  <c r="I4330" i="3"/>
  <c r="I4331" i="3"/>
  <c r="I4332" i="3"/>
  <c r="I4333" i="3"/>
  <c r="I4334" i="3"/>
  <c r="I4275" i="3"/>
  <c r="I4276" i="3"/>
  <c r="I4277" i="3"/>
  <c r="I4278" i="3"/>
  <c r="I4279" i="3"/>
  <c r="I4280" i="3"/>
  <c r="I4281" i="3"/>
  <c r="I4282" i="3"/>
  <c r="I4283" i="3"/>
  <c r="I4284" i="3"/>
  <c r="I4285" i="3"/>
  <c r="I4286" i="3"/>
  <c r="I4287" i="3"/>
  <c r="I4288" i="3"/>
  <c r="I4289" i="3"/>
  <c r="I4290" i="3"/>
  <c r="I4291" i="3"/>
  <c r="I4292" i="3"/>
  <c r="I4293" i="3"/>
  <c r="I4294" i="3"/>
  <c r="I4295" i="3"/>
  <c r="I4296" i="3"/>
  <c r="I4297" i="3"/>
  <c r="I4309" i="3"/>
  <c r="I4310" i="3"/>
  <c r="I4311" i="3"/>
  <c r="I4312" i="3"/>
  <c r="I4313" i="3"/>
  <c r="I4314" i="3"/>
  <c r="I4315" i="3"/>
  <c r="I4316" i="3"/>
  <c r="I4273" i="3" l="1"/>
  <c r="I4262" i="3"/>
  <c r="I4263" i="3"/>
  <c r="I4264" i="3"/>
  <c r="I4265" i="3"/>
  <c r="I4266" i="3"/>
  <c r="I4267" i="3"/>
  <c r="I4268" i="3"/>
  <c r="I4269" i="3"/>
  <c r="I4270" i="3"/>
  <c r="I4271" i="3"/>
  <c r="I4272" i="3"/>
  <c r="I4274" i="3"/>
  <c r="I4252" i="3"/>
  <c r="I4253" i="3"/>
  <c r="I4254" i="3"/>
  <c r="I4255" i="3"/>
  <c r="I4256" i="3"/>
  <c r="I4257" i="3"/>
  <c r="I4258" i="3"/>
  <c r="I4259" i="3"/>
  <c r="I4260" i="3"/>
  <c r="I4261" i="3"/>
  <c r="I4237" i="3" l="1"/>
  <c r="I4238" i="3"/>
  <c r="I4239" i="3"/>
  <c r="I4240" i="3"/>
  <c r="I4241" i="3"/>
  <c r="I4242" i="3"/>
  <c r="I4243" i="3"/>
  <c r="I4244" i="3"/>
  <c r="I4245" i="3"/>
  <c r="I4246" i="3"/>
  <c r="I4247" i="3"/>
  <c r="I4248" i="3"/>
  <c r="I4249" i="3"/>
  <c r="I4250" i="3"/>
  <c r="I4251" i="3"/>
  <c r="I4225" i="3" l="1"/>
  <c r="I4226" i="3"/>
  <c r="I4227" i="3"/>
  <c r="I4228" i="3"/>
  <c r="I4229" i="3"/>
  <c r="I4230" i="3"/>
  <c r="I4231" i="3"/>
  <c r="I4232" i="3"/>
  <c r="I4233" i="3"/>
  <c r="I4234" i="3"/>
  <c r="I4235" i="3"/>
  <c r="I4236" i="3"/>
  <c r="I4215" i="3" l="1"/>
  <c r="I4216" i="3"/>
  <c r="I4217" i="3"/>
  <c r="I4218" i="3"/>
  <c r="I4219" i="3"/>
  <c r="I4220" i="3"/>
  <c r="I4221" i="3"/>
  <c r="I4222" i="3"/>
  <c r="I4223" i="3"/>
  <c r="I4224" i="3"/>
  <c r="I4204" i="3" l="1"/>
  <c r="I4205" i="3"/>
  <c r="I4206" i="3"/>
  <c r="I4207" i="3"/>
  <c r="I4208" i="3"/>
  <c r="I4209" i="3"/>
  <c r="I4210" i="3"/>
  <c r="I4211" i="3"/>
  <c r="I4212" i="3"/>
  <c r="I4213" i="3"/>
  <c r="I4214" i="3"/>
  <c r="I4192" i="3" l="1"/>
  <c r="I4193" i="3"/>
  <c r="I4194" i="3"/>
  <c r="I4195" i="3"/>
  <c r="I4196" i="3"/>
  <c r="I4197" i="3"/>
  <c r="I4198" i="3"/>
  <c r="I4199" i="3"/>
  <c r="I4200" i="3"/>
  <c r="I4201" i="3"/>
  <c r="I4202" i="3"/>
  <c r="I4203" i="3"/>
  <c r="I4180" i="3" l="1"/>
  <c r="I4181" i="3"/>
  <c r="I4182" i="3"/>
  <c r="I4183" i="3"/>
  <c r="I4184" i="3"/>
  <c r="I4185" i="3"/>
  <c r="I4186" i="3"/>
  <c r="I4187" i="3"/>
  <c r="I4188" i="3"/>
  <c r="I4189" i="3"/>
  <c r="I4190" i="3"/>
  <c r="I4191" i="3"/>
  <c r="I4170" i="3" l="1"/>
  <c r="I4171" i="3"/>
  <c r="I4172" i="3"/>
  <c r="I4173" i="3"/>
  <c r="I4174" i="3"/>
  <c r="I4175" i="3"/>
  <c r="I4176" i="3"/>
  <c r="I4177" i="3"/>
  <c r="I4178" i="3"/>
  <c r="I4179" i="3"/>
  <c r="I4165" i="3" l="1"/>
  <c r="I4166" i="3"/>
  <c r="I4167" i="3"/>
  <c r="I4168" i="3"/>
  <c r="I4169" i="3"/>
  <c r="I4143" i="3"/>
  <c r="I4144" i="3"/>
  <c r="I4145" i="3"/>
  <c r="I4146" i="3"/>
  <c r="I4147" i="3"/>
  <c r="I4148" i="3"/>
  <c r="I4149" i="3"/>
  <c r="I4150" i="3"/>
  <c r="I4151" i="3"/>
  <c r="I4152" i="3"/>
  <c r="I4153" i="3"/>
  <c r="I4154" i="3"/>
  <c r="I4155" i="3"/>
  <c r="I4156" i="3"/>
  <c r="I4157" i="3"/>
  <c r="I4158" i="3"/>
  <c r="I4159" i="3"/>
  <c r="I4160" i="3"/>
  <c r="I4161" i="3"/>
  <c r="I4162" i="3"/>
  <c r="I4163" i="3"/>
  <c r="I4164" i="3"/>
  <c r="I4132" i="3" l="1"/>
  <c r="I4133" i="3"/>
  <c r="I4134" i="3"/>
  <c r="I4135" i="3"/>
  <c r="I4136" i="3"/>
  <c r="I4137" i="3"/>
  <c r="I4138" i="3"/>
  <c r="I4139" i="3"/>
  <c r="I4140" i="3"/>
  <c r="I4141" i="3"/>
  <c r="I4142" i="3"/>
  <c r="I4121" i="3" l="1"/>
  <c r="I4122" i="3"/>
  <c r="I4123" i="3"/>
  <c r="I4124" i="3"/>
  <c r="I4125" i="3"/>
  <c r="I4126" i="3"/>
  <c r="I4127" i="3"/>
  <c r="I4128" i="3"/>
  <c r="I4129" i="3"/>
  <c r="I4130" i="3"/>
  <c r="I4131" i="3"/>
  <c r="I4114" i="3" l="1"/>
  <c r="I4115" i="3"/>
  <c r="I4116" i="3"/>
  <c r="I4117" i="3"/>
  <c r="I4118" i="3"/>
  <c r="I4119" i="3"/>
  <c r="I4120" i="3"/>
  <c r="I4105" i="3" l="1"/>
  <c r="I4106" i="3"/>
  <c r="I4107" i="3"/>
  <c r="I4108" i="3"/>
  <c r="I4109" i="3"/>
  <c r="I4110" i="3"/>
  <c r="I4111" i="3"/>
  <c r="I4112" i="3"/>
  <c r="I4113" i="3"/>
  <c r="I4083" i="3"/>
  <c r="I4084" i="3"/>
  <c r="I4085" i="3"/>
  <c r="I4086" i="3"/>
  <c r="I4087" i="3"/>
  <c r="I4088" i="3"/>
  <c r="I4089" i="3"/>
  <c r="I4090" i="3"/>
  <c r="I4091" i="3"/>
  <c r="I4092" i="3"/>
  <c r="I4093" i="3"/>
  <c r="I4094" i="3"/>
  <c r="I4095" i="3"/>
  <c r="I4096" i="3"/>
  <c r="I4097" i="3"/>
  <c r="I4098" i="3"/>
  <c r="I4099" i="3"/>
  <c r="I4100" i="3"/>
  <c r="I4101" i="3"/>
  <c r="I4102" i="3"/>
  <c r="I4103" i="3"/>
  <c r="I4104" i="3"/>
  <c r="I4073" i="3" l="1"/>
  <c r="I4074" i="3"/>
  <c r="I4075" i="3"/>
  <c r="I4076" i="3"/>
  <c r="I4077" i="3"/>
  <c r="I4078" i="3"/>
  <c r="I4079" i="3"/>
  <c r="I4080" i="3"/>
  <c r="I4081" i="3"/>
  <c r="I4082" i="3"/>
  <c r="I4057" i="3" l="1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40" i="3" l="1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31" i="3" l="1"/>
  <c r="I4032" i="3"/>
  <c r="I4033" i="3"/>
  <c r="I4034" i="3"/>
  <c r="I4035" i="3"/>
  <c r="I4036" i="3"/>
  <c r="I4037" i="3"/>
  <c r="I4038" i="3"/>
  <c r="I4039" i="3"/>
  <c r="I4003" i="3" l="1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3991" i="3" l="1"/>
  <c r="I3992" i="3"/>
  <c r="I3993" i="3"/>
  <c r="I3994" i="3"/>
  <c r="I3995" i="3"/>
  <c r="I3996" i="3"/>
  <c r="I3997" i="3"/>
  <c r="I3998" i="3"/>
  <c r="I3999" i="3"/>
  <c r="I4000" i="3"/>
  <c r="I4001" i="3"/>
  <c r="I4002" i="3"/>
  <c r="I3973" i="3" l="1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69" i="3" l="1"/>
  <c r="I3970" i="3"/>
  <c r="I3971" i="3"/>
  <c r="I3972" i="3"/>
  <c r="I3958" i="3"/>
  <c r="I3959" i="3"/>
  <c r="I3960" i="3"/>
  <c r="I3961" i="3"/>
  <c r="I3962" i="3"/>
  <c r="I3963" i="3"/>
  <c r="I3964" i="3"/>
  <c r="I3965" i="3"/>
  <c r="I3966" i="3"/>
  <c r="I3967" i="3"/>
  <c r="I3968" i="3"/>
  <c r="I3947" i="3" l="1"/>
  <c r="I3948" i="3"/>
  <c r="I3949" i="3"/>
  <c r="I3950" i="3"/>
  <c r="I3951" i="3"/>
  <c r="I3952" i="3"/>
  <c r="I3953" i="3"/>
  <c r="I3954" i="3"/>
  <c r="I3955" i="3"/>
  <c r="I3956" i="3"/>
  <c r="I3957" i="3"/>
  <c r="I3932" i="3" l="1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29" i="3" l="1"/>
  <c r="I3930" i="3"/>
  <c r="I3931" i="3"/>
  <c r="I3918" i="3" l="1"/>
  <c r="I3919" i="3"/>
  <c r="I3920" i="3"/>
  <c r="I3921" i="3"/>
  <c r="I3922" i="3"/>
  <c r="I3923" i="3"/>
  <c r="I3924" i="3"/>
  <c r="I3925" i="3"/>
  <c r="I3926" i="3"/>
  <c r="I3927" i="3"/>
  <c r="I3928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886" i="3" l="1"/>
  <c r="I3887" i="3"/>
  <c r="I3888" i="3"/>
  <c r="I3889" i="3"/>
  <c r="I3890" i="3"/>
  <c r="I3891" i="3"/>
  <c r="I3892" i="3"/>
  <c r="I3893" i="3"/>
  <c r="I3831" i="3" l="1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781" i="3" l="1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2" i="3"/>
  <c r="I3783" i="3"/>
  <c r="I3784" i="3"/>
  <c r="I3785" i="3"/>
  <c r="I3786" i="3"/>
  <c r="I3787" i="3"/>
  <c r="I3788" i="3"/>
  <c r="I3789" i="3"/>
  <c r="I3790" i="3"/>
  <c r="I3731" i="3" l="1"/>
  <c r="I3720" i="3"/>
  <c r="I3721" i="3"/>
  <c r="I3722" i="3"/>
  <c r="I3723" i="3"/>
  <c r="I3724" i="3"/>
  <c r="I3725" i="3"/>
  <c r="I3726" i="3"/>
  <c r="I3727" i="3"/>
  <c r="I3728" i="3"/>
  <c r="I3729" i="3"/>
  <c r="I3730" i="3"/>
  <c r="I3713" i="3" l="1"/>
  <c r="I3714" i="3"/>
  <c r="I3715" i="3"/>
  <c r="I3716" i="3"/>
  <c r="I3717" i="3"/>
  <c r="I3718" i="3"/>
  <c r="I3719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673" i="3" l="1"/>
  <c r="I3674" i="3"/>
  <c r="I3675" i="3"/>
  <c r="I3676" i="3"/>
  <c r="I3677" i="3"/>
  <c r="I3678" i="3"/>
  <c r="I3679" i="3"/>
  <c r="I3680" i="3"/>
  <c r="I3671" i="3" l="1"/>
  <c r="I3672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<sst xmlns="http://schemas.openxmlformats.org/spreadsheetml/2006/main" count="17450" uniqueCount="64">
  <si>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</si>
  <si>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</si>
  <si>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</si>
  <si>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</si>
  <si>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</si>
  <si>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</si>
  <si>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</si>
  <si>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</si>
  <si>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</si>
  <si>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</si>
  <si>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</si>
  <si>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</si>
  <si>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</si>
  <si>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</si>
  <si>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</si>
  <si>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</si>
  <si>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</si>
  <si>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</si>
  <si>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</si>
  <si>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</si>
  <si>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</si>
  <si>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</si>
  <si>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</si>
  <si>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</si>
  <si>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</si>
  <si>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</si>
  <si>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</si>
  <si>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</si>
  <si>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</si>
  <si>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</si>
  <si>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</si>
  <si>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</si>
  <si>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</si>
  <si>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</si>
  <si>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</si>
  <si>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</si>
  <si>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</si>
  <si>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</si>
  <si>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</si>
  <si>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</si>
  <si>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</si>
  <si>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</si>
  <si>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</si>
  <si>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</si>
  <si>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</si>
  <si>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</si>
  <si>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</si>
  <si>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</si>
  <si>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</si>
  <si>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</si>
  <si>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</si>
  <si>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</si>
  <si>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</si>
  <si>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</si>
  <si>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</si>
  <si>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</si>
  <si>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</si>
  <si>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</si>
  <si>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</si>
  <si>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</si>
  <si>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</si>
  <si>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Paulo Victor</t>
  </si>
  <si>
    <t>Carlos</t>
  </si>
  <si>
    <t xml:space="preserve"> Fabiana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</si>
</sst>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fill>
        <patternFill patternType="solid">
          <bgColor theme="2"/>
        </patternFill>
      </fill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4351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3">
      <calculatedColumnFormula>IFERROR(C2/B2,-0.000001)</calculatedColumnFormula>
    </tableColumn>
    <tableColumn id="15" xr3:uid="{00000000-0010-0000-0100-00000F000000}" name="KJogos" dataDxfId="2">
      <calculatedColumnFormula>_xlfn.FORECAST.LINEAR(TabResultados3[[#This Row],[Jogos]],$N$10:$N$11,$M$9:$M$11)</calculatedColumnFormula>
    </tableColumn>
    <tableColumn id="9" xr3:uid="{00000000-0010-0000-0100-000009000000}" name="Pontuação" dataDxfId="1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4351"/>
  <sheetViews>
    <sheetView tabSelected="1" zoomScaleNormal="100" workbookViewId="0">
      <pane ySplit="1" topLeftCell="A4333" activePane="bottomLeft" state="frozenSplit"/>
      <selection activeCell="D1" sqref="D1 D1"/>
      <selection pane="bottomLeft" activeCell="A4351" sqref="A4351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B3647" s="1">
        <v>43616</v>
      </c>
      <c r="C3647" s="6" t="s">
        <v>13</v>
      </c>
      <c r="D3647" s="6" t="s">
        <v>18</v>
      </c>
      <c r="E3647" s="6">
        <v>3</v>
      </c>
      <c r="F3647" s="6">
        <v>0</v>
      </c>
      <c r="G3647" s="6" t="s">
        <v>11</v>
      </c>
      <c r="H3647" s="6" t="s">
        <v>12</v>
      </c>
      <c r="I3647" s="6">
        <f>TabJogos[[#This Row],[PontosTime1]]-TabJogos[[#This Row],[PontosTime2]]</f>
        <v>3</v>
      </c>
    </row>
    <row r="3648" spans="1:9" ht="15" customHeight="1" x14ac:dyDescent="0.25">
      <c r="A3648" s="7">
        <v>3647</v>
      </c>
      <c r="B3648" s="1">
        <v>43616</v>
      </c>
      <c r="C3648" s="6" t="s">
        <v>11</v>
      </c>
      <c r="D3648" s="6" t="s">
        <v>13</v>
      </c>
      <c r="E3648" s="6">
        <v>1</v>
      </c>
      <c r="F3648" s="6">
        <v>6</v>
      </c>
      <c r="G3648" s="6" t="s">
        <v>10</v>
      </c>
      <c r="H3648" s="6" t="s">
        <v>18</v>
      </c>
      <c r="I3648" s="6">
        <f>TabJogos[[#This Row],[PontosTime1]]-TabJogos[[#This Row],[PontosTime2]]</f>
        <v>-5</v>
      </c>
    </row>
    <row r="3649" spans="1:9" ht="15" customHeight="1" x14ac:dyDescent="0.25">
      <c r="A3649" s="7">
        <v>3648</v>
      </c>
      <c r="B3649" s="1">
        <v>43616</v>
      </c>
      <c r="C3649" s="6" t="s">
        <v>10</v>
      </c>
      <c r="D3649" s="6" t="s">
        <v>13</v>
      </c>
      <c r="E3649" s="6">
        <v>3</v>
      </c>
      <c r="F3649" s="6">
        <v>2</v>
      </c>
      <c r="G3649" s="6" t="s">
        <v>18</v>
      </c>
      <c r="H3649" s="6" t="s">
        <v>9</v>
      </c>
      <c r="I3649" s="6">
        <f>TabJogos[[#This Row],[PontosTime1]]-TabJogos[[#This Row],[PontosTime2]]</f>
        <v>1</v>
      </c>
    </row>
    <row r="3650" spans="1:9" ht="15" customHeight="1" x14ac:dyDescent="0.25">
      <c r="A3650" s="7">
        <v>3649</v>
      </c>
      <c r="B3650" s="1">
        <v>43616</v>
      </c>
      <c r="C3650" s="6" t="s">
        <v>9</v>
      </c>
      <c r="D3650" s="6" t="s">
        <v>13</v>
      </c>
      <c r="E3650" s="6">
        <v>3</v>
      </c>
      <c r="F3650" s="6">
        <v>0</v>
      </c>
      <c r="G3650" s="6" t="s">
        <v>10</v>
      </c>
      <c r="H3650" s="6" t="s">
        <v>11</v>
      </c>
      <c r="I3650" s="6">
        <f>TabJogos[[#This Row],[PontosTime1]]-TabJogos[[#This Row],[PontosTime2]]</f>
        <v>3</v>
      </c>
    </row>
    <row r="3651" spans="1:9" ht="15" customHeight="1" x14ac:dyDescent="0.25">
      <c r="A3651" s="7">
        <v>3650</v>
      </c>
      <c r="B3651" s="1">
        <v>43616</v>
      </c>
      <c r="C3651" s="6" t="s">
        <v>9</v>
      </c>
      <c r="D3651" s="6" t="s">
        <v>11</v>
      </c>
      <c r="E3651" s="6">
        <v>5</v>
      </c>
      <c r="F3651" s="6">
        <v>1</v>
      </c>
      <c r="G3651" s="6" t="s">
        <v>13</v>
      </c>
      <c r="H3651" s="6" t="s">
        <v>18</v>
      </c>
      <c r="I3651" s="6">
        <f>TabJogos[[#This Row],[PontosTime1]]-TabJogos[[#This Row],[PontosTime2]]</f>
        <v>4</v>
      </c>
    </row>
    <row r="3652" spans="1:9" ht="15" customHeight="1" x14ac:dyDescent="0.25">
      <c r="A3652" s="7">
        <v>3651</v>
      </c>
      <c r="B3652" s="1">
        <v>43616</v>
      </c>
      <c r="C3652" s="6" t="s">
        <v>11</v>
      </c>
      <c r="D3652" s="6" t="s">
        <v>18</v>
      </c>
      <c r="E3652" s="6">
        <v>4</v>
      </c>
      <c r="F3652" s="6">
        <v>0</v>
      </c>
      <c r="G3652" s="6" t="s">
        <v>9</v>
      </c>
      <c r="H3652" s="6" t="s">
        <v>13</v>
      </c>
      <c r="I3652" s="6">
        <f>TabJogos[[#This Row],[PontosTime1]]-TabJogos[[#This Row],[PontosTime2]]</f>
        <v>4</v>
      </c>
    </row>
    <row r="3653" spans="1:9" ht="15" customHeight="1" x14ac:dyDescent="0.25">
      <c r="A3653" s="7">
        <v>3652</v>
      </c>
      <c r="B3653" s="1">
        <v>43616</v>
      </c>
      <c r="C3653" s="6" t="s">
        <v>11</v>
      </c>
      <c r="D3653" s="6" t="s">
        <v>13</v>
      </c>
      <c r="E3653" s="6">
        <v>1</v>
      </c>
      <c r="F3653" s="6">
        <v>3</v>
      </c>
      <c r="G3653" s="6" t="s">
        <v>18</v>
      </c>
      <c r="H3653" s="6" t="s">
        <v>9</v>
      </c>
      <c r="I3653" s="6">
        <f>TabJogos[[#This Row],[PontosTime1]]-TabJogos[[#This Row],[PontosTime2]]</f>
        <v>-2</v>
      </c>
    </row>
    <row r="3654" spans="1:9" ht="15" customHeight="1" x14ac:dyDescent="0.25">
      <c r="A3654" s="7">
        <v>3653</v>
      </c>
      <c r="B3654" s="1">
        <v>43616</v>
      </c>
      <c r="C3654" s="6" t="s">
        <v>9</v>
      </c>
      <c r="D3654" s="6" t="s">
        <v>11</v>
      </c>
      <c r="E3654" s="6">
        <v>3</v>
      </c>
      <c r="F3654" s="6">
        <v>1</v>
      </c>
      <c r="G3654" s="6" t="s">
        <v>13</v>
      </c>
      <c r="H3654" s="6" t="s">
        <v>18</v>
      </c>
      <c r="I3654" s="6">
        <f>TabJogos[[#This Row],[PontosTime1]]-TabJogos[[#This Row],[PontosTime2]]</f>
        <v>2</v>
      </c>
    </row>
    <row r="3655" spans="1:9" ht="15" customHeight="1" x14ac:dyDescent="0.25">
      <c r="A3655" s="7">
        <v>3654</v>
      </c>
      <c r="B3655" s="1">
        <v>43616</v>
      </c>
      <c r="C3655" s="6" t="s">
        <v>9</v>
      </c>
      <c r="D3655" s="6" t="s">
        <v>61</v>
      </c>
      <c r="E3655" s="6">
        <v>3</v>
      </c>
      <c r="F3655" s="6">
        <v>2</v>
      </c>
      <c r="G3655" s="6" t="s">
        <v>11</v>
      </c>
      <c r="H3655" s="6" t="s">
        <v>41</v>
      </c>
      <c r="I3655" s="6">
        <f>TabJogos[[#This Row],[PontosTime1]]-TabJogos[[#This Row],[PontosTime2]]</f>
        <v>1</v>
      </c>
    </row>
    <row r="3656" spans="1:9" ht="15" customHeight="1" x14ac:dyDescent="0.25">
      <c r="A3656" s="7">
        <v>3655</v>
      </c>
      <c r="B3656" s="1">
        <v>43616</v>
      </c>
      <c r="C3656" s="6" t="s">
        <v>61</v>
      </c>
      <c r="D3656" s="6" t="s">
        <v>18</v>
      </c>
      <c r="E3656" s="6">
        <v>1</v>
      </c>
      <c r="F3656" s="6">
        <v>3</v>
      </c>
      <c r="G3656" s="6" t="s">
        <v>17</v>
      </c>
      <c r="H3656" s="6" t="s">
        <v>9</v>
      </c>
      <c r="I3656" s="6">
        <f>TabJogos[[#This Row],[PontosTime1]]-TabJogos[[#This Row],[PontosTime2]]</f>
        <v>-2</v>
      </c>
    </row>
    <row r="3657" spans="1:9" ht="15" customHeight="1" x14ac:dyDescent="0.25">
      <c r="A3657" s="7">
        <v>3656</v>
      </c>
      <c r="B3657" s="1">
        <v>43616</v>
      </c>
      <c r="C3657" s="6" t="s">
        <v>11</v>
      </c>
      <c r="D3657" s="6" t="s">
        <v>17</v>
      </c>
      <c r="E3657" s="6">
        <v>3</v>
      </c>
      <c r="F3657" s="6">
        <v>0</v>
      </c>
      <c r="G3657" s="6" t="s">
        <v>9</v>
      </c>
      <c r="H3657" s="6" t="s">
        <v>13</v>
      </c>
      <c r="I3657" s="6">
        <f>TabJogos[[#This Row],[PontosTime1]]-TabJogos[[#This Row],[PontosTime2]]</f>
        <v>3</v>
      </c>
    </row>
    <row r="3658" spans="1:9" ht="15" customHeight="1" x14ac:dyDescent="0.25">
      <c r="A3658" s="7">
        <v>3657</v>
      </c>
      <c r="B3658" s="1">
        <v>43616</v>
      </c>
      <c r="C3658" s="6" t="s">
        <v>41</v>
      </c>
      <c r="D3658" s="6" t="s">
        <v>17</v>
      </c>
      <c r="E3658" s="6">
        <v>3</v>
      </c>
      <c r="F3658" s="6">
        <v>2</v>
      </c>
      <c r="G3658" s="6" t="s">
        <v>61</v>
      </c>
      <c r="H3658" s="6" t="s">
        <v>11</v>
      </c>
      <c r="I3658" s="6">
        <f>TabJogos[[#This Row],[PontosTime1]]-TabJogos[[#This Row],[PontosTime2]]</f>
        <v>1</v>
      </c>
    </row>
    <row r="3659" spans="1:9" ht="15" customHeight="1" x14ac:dyDescent="0.25">
      <c r="A3659" s="7">
        <v>3658</v>
      </c>
      <c r="B3659" s="1">
        <v>43616</v>
      </c>
      <c r="C3659" s="6" t="s">
        <v>9</v>
      </c>
      <c r="D3659" s="6" t="s">
        <v>11</v>
      </c>
      <c r="E3659" s="6">
        <v>4</v>
      </c>
      <c r="F3659" s="6">
        <v>0</v>
      </c>
      <c r="G3659" s="6" t="s">
        <v>13</v>
      </c>
      <c r="H3659" s="6" t="s">
        <v>17</v>
      </c>
      <c r="I3659" s="6">
        <f>TabJogos[[#This Row],[PontosTime1]]-TabJogos[[#This Row],[PontosTime2]]</f>
        <v>4</v>
      </c>
    </row>
    <row r="3660" spans="1:9" ht="15" customHeight="1" x14ac:dyDescent="0.25">
      <c r="A3660" s="7">
        <v>3659</v>
      </c>
      <c r="B3660" s="1">
        <v>43616</v>
      </c>
      <c r="C3660" s="6" t="s">
        <v>11</v>
      </c>
      <c r="D3660" s="6" t="s">
        <v>13</v>
      </c>
      <c r="E3660" s="6">
        <v>4</v>
      </c>
      <c r="F3660" s="6">
        <v>2</v>
      </c>
      <c r="G3660" s="6" t="s">
        <v>9</v>
      </c>
      <c r="H3660" s="6" t="s">
        <v>17</v>
      </c>
      <c r="I3660" s="6">
        <f>TabJogos[[#This Row],[PontosTime1]]-TabJogos[[#This Row],[PontosTime2]]</f>
        <v>2</v>
      </c>
    </row>
    <row r="3661" spans="1:9" ht="15" customHeight="1" x14ac:dyDescent="0.25">
      <c r="A3661" s="7">
        <v>3660</v>
      </c>
      <c r="B3661" s="1">
        <v>43616</v>
      </c>
      <c r="C3661" s="6" t="s">
        <v>11</v>
      </c>
      <c r="D3661" s="6" t="s">
        <v>17</v>
      </c>
      <c r="E3661" s="6">
        <v>3</v>
      </c>
      <c r="F3661" s="6">
        <v>0</v>
      </c>
      <c r="G3661" s="6" t="s">
        <v>9</v>
      </c>
      <c r="H3661" s="6" t="s">
        <v>13</v>
      </c>
      <c r="I3661" s="6">
        <f>TabJogos[[#This Row],[PontosTime1]]-TabJogos[[#This Row],[PontosTime2]]</f>
        <v>3</v>
      </c>
    </row>
    <row r="3662" spans="1:9" ht="15" customHeight="1" x14ac:dyDescent="0.25">
      <c r="A3662" s="7">
        <v>3661</v>
      </c>
      <c r="B3662" s="1">
        <v>43616</v>
      </c>
      <c r="C3662" s="6" t="s">
        <v>11</v>
      </c>
      <c r="D3662" s="6" t="s">
        <v>9</v>
      </c>
      <c r="E3662" s="6">
        <v>3</v>
      </c>
      <c r="F3662" s="6">
        <v>2</v>
      </c>
      <c r="G3662" s="6" t="s">
        <v>13</v>
      </c>
      <c r="H3662" s="6" t="s">
        <v>17</v>
      </c>
      <c r="I3662" s="6">
        <f>TabJogos[[#This Row],[PontosTime1]]-TabJogos[[#This Row],[PontosTime2]]</f>
        <v>1</v>
      </c>
    </row>
    <row r="3663" spans="1:9" ht="15" customHeight="1" x14ac:dyDescent="0.25">
      <c r="A3663" s="7">
        <v>3662</v>
      </c>
      <c r="B3663" s="1">
        <v>43619</v>
      </c>
      <c r="C3663" s="6" t="s">
        <v>18</v>
      </c>
      <c r="D3663" s="6" t="s">
        <v>11</v>
      </c>
      <c r="E3663" s="6">
        <v>1</v>
      </c>
      <c r="F3663" s="6">
        <v>4</v>
      </c>
      <c r="G3663" s="6" t="s">
        <v>32</v>
      </c>
      <c r="H3663" s="6" t="s">
        <v>13</v>
      </c>
      <c r="I3663" s="6">
        <f>TabJogos[[#This Row],[PontosTime1]]-TabJogos[[#This Row],[PontosTime2]]</f>
        <v>-3</v>
      </c>
    </row>
    <row r="3664" spans="1:9" ht="15" customHeight="1" x14ac:dyDescent="0.25">
      <c r="A3664" s="7">
        <v>3663</v>
      </c>
      <c r="B3664" s="1">
        <v>43619</v>
      </c>
      <c r="C3664" s="6" t="s">
        <v>41</v>
      </c>
      <c r="D3664" s="6" t="s">
        <v>32</v>
      </c>
      <c r="E3664" s="6">
        <v>3</v>
      </c>
      <c r="F3664" s="6">
        <v>1</v>
      </c>
      <c r="G3664" s="6" t="s">
        <v>13</v>
      </c>
      <c r="H3664" s="6" t="s">
        <v>11</v>
      </c>
      <c r="I3664" s="6">
        <f>TabJogos[[#This Row],[PontosTime1]]-TabJogos[[#This Row],[PontosTime2]]</f>
        <v>2</v>
      </c>
    </row>
    <row r="3665" spans="1:9" ht="15" customHeight="1" x14ac:dyDescent="0.25">
      <c r="A3665" s="7">
        <v>3664</v>
      </c>
      <c r="B3665" s="1">
        <v>43619</v>
      </c>
      <c r="C3665" s="6" t="s">
        <v>32</v>
      </c>
      <c r="D3665" s="6" t="s">
        <v>18</v>
      </c>
      <c r="E3665" s="6">
        <v>1</v>
      </c>
      <c r="F3665" s="6">
        <v>3</v>
      </c>
      <c r="G3665" s="6" t="s">
        <v>41</v>
      </c>
      <c r="H3665" s="6" t="s">
        <v>13</v>
      </c>
      <c r="I3665" s="6">
        <f>TabJogos[[#This Row],[PontosTime1]]-TabJogos[[#This Row],[PontosTime2]]</f>
        <v>-2</v>
      </c>
    </row>
    <row r="3666" spans="1:9" ht="15" customHeight="1" x14ac:dyDescent="0.25">
      <c r="A3666" s="7">
        <v>3665</v>
      </c>
      <c r="B3666" s="1">
        <v>43619</v>
      </c>
      <c r="C3666" s="6" t="s">
        <v>11</v>
      </c>
      <c r="D3666" s="6" t="s">
        <v>41</v>
      </c>
      <c r="E3666" s="6">
        <v>3</v>
      </c>
      <c r="F3666" s="6">
        <v>2</v>
      </c>
      <c r="G3666" s="6" t="s">
        <v>13</v>
      </c>
      <c r="H3666" s="6" t="s">
        <v>32</v>
      </c>
      <c r="I3666" s="6">
        <f>TabJogos[[#This Row],[PontosTime1]]-TabJogos[[#This Row],[PontosTime2]]</f>
        <v>1</v>
      </c>
    </row>
    <row r="3667" spans="1:9" ht="15" customHeight="1" x14ac:dyDescent="0.25">
      <c r="A3667" s="7">
        <v>3666</v>
      </c>
      <c r="B3667" s="1">
        <v>43619</v>
      </c>
      <c r="C3667" s="6" t="s">
        <v>41</v>
      </c>
      <c r="D3667" s="6" t="s">
        <v>18</v>
      </c>
      <c r="E3667" s="6">
        <v>2</v>
      </c>
      <c r="F3667" s="6">
        <v>3</v>
      </c>
      <c r="G3667" s="6" t="s">
        <v>32</v>
      </c>
      <c r="H3667" s="6" t="s">
        <v>11</v>
      </c>
      <c r="I3667" s="6">
        <f>TabJogos[[#This Row],[PontosTime1]]-TabJogos[[#This Row],[PontosTime2]]</f>
        <v>-1</v>
      </c>
    </row>
    <row r="3668" spans="1:9" ht="15" customHeight="1" x14ac:dyDescent="0.25">
      <c r="A3668" s="7">
        <v>3667</v>
      </c>
      <c r="B3668" s="1">
        <v>43619</v>
      </c>
      <c r="C3668" s="6" t="s">
        <v>9</v>
      </c>
      <c r="D3668" s="6" t="s">
        <v>32</v>
      </c>
      <c r="E3668" s="6">
        <v>3</v>
      </c>
      <c r="F3668" s="6">
        <v>0</v>
      </c>
      <c r="G3668" s="6" t="s">
        <v>11</v>
      </c>
      <c r="H3668" s="6" t="s">
        <v>13</v>
      </c>
      <c r="I3668" s="6">
        <f>TabJogos[[#This Row],[PontosTime1]]-TabJogos[[#This Row],[PontosTime2]]</f>
        <v>3</v>
      </c>
    </row>
    <row r="3669" spans="1:9" ht="15" customHeight="1" x14ac:dyDescent="0.25">
      <c r="A3669" s="7">
        <v>3668</v>
      </c>
      <c r="B3669" s="1">
        <v>43619</v>
      </c>
      <c r="C3669" s="6" t="s">
        <v>18</v>
      </c>
      <c r="D3669" s="6" t="s">
        <v>32</v>
      </c>
      <c r="E3669" s="6">
        <v>5</v>
      </c>
      <c r="F3669" s="6">
        <v>2</v>
      </c>
      <c r="G3669" s="6" t="s">
        <v>9</v>
      </c>
      <c r="H3669" s="6" t="s">
        <v>41</v>
      </c>
      <c r="I3669" s="6">
        <f>TabJogos[[#This Row],[PontosTime1]]-TabJogos[[#This Row],[PontosTime2]]</f>
        <v>3</v>
      </c>
    </row>
    <row r="3670" spans="1:9" ht="15" customHeight="1" x14ac:dyDescent="0.25">
      <c r="A3670" s="7">
        <v>3669</v>
      </c>
      <c r="B3670" s="1">
        <v>43619</v>
      </c>
      <c r="C3670" s="6" t="s">
        <v>13</v>
      </c>
      <c r="D3670" s="6" t="s">
        <v>41</v>
      </c>
      <c r="E3670" s="6">
        <v>3</v>
      </c>
      <c r="F3670" s="6">
        <v>1</v>
      </c>
      <c r="G3670" s="6" t="s">
        <v>11</v>
      </c>
      <c r="H3670" s="6" t="s">
        <v>18</v>
      </c>
      <c r="I3670" s="6">
        <f>TabJogos[[#This Row],[PontosTime1]]-TabJogos[[#This Row],[PontosTime2]]</f>
        <v>2</v>
      </c>
    </row>
    <row r="3671" spans="1:9" ht="15" customHeight="1" x14ac:dyDescent="0.25">
      <c r="A3671" s="7">
        <v>3670</v>
      </c>
      <c r="B3671" s="1">
        <v>43619</v>
      </c>
      <c r="C3671" s="6" t="s">
        <v>11</v>
      </c>
      <c r="D3671" s="6" t="s">
        <v>41</v>
      </c>
      <c r="E3671" s="6">
        <v>1</v>
      </c>
      <c r="F3671" s="6">
        <v>3</v>
      </c>
      <c r="G3671" s="6" t="s">
        <v>9</v>
      </c>
      <c r="H3671" s="6" t="s">
        <v>13</v>
      </c>
      <c r="I3671" s="6">
        <f>TabJogos[[#This Row],[PontosTime1]]-TabJogos[[#This Row],[PontosTime2]]</f>
        <v>-2</v>
      </c>
    </row>
    <row r="3672" spans="1:9" ht="15" customHeight="1" x14ac:dyDescent="0.25">
      <c r="A3672" s="7">
        <v>3671</v>
      </c>
      <c r="B3672" s="1">
        <v>43619</v>
      </c>
      <c r="C3672" s="6" t="s">
        <v>18</v>
      </c>
      <c r="D3672" s="6" t="s">
        <v>41</v>
      </c>
      <c r="E3672" s="6">
        <v>3</v>
      </c>
      <c r="F3672" s="6">
        <v>2</v>
      </c>
      <c r="G3672" s="6" t="s">
        <v>11</v>
      </c>
      <c r="H3672" s="6" t="s">
        <v>13</v>
      </c>
      <c r="I3672" s="6">
        <f>TabJogos[[#This Row],[PontosTime1]]-TabJogos[[#This Row],[PontosTime2]]</f>
        <v>1</v>
      </c>
    </row>
    <row r="3673" spans="1:9" ht="15" customHeight="1" x14ac:dyDescent="0.25">
      <c r="A3673" s="7">
        <v>3672</v>
      </c>
      <c r="B3673" s="1">
        <v>43620</v>
      </c>
      <c r="C3673" s="6" t="s">
        <v>13</v>
      </c>
      <c r="D3673" s="6" t="s">
        <v>17</v>
      </c>
      <c r="E3673" s="6">
        <v>0</v>
      </c>
      <c r="F3673" s="6">
        <v>3</v>
      </c>
      <c r="G3673" s="6" t="s">
        <v>11</v>
      </c>
      <c r="H3673" s="6" t="s">
        <v>12</v>
      </c>
      <c r="I3673" s="6">
        <f>TabJogos[[#This Row],[PontosTime1]]-TabJogos[[#This Row],[PontosTime2]]</f>
        <v>-3</v>
      </c>
    </row>
    <row r="3674" spans="1:9" ht="15" customHeight="1" x14ac:dyDescent="0.25">
      <c r="A3674" s="7">
        <v>3673</v>
      </c>
      <c r="B3674" s="1">
        <v>43620</v>
      </c>
      <c r="C3674" s="6" t="s">
        <v>13</v>
      </c>
      <c r="D3674" s="6" t="s">
        <v>12</v>
      </c>
      <c r="E3674" s="6">
        <v>3</v>
      </c>
      <c r="F3674" s="6">
        <v>0</v>
      </c>
      <c r="G3674" s="6" t="s">
        <v>11</v>
      </c>
      <c r="H3674" s="6" t="s">
        <v>17</v>
      </c>
      <c r="I3674" s="6">
        <f>TabJogos[[#This Row],[PontosTime1]]-TabJogos[[#This Row],[PontosTime2]]</f>
        <v>3</v>
      </c>
    </row>
    <row r="3675" spans="1:9" ht="15" customHeight="1" x14ac:dyDescent="0.25">
      <c r="A3675" s="7">
        <v>3674</v>
      </c>
      <c r="B3675" s="1">
        <v>43620</v>
      </c>
      <c r="C3675" s="6" t="s">
        <v>9</v>
      </c>
      <c r="D3675" s="6" t="s">
        <v>32</v>
      </c>
      <c r="E3675" s="6">
        <v>3</v>
      </c>
      <c r="F3675" s="6">
        <v>1</v>
      </c>
      <c r="G3675" s="6" t="s">
        <v>13</v>
      </c>
      <c r="H3675" s="6" t="s">
        <v>11</v>
      </c>
      <c r="I3675" s="6">
        <f>TabJogos[[#This Row],[PontosTime1]]-TabJogos[[#This Row],[PontosTime2]]</f>
        <v>2</v>
      </c>
    </row>
    <row r="3676" spans="1:9" ht="15" customHeight="1" x14ac:dyDescent="0.25">
      <c r="A3676" s="7">
        <v>3675</v>
      </c>
      <c r="B3676" s="1">
        <v>43620</v>
      </c>
      <c r="C3676" s="6" t="s">
        <v>9</v>
      </c>
      <c r="D3676" s="6" t="s">
        <v>13</v>
      </c>
      <c r="E3676" s="6">
        <v>1</v>
      </c>
      <c r="F3676" s="6">
        <v>3</v>
      </c>
      <c r="G3676" s="6" t="s">
        <v>32</v>
      </c>
      <c r="H3676" s="6" t="s">
        <v>11</v>
      </c>
      <c r="I3676" s="6">
        <f>TabJogos[[#This Row],[PontosTime1]]-TabJogos[[#This Row],[PontosTime2]]</f>
        <v>-2</v>
      </c>
    </row>
    <row r="3677" spans="1:9" ht="15" customHeight="1" x14ac:dyDescent="0.25">
      <c r="A3677" s="7">
        <v>3676</v>
      </c>
      <c r="B3677" s="1">
        <v>43620</v>
      </c>
      <c r="C3677" s="6" t="s">
        <v>9</v>
      </c>
      <c r="D3677" s="6" t="s">
        <v>11</v>
      </c>
      <c r="E3677" s="6">
        <v>5</v>
      </c>
      <c r="F3677" s="6">
        <v>1</v>
      </c>
      <c r="G3677" s="6" t="s">
        <v>32</v>
      </c>
      <c r="H3677" s="6" t="s">
        <v>41</v>
      </c>
      <c r="I3677" s="6">
        <f>TabJogos[[#This Row],[PontosTime1]]-TabJogos[[#This Row],[PontosTime2]]</f>
        <v>4</v>
      </c>
    </row>
    <row r="3678" spans="1:9" ht="15" customHeight="1" x14ac:dyDescent="0.25">
      <c r="A3678" s="7">
        <v>3677</v>
      </c>
      <c r="B3678" s="1">
        <v>43620</v>
      </c>
      <c r="C3678" s="6" t="s">
        <v>9</v>
      </c>
      <c r="D3678" s="6" t="s">
        <v>32</v>
      </c>
      <c r="E3678" s="6">
        <v>3</v>
      </c>
      <c r="F3678" s="6">
        <v>1</v>
      </c>
      <c r="G3678" s="6" t="s">
        <v>13</v>
      </c>
      <c r="H3678" s="6" t="s">
        <v>11</v>
      </c>
      <c r="I3678" s="6">
        <f>TabJogos[[#This Row],[PontosTime1]]-TabJogos[[#This Row],[PontosTime2]]</f>
        <v>2</v>
      </c>
    </row>
    <row r="3679" spans="1:9" ht="15" customHeight="1" x14ac:dyDescent="0.25">
      <c r="A3679" s="7">
        <v>3678</v>
      </c>
      <c r="B3679" s="1">
        <v>43620</v>
      </c>
      <c r="C3679" s="6" t="s">
        <v>9</v>
      </c>
      <c r="D3679" s="6" t="s">
        <v>41</v>
      </c>
      <c r="E3679" s="6">
        <v>1</v>
      </c>
      <c r="F3679" s="6">
        <v>3</v>
      </c>
      <c r="G3679" s="6" t="s">
        <v>13</v>
      </c>
      <c r="H3679" s="6" t="s">
        <v>32</v>
      </c>
      <c r="I3679" s="6">
        <f>TabJogos[[#This Row],[PontosTime1]]-TabJogos[[#This Row],[PontosTime2]]</f>
        <v>-2</v>
      </c>
    </row>
    <row r="3680" spans="1:9" ht="15" customHeight="1" x14ac:dyDescent="0.25">
      <c r="A3680" s="7">
        <v>3679</v>
      </c>
      <c r="B3680" s="1">
        <v>43621</v>
      </c>
      <c r="C3680" s="6" t="s">
        <v>10</v>
      </c>
      <c r="D3680" s="6" t="s">
        <v>18</v>
      </c>
      <c r="E3680" s="6">
        <v>2</v>
      </c>
      <c r="F3680" s="6">
        <v>3</v>
      </c>
      <c r="G3680" s="6" t="s">
        <v>12</v>
      </c>
      <c r="H3680" s="6" t="s">
        <v>11</v>
      </c>
      <c r="I3680" s="6">
        <f>TabJogos[[#This Row],[PontosTime1]]-TabJogos[[#This Row],[PontosTime2]]</f>
        <v>-1</v>
      </c>
    </row>
    <row r="3681" spans="1:9" ht="15" customHeight="1" x14ac:dyDescent="0.25">
      <c r="A3681" s="7">
        <v>3680</v>
      </c>
      <c r="B3681" s="1">
        <v>43621</v>
      </c>
      <c r="C3681" s="6" t="s">
        <v>12</v>
      </c>
      <c r="D3681" s="6" t="s">
        <v>13</v>
      </c>
      <c r="E3681" s="6">
        <v>2</v>
      </c>
      <c r="F3681" s="6">
        <v>3</v>
      </c>
      <c r="G3681" s="6" t="s">
        <v>9</v>
      </c>
      <c r="H3681" s="6" t="s">
        <v>11</v>
      </c>
      <c r="I3681" s="6">
        <f>TabJogos[[#This Row],[PontosTime1]]-TabJogos[[#This Row],[PontosTime2]]</f>
        <v>-1</v>
      </c>
    </row>
    <row r="3682" spans="1:9" ht="15" customHeight="1" x14ac:dyDescent="0.25">
      <c r="A3682" s="7">
        <v>3681</v>
      </c>
      <c r="B3682" s="1">
        <v>43621</v>
      </c>
      <c r="C3682" s="6" t="s">
        <v>9</v>
      </c>
      <c r="D3682" s="6" t="s">
        <v>18</v>
      </c>
      <c r="E3682" s="6">
        <v>2</v>
      </c>
      <c r="F3682" s="6">
        <v>3</v>
      </c>
      <c r="G3682" s="6" t="s">
        <v>10</v>
      </c>
      <c r="H3682" s="6" t="s">
        <v>11</v>
      </c>
      <c r="I3682" s="6">
        <f>TabJogos[[#This Row],[PontosTime1]]-TabJogos[[#This Row],[PontosTime2]]</f>
        <v>-1</v>
      </c>
    </row>
    <row r="3683" spans="1:9" ht="15" customHeight="1" x14ac:dyDescent="0.25">
      <c r="A3683" s="7">
        <v>3682</v>
      </c>
      <c r="B3683" s="1">
        <v>43621</v>
      </c>
      <c r="C3683" s="6" t="s">
        <v>11</v>
      </c>
      <c r="D3683" s="6" t="s">
        <v>32</v>
      </c>
      <c r="E3683" s="6">
        <v>3</v>
      </c>
      <c r="F3683" s="6">
        <v>2</v>
      </c>
      <c r="G3683" s="6" t="s">
        <v>10</v>
      </c>
      <c r="H3683" s="6" t="s">
        <v>12</v>
      </c>
      <c r="I3683" s="6">
        <f>TabJogos[[#This Row],[PontosTime1]]-TabJogos[[#This Row],[PontosTime2]]</f>
        <v>1</v>
      </c>
    </row>
    <row r="3684" spans="1:9" ht="15" customHeight="1" x14ac:dyDescent="0.25">
      <c r="A3684" s="7">
        <v>3683</v>
      </c>
      <c r="B3684" s="1">
        <v>43621</v>
      </c>
      <c r="C3684" s="6" t="s">
        <v>11</v>
      </c>
      <c r="D3684" s="6" t="s">
        <v>18</v>
      </c>
      <c r="E3684" s="6">
        <v>2</v>
      </c>
      <c r="F3684" s="6">
        <v>3</v>
      </c>
      <c r="G3684" s="6" t="s">
        <v>32</v>
      </c>
      <c r="H3684" s="6" t="s">
        <v>13</v>
      </c>
      <c r="I3684" s="6">
        <f>TabJogos[[#This Row],[PontosTime1]]-TabJogos[[#This Row],[PontosTime2]]</f>
        <v>-1</v>
      </c>
    </row>
    <row r="3685" spans="1:9" ht="15" customHeight="1" x14ac:dyDescent="0.25">
      <c r="A3685" s="7">
        <v>3684</v>
      </c>
      <c r="B3685" s="1">
        <v>43621</v>
      </c>
      <c r="C3685" s="6" t="s">
        <v>32</v>
      </c>
      <c r="D3685" s="6" t="s">
        <v>10</v>
      </c>
      <c r="E3685" s="6">
        <v>3</v>
      </c>
      <c r="F3685" s="6">
        <v>2</v>
      </c>
      <c r="G3685" s="6" t="s">
        <v>13</v>
      </c>
      <c r="H3685" s="6" t="s">
        <v>9</v>
      </c>
      <c r="I3685" s="6">
        <f>TabJogos[[#This Row],[PontosTime1]]-TabJogos[[#This Row],[PontosTime2]]</f>
        <v>1</v>
      </c>
    </row>
    <row r="3686" spans="1:9" ht="15" customHeight="1" x14ac:dyDescent="0.25">
      <c r="A3686" s="7">
        <v>3685</v>
      </c>
      <c r="B3686" s="1">
        <v>43621</v>
      </c>
      <c r="C3686" s="6" t="s">
        <v>32</v>
      </c>
      <c r="D3686" s="6" t="s">
        <v>18</v>
      </c>
      <c r="E3686" s="6">
        <v>3</v>
      </c>
      <c r="F3686" s="6">
        <v>2</v>
      </c>
      <c r="G3686" s="6" t="s">
        <v>11</v>
      </c>
      <c r="H3686" s="6" t="s">
        <v>10</v>
      </c>
      <c r="I3686" s="6">
        <f>TabJogos[[#This Row],[PontosTime1]]-TabJogos[[#This Row],[PontosTime2]]</f>
        <v>1</v>
      </c>
    </row>
    <row r="3687" spans="1:9" ht="15" customHeight="1" x14ac:dyDescent="0.25">
      <c r="A3687" s="7">
        <v>3686</v>
      </c>
      <c r="B3687" s="1">
        <v>43621</v>
      </c>
      <c r="C3687" s="6" t="s">
        <v>11</v>
      </c>
      <c r="D3687" s="6" t="s">
        <v>32</v>
      </c>
      <c r="E3687" s="6">
        <v>3</v>
      </c>
      <c r="F3687" s="6">
        <v>2</v>
      </c>
      <c r="G3687" s="6" t="s">
        <v>18</v>
      </c>
      <c r="H3687" s="6" t="s">
        <v>13</v>
      </c>
      <c r="I3687" s="6">
        <f>TabJogos[[#This Row],[PontosTime1]]-TabJogos[[#This Row],[PontosTime2]]</f>
        <v>1</v>
      </c>
    </row>
    <row r="3688" spans="1:9" ht="15" customHeight="1" x14ac:dyDescent="0.25">
      <c r="A3688" s="7">
        <v>3687</v>
      </c>
      <c r="B3688" s="1">
        <v>43621</v>
      </c>
      <c r="C3688" s="6" t="s">
        <v>10</v>
      </c>
      <c r="D3688" s="6" t="s">
        <v>32</v>
      </c>
      <c r="E3688" s="6">
        <v>3</v>
      </c>
      <c r="F3688" s="6">
        <v>2</v>
      </c>
      <c r="G3688" s="6" t="s">
        <v>41</v>
      </c>
      <c r="H3688" s="6" t="s">
        <v>11</v>
      </c>
      <c r="I3688" s="6">
        <f>TabJogos[[#This Row],[PontosTime1]]-TabJogos[[#This Row],[PontosTime2]]</f>
        <v>1</v>
      </c>
    </row>
    <row r="3689" spans="1:9" ht="15" customHeight="1" x14ac:dyDescent="0.25">
      <c r="A3689" s="7">
        <v>3688</v>
      </c>
      <c r="B3689" s="1">
        <v>43621</v>
      </c>
      <c r="C3689" s="6" t="s">
        <v>13</v>
      </c>
      <c r="D3689" s="6" t="s">
        <v>32</v>
      </c>
      <c r="E3689" s="6">
        <v>3</v>
      </c>
      <c r="F3689" s="6">
        <v>2</v>
      </c>
      <c r="G3689" s="6" t="s">
        <v>10</v>
      </c>
      <c r="H3689" s="6" t="s">
        <v>18</v>
      </c>
      <c r="I3689" s="6">
        <f>TabJogos[[#This Row],[PontosTime1]]-TabJogos[[#This Row],[PontosTime2]]</f>
        <v>1</v>
      </c>
    </row>
    <row r="3690" spans="1:9" ht="15" customHeight="1" x14ac:dyDescent="0.25">
      <c r="A3690" s="7">
        <v>3689</v>
      </c>
      <c r="B3690" s="1">
        <v>43621</v>
      </c>
      <c r="C3690" s="6" t="s">
        <v>11</v>
      </c>
      <c r="D3690" s="6" t="s">
        <v>13</v>
      </c>
      <c r="E3690" s="6">
        <v>3</v>
      </c>
      <c r="F3690" s="6">
        <v>1</v>
      </c>
      <c r="G3690" s="6" t="s">
        <v>17</v>
      </c>
      <c r="H3690" s="6" t="s">
        <v>32</v>
      </c>
      <c r="I3690" s="6">
        <f>TabJogos[[#This Row],[PontosTime1]]-TabJogos[[#This Row],[PontosTime2]]</f>
        <v>2</v>
      </c>
    </row>
    <row r="3691" spans="1:9" ht="15" customHeight="1" x14ac:dyDescent="0.25">
      <c r="A3691" s="7">
        <v>3690</v>
      </c>
      <c r="B3691" s="1">
        <v>43621</v>
      </c>
      <c r="C3691" s="6" t="s">
        <v>18</v>
      </c>
      <c r="D3691" s="6" t="s">
        <v>13</v>
      </c>
      <c r="E3691" s="6">
        <v>3</v>
      </c>
      <c r="F3691" s="6">
        <v>2</v>
      </c>
      <c r="G3691" s="6" t="s">
        <v>11</v>
      </c>
      <c r="H3691" s="6" t="s">
        <v>17</v>
      </c>
      <c r="I3691" s="6">
        <f>TabJogos[[#This Row],[PontosTime1]]-TabJogos[[#This Row],[PontosTime2]]</f>
        <v>1</v>
      </c>
    </row>
    <row r="3692" spans="1:9" ht="15" customHeight="1" x14ac:dyDescent="0.25">
      <c r="A3692" s="7">
        <v>3691</v>
      </c>
      <c r="B3692" s="1">
        <v>43621</v>
      </c>
      <c r="C3692" s="6" t="s">
        <v>17</v>
      </c>
      <c r="D3692" s="6" t="s">
        <v>13</v>
      </c>
      <c r="E3692" s="6">
        <v>4</v>
      </c>
      <c r="F3692" s="6">
        <v>2</v>
      </c>
      <c r="G3692" s="6" t="s">
        <v>11</v>
      </c>
      <c r="H3692" s="6" t="s">
        <v>18</v>
      </c>
      <c r="I3692" s="6">
        <f>TabJogos[[#This Row],[PontosTime1]]-TabJogos[[#This Row],[PontosTime2]]</f>
        <v>2</v>
      </c>
    </row>
    <row r="3693" spans="1:9" ht="15" customHeight="1" x14ac:dyDescent="0.25">
      <c r="A3693" s="7">
        <v>3692</v>
      </c>
      <c r="B3693" s="1">
        <v>43621</v>
      </c>
      <c r="C3693" s="6" t="s">
        <v>11</v>
      </c>
      <c r="D3693" s="6" t="s">
        <v>13</v>
      </c>
      <c r="E3693" s="6">
        <v>3</v>
      </c>
      <c r="F3693" s="6">
        <v>2</v>
      </c>
      <c r="G3693" s="6" t="s">
        <v>17</v>
      </c>
      <c r="H3693" s="6" t="s">
        <v>18</v>
      </c>
      <c r="I3693" s="6">
        <f>TabJogos[[#This Row],[PontosTime1]]-TabJogos[[#This Row],[PontosTime2]]</f>
        <v>1</v>
      </c>
    </row>
    <row r="3694" spans="1:9" ht="15" customHeight="1" x14ac:dyDescent="0.25">
      <c r="A3694" s="7">
        <v>3693</v>
      </c>
      <c r="B3694" s="1">
        <v>43621</v>
      </c>
      <c r="C3694" s="6" t="s">
        <v>11</v>
      </c>
      <c r="D3694" s="6" t="s">
        <v>17</v>
      </c>
      <c r="E3694" s="6">
        <v>3</v>
      </c>
      <c r="F3694" s="6">
        <v>2</v>
      </c>
      <c r="G3694" s="6" t="s">
        <v>18</v>
      </c>
      <c r="H3694" s="6" t="s">
        <v>13</v>
      </c>
      <c r="I3694" s="6">
        <f>TabJogos[[#This Row],[PontosTime1]]-TabJogos[[#This Row],[PontosTime2]]</f>
        <v>1</v>
      </c>
    </row>
    <row r="3695" spans="1:9" ht="15" customHeight="1" x14ac:dyDescent="0.25">
      <c r="A3695" s="7">
        <v>3694</v>
      </c>
      <c r="B3695" s="1">
        <v>43622</v>
      </c>
      <c r="C3695" s="6" t="s">
        <v>11</v>
      </c>
      <c r="D3695" s="6" t="s">
        <v>12</v>
      </c>
      <c r="E3695" s="6">
        <v>3</v>
      </c>
      <c r="F3695" s="6">
        <v>2</v>
      </c>
      <c r="G3695" s="6" t="s">
        <v>13</v>
      </c>
      <c r="H3695" s="6" t="s">
        <v>17</v>
      </c>
      <c r="I3695" s="6">
        <f>TabJogos[[#This Row],[PontosTime1]]-TabJogos[[#This Row],[PontosTime2]]</f>
        <v>1</v>
      </c>
    </row>
    <row r="3696" spans="1:9" ht="15" customHeight="1" x14ac:dyDescent="0.25">
      <c r="A3696" s="7">
        <v>3695</v>
      </c>
      <c r="B3696" s="1">
        <v>43622</v>
      </c>
      <c r="C3696" s="6" t="s">
        <v>11</v>
      </c>
      <c r="D3696" s="6" t="s">
        <v>41</v>
      </c>
      <c r="E3696" s="6">
        <v>4</v>
      </c>
      <c r="F3696" s="6">
        <v>2</v>
      </c>
      <c r="G3696" s="6" t="s">
        <v>17</v>
      </c>
      <c r="H3696" s="6" t="s">
        <v>12</v>
      </c>
      <c r="I3696" s="6">
        <f>TabJogos[[#This Row],[PontosTime1]]-TabJogos[[#This Row],[PontosTime2]]</f>
        <v>2</v>
      </c>
    </row>
    <row r="3697" spans="1:9" ht="15" customHeight="1" x14ac:dyDescent="0.25">
      <c r="A3697" s="7">
        <v>3696</v>
      </c>
      <c r="B3697" s="1">
        <v>43622</v>
      </c>
      <c r="C3697" s="6" t="s">
        <v>11</v>
      </c>
      <c r="D3697" s="6" t="s">
        <v>13</v>
      </c>
      <c r="E3697" s="6">
        <v>4</v>
      </c>
      <c r="F3697" s="6">
        <v>0</v>
      </c>
      <c r="G3697" s="6" t="s">
        <v>41</v>
      </c>
      <c r="H3697" s="6" t="s">
        <v>12</v>
      </c>
      <c r="I3697" s="6">
        <f>TabJogos[[#This Row],[PontosTime1]]-TabJogos[[#This Row],[PontosTime2]]</f>
        <v>4</v>
      </c>
    </row>
    <row r="3698" spans="1:9" ht="15" customHeight="1" x14ac:dyDescent="0.25">
      <c r="A3698" s="7">
        <v>3697</v>
      </c>
      <c r="B3698" s="1">
        <v>43622</v>
      </c>
      <c r="C3698" s="6" t="s">
        <v>11</v>
      </c>
      <c r="D3698" s="6" t="s">
        <v>12</v>
      </c>
      <c r="E3698" s="6">
        <v>3</v>
      </c>
      <c r="F3698" s="6">
        <v>2</v>
      </c>
      <c r="G3698" s="6" t="s">
        <v>41</v>
      </c>
      <c r="H3698" s="6" t="s">
        <v>13</v>
      </c>
      <c r="I3698" s="6">
        <f>TabJogos[[#This Row],[PontosTime1]]-TabJogos[[#This Row],[PontosTime2]]</f>
        <v>1</v>
      </c>
    </row>
    <row r="3699" spans="1:9" ht="15" customHeight="1" x14ac:dyDescent="0.25">
      <c r="A3699" s="7">
        <v>3698</v>
      </c>
      <c r="B3699" s="1">
        <v>43622</v>
      </c>
      <c r="C3699" s="6" t="s">
        <v>12</v>
      </c>
      <c r="D3699" s="6" t="s">
        <v>13</v>
      </c>
      <c r="E3699" s="6">
        <v>3</v>
      </c>
      <c r="F3699" s="6">
        <v>2</v>
      </c>
      <c r="G3699" s="6" t="s">
        <v>41</v>
      </c>
      <c r="H3699" s="6" t="s">
        <v>11</v>
      </c>
      <c r="I3699" s="6">
        <f>TabJogos[[#This Row],[PontosTime1]]-TabJogos[[#This Row],[PontosTime2]]</f>
        <v>1</v>
      </c>
    </row>
    <row r="3700" spans="1:9" ht="15" customHeight="1" x14ac:dyDescent="0.25">
      <c r="A3700" s="7">
        <v>3699</v>
      </c>
      <c r="B3700" s="1">
        <v>43622</v>
      </c>
      <c r="C3700" s="6" t="s">
        <v>18</v>
      </c>
      <c r="D3700" s="6" t="s">
        <v>13</v>
      </c>
      <c r="E3700" s="6">
        <v>4</v>
      </c>
      <c r="F3700" s="6">
        <v>0</v>
      </c>
      <c r="G3700" s="6" t="s">
        <v>41</v>
      </c>
      <c r="H3700" s="6" t="s">
        <v>9</v>
      </c>
      <c r="I3700" s="6">
        <f>TabJogos[[#This Row],[PontosTime1]]-TabJogos[[#This Row],[PontosTime2]]</f>
        <v>4</v>
      </c>
    </row>
    <row r="3701" spans="1:9" ht="15" customHeight="1" x14ac:dyDescent="0.25">
      <c r="A3701" s="7">
        <v>3700</v>
      </c>
      <c r="B3701" s="1">
        <v>43622</v>
      </c>
      <c r="C3701" s="6" t="s">
        <v>9</v>
      </c>
      <c r="D3701" s="6" t="s">
        <v>13</v>
      </c>
      <c r="E3701" s="6">
        <v>3</v>
      </c>
      <c r="F3701" s="6">
        <v>2</v>
      </c>
      <c r="G3701" s="6" t="s">
        <v>18</v>
      </c>
      <c r="H3701" s="6" t="s">
        <v>11</v>
      </c>
      <c r="I3701" s="6">
        <f>TabJogos[[#This Row],[PontosTime1]]-TabJogos[[#This Row],[PontosTime2]]</f>
        <v>1</v>
      </c>
    </row>
    <row r="3702" spans="1:9" ht="15" customHeight="1" x14ac:dyDescent="0.25">
      <c r="A3702" s="7">
        <v>3701</v>
      </c>
      <c r="B3702" s="1">
        <v>43622</v>
      </c>
      <c r="C3702" s="6" t="s">
        <v>13</v>
      </c>
      <c r="D3702" s="6" t="s">
        <v>41</v>
      </c>
      <c r="E3702" s="6">
        <v>3</v>
      </c>
      <c r="F3702" s="6">
        <v>0</v>
      </c>
      <c r="G3702" s="6" t="s">
        <v>9</v>
      </c>
      <c r="H3702" s="6" t="s">
        <v>18</v>
      </c>
      <c r="I3702" s="6">
        <f>TabJogos[[#This Row],[PontosTime1]]-TabJogos[[#This Row],[PontosTime2]]</f>
        <v>3</v>
      </c>
    </row>
    <row r="3703" spans="1:9" ht="15" customHeight="1" x14ac:dyDescent="0.25">
      <c r="A3703" s="7">
        <v>3702</v>
      </c>
      <c r="B3703" s="1">
        <v>43622</v>
      </c>
      <c r="C3703" s="6" t="s">
        <v>9</v>
      </c>
      <c r="D3703" s="6" t="s">
        <v>41</v>
      </c>
      <c r="E3703" s="6">
        <v>3</v>
      </c>
      <c r="F3703" s="6">
        <v>1</v>
      </c>
      <c r="G3703" s="6" t="s">
        <v>11</v>
      </c>
      <c r="H3703" s="6" t="s">
        <v>13</v>
      </c>
      <c r="I3703" s="6">
        <f>TabJogos[[#This Row],[PontosTime1]]-TabJogos[[#This Row],[PontosTime2]]</f>
        <v>2</v>
      </c>
    </row>
    <row r="3704" spans="1:9" ht="15" customHeight="1" x14ac:dyDescent="0.25">
      <c r="A3704" s="7">
        <v>3703</v>
      </c>
      <c r="B3704" s="1">
        <v>43622</v>
      </c>
      <c r="C3704" s="6" t="s">
        <v>41</v>
      </c>
      <c r="D3704" s="6" t="s">
        <v>18</v>
      </c>
      <c r="E3704" s="6">
        <v>2</v>
      </c>
      <c r="F3704" s="6">
        <v>3</v>
      </c>
      <c r="G3704" s="6" t="s">
        <v>13</v>
      </c>
      <c r="H3704" s="6" t="s">
        <v>9</v>
      </c>
      <c r="I3704" s="6">
        <f>TabJogos[[#This Row],[PontosTime1]]-TabJogos[[#This Row],[PontosTime2]]</f>
        <v>-1</v>
      </c>
    </row>
    <row r="3705" spans="1:9" ht="15" customHeight="1" x14ac:dyDescent="0.25">
      <c r="A3705" s="7">
        <v>3704</v>
      </c>
      <c r="B3705" s="1">
        <v>43622</v>
      </c>
      <c r="C3705" s="6" t="s">
        <v>11</v>
      </c>
      <c r="D3705" s="6" t="s">
        <v>9</v>
      </c>
      <c r="E3705" s="6">
        <v>1</v>
      </c>
      <c r="F3705" s="6">
        <v>3</v>
      </c>
      <c r="G3705" s="6" t="s">
        <v>13</v>
      </c>
      <c r="H3705" s="6" t="s">
        <v>18</v>
      </c>
      <c r="I3705" s="6">
        <f>TabJogos[[#This Row],[PontosTime1]]-TabJogos[[#This Row],[PontosTime2]]</f>
        <v>-2</v>
      </c>
    </row>
    <row r="3706" spans="1:9" ht="15" customHeight="1" x14ac:dyDescent="0.25">
      <c r="A3706" s="7">
        <v>3705</v>
      </c>
      <c r="B3706" s="1">
        <v>43622</v>
      </c>
      <c r="C3706" s="6" t="s">
        <v>11</v>
      </c>
      <c r="D3706" s="6" t="s">
        <v>13</v>
      </c>
      <c r="E3706" s="6">
        <v>3</v>
      </c>
      <c r="F3706" s="6">
        <v>1</v>
      </c>
      <c r="G3706" s="6" t="s">
        <v>9</v>
      </c>
      <c r="H3706" s="6" t="s">
        <v>18</v>
      </c>
      <c r="I3706" s="6">
        <f>TabJogos[[#This Row],[PontosTime1]]-TabJogos[[#This Row],[PontosTime2]]</f>
        <v>2</v>
      </c>
    </row>
    <row r="3707" spans="1:9" ht="15" customHeight="1" x14ac:dyDescent="0.25">
      <c r="A3707" s="7">
        <v>3706</v>
      </c>
      <c r="B3707" s="1">
        <v>43622</v>
      </c>
      <c r="C3707" s="6" t="s">
        <v>11</v>
      </c>
      <c r="D3707" s="6" t="s">
        <v>18</v>
      </c>
      <c r="E3707" s="6">
        <v>3</v>
      </c>
      <c r="F3707" s="6">
        <v>2</v>
      </c>
      <c r="G3707" s="6" t="s">
        <v>13</v>
      </c>
      <c r="H3707" s="6" t="s">
        <v>9</v>
      </c>
      <c r="I3707" s="6">
        <f>TabJogos[[#This Row],[PontosTime1]]-TabJogos[[#This Row],[PontosTime2]]</f>
        <v>1</v>
      </c>
    </row>
    <row r="3708" spans="1:9" ht="15" customHeight="1" x14ac:dyDescent="0.25">
      <c r="A3708" s="7">
        <v>3707</v>
      </c>
      <c r="B3708" s="1">
        <v>43622</v>
      </c>
      <c r="C3708" s="6" t="s">
        <v>11</v>
      </c>
      <c r="D3708" s="6" t="s">
        <v>9</v>
      </c>
      <c r="E3708" s="6">
        <v>6</v>
      </c>
      <c r="F3708" s="6">
        <v>0</v>
      </c>
      <c r="G3708" s="6" t="s">
        <v>9</v>
      </c>
      <c r="H3708" s="6" t="s">
        <v>13</v>
      </c>
      <c r="I3708" s="6">
        <f>TabJogos[[#This Row],[PontosTime1]]-TabJogos[[#This Row],[PontosTime2]]</f>
        <v>6</v>
      </c>
    </row>
    <row r="3709" spans="1:9" ht="15" customHeight="1" x14ac:dyDescent="0.25">
      <c r="A3709" s="7">
        <v>3708</v>
      </c>
      <c r="B3709" s="1">
        <v>43623</v>
      </c>
      <c r="C3709" s="6" t="s">
        <v>12</v>
      </c>
      <c r="D3709" s="6" t="s">
        <v>11</v>
      </c>
      <c r="E3709" s="6">
        <v>3</v>
      </c>
      <c r="F3709" s="6">
        <v>0</v>
      </c>
      <c r="G3709" s="6" t="s">
        <v>13</v>
      </c>
      <c r="H3709" s="6" t="s">
        <v>18</v>
      </c>
      <c r="I3709" s="6">
        <f>TabJogos[[#This Row],[PontosTime1]]-TabJogos[[#This Row],[PontosTime2]]</f>
        <v>3</v>
      </c>
    </row>
    <row r="3710" spans="1:9" ht="15" customHeight="1" x14ac:dyDescent="0.25">
      <c r="A3710" s="7">
        <v>3709</v>
      </c>
      <c r="B3710" s="1">
        <v>43623</v>
      </c>
      <c r="C3710" s="6" t="s">
        <v>11</v>
      </c>
      <c r="D3710" s="6" t="s">
        <v>18</v>
      </c>
      <c r="E3710" s="6">
        <v>3</v>
      </c>
      <c r="F3710" s="6">
        <v>1</v>
      </c>
      <c r="G3710" s="6" t="s">
        <v>13</v>
      </c>
      <c r="H3710" s="6" t="s">
        <v>12</v>
      </c>
      <c r="I3710" s="6">
        <f>TabJogos[[#This Row],[PontosTime1]]-TabJogos[[#This Row],[PontosTime2]]</f>
        <v>2</v>
      </c>
    </row>
    <row r="3711" spans="1:9" ht="15" customHeight="1" x14ac:dyDescent="0.25">
      <c r="A3711" s="7">
        <v>3710</v>
      </c>
      <c r="B3711" s="1">
        <v>43623</v>
      </c>
      <c r="C3711" s="6" t="s">
        <v>18</v>
      </c>
      <c r="D3711" s="6" t="s">
        <v>11</v>
      </c>
      <c r="E3711" s="6">
        <v>3</v>
      </c>
      <c r="F3711" s="6">
        <v>0</v>
      </c>
      <c r="G3711" s="6" t="s">
        <v>16</v>
      </c>
      <c r="H3711" s="6" t="s">
        <v>13</v>
      </c>
      <c r="I3711" s="6">
        <f>TabJogos[[#This Row],[PontosTime1]]-TabJogos[[#This Row],[PontosTime2]]</f>
        <v>3</v>
      </c>
    </row>
    <row r="3712" spans="1:9" ht="15" customHeight="1" x14ac:dyDescent="0.25">
      <c r="A3712" s="7">
        <v>3711</v>
      </c>
      <c r="B3712" s="1">
        <v>43623</v>
      </c>
      <c r="C3712" s="6" t="s">
        <v>11</v>
      </c>
      <c r="D3712" s="6" t="s">
        <v>13</v>
      </c>
      <c r="E3712" s="6">
        <v>3</v>
      </c>
      <c r="F3712" s="6">
        <v>0</v>
      </c>
      <c r="G3712" s="6" t="s">
        <v>9</v>
      </c>
      <c r="H3712" s="6" t="s">
        <v>18</v>
      </c>
      <c r="I3712" s="6">
        <f>TabJogos[[#This Row],[PontosTime1]]-TabJogos[[#This Row],[PontosTime2]]</f>
        <v>3</v>
      </c>
    </row>
    <row r="3713" spans="1:9" ht="15" customHeight="1" x14ac:dyDescent="0.25">
      <c r="A3713" s="7">
        <v>3712</v>
      </c>
      <c r="B3713" s="1">
        <v>43623</v>
      </c>
      <c r="C3713" s="6" t="s">
        <v>11</v>
      </c>
      <c r="D3713" s="6" t="s">
        <v>16</v>
      </c>
      <c r="E3713" s="6">
        <v>3</v>
      </c>
      <c r="F3713" s="6">
        <v>0</v>
      </c>
      <c r="G3713" s="6" t="s">
        <v>13</v>
      </c>
      <c r="H3713" s="6" t="s">
        <v>9</v>
      </c>
      <c r="I3713" s="6">
        <f>TabJogos[[#This Row],[PontosTime1]]-TabJogos[[#This Row],[PontosTime2]]</f>
        <v>3</v>
      </c>
    </row>
    <row r="3714" spans="1:9" ht="15" customHeight="1" x14ac:dyDescent="0.25">
      <c r="A3714" s="7">
        <v>3713</v>
      </c>
      <c r="B3714" s="1">
        <v>43623</v>
      </c>
      <c r="C3714" s="6" t="s">
        <v>11</v>
      </c>
      <c r="D3714" s="6" t="s">
        <v>13</v>
      </c>
      <c r="E3714" s="6">
        <v>2</v>
      </c>
      <c r="F3714" s="6">
        <v>3</v>
      </c>
      <c r="G3714" s="6" t="s">
        <v>16</v>
      </c>
      <c r="H3714" s="6" t="s">
        <v>18</v>
      </c>
      <c r="I3714" s="6">
        <f>TabJogos[[#This Row],[PontosTime1]]-TabJogos[[#This Row],[PontosTime2]]</f>
        <v>-1</v>
      </c>
    </row>
    <row r="3715" spans="1:9" ht="15" customHeight="1" x14ac:dyDescent="0.25">
      <c r="A3715" s="7">
        <v>3714</v>
      </c>
      <c r="B3715" s="1">
        <v>43623</v>
      </c>
      <c r="C3715" s="6" t="s">
        <v>13</v>
      </c>
      <c r="D3715" s="6" t="s">
        <v>18</v>
      </c>
      <c r="E3715" s="6">
        <v>3</v>
      </c>
      <c r="F3715" s="6">
        <v>0</v>
      </c>
      <c r="G3715" s="6" t="s">
        <v>16</v>
      </c>
      <c r="H3715" s="6" t="s">
        <v>9</v>
      </c>
      <c r="I3715" s="6">
        <f>TabJogos[[#This Row],[PontosTime1]]-TabJogos[[#This Row],[PontosTime2]]</f>
        <v>3</v>
      </c>
    </row>
    <row r="3716" spans="1:9" ht="15" customHeight="1" x14ac:dyDescent="0.25">
      <c r="A3716" s="7">
        <v>3715</v>
      </c>
      <c r="B3716" s="1">
        <v>43623</v>
      </c>
      <c r="C3716" s="6" t="s">
        <v>11</v>
      </c>
      <c r="D3716" s="6" t="s">
        <v>18</v>
      </c>
      <c r="E3716" s="6">
        <v>3</v>
      </c>
      <c r="F3716" s="6">
        <v>2</v>
      </c>
      <c r="G3716" s="6" t="s">
        <v>9</v>
      </c>
      <c r="H3716" s="6" t="s">
        <v>13</v>
      </c>
      <c r="I3716" s="6">
        <f>TabJogos[[#This Row],[PontosTime1]]-TabJogos[[#This Row],[PontosTime2]]</f>
        <v>1</v>
      </c>
    </row>
    <row r="3717" spans="1:9" ht="15" customHeight="1" x14ac:dyDescent="0.25">
      <c r="A3717" s="7">
        <v>3716</v>
      </c>
      <c r="B3717" s="1">
        <v>43623</v>
      </c>
      <c r="C3717" s="6" t="s">
        <v>11</v>
      </c>
      <c r="D3717" s="6" t="s">
        <v>9</v>
      </c>
      <c r="E3717" s="6">
        <v>1</v>
      </c>
      <c r="F3717" s="6">
        <v>3</v>
      </c>
      <c r="G3717" s="6" t="s">
        <v>17</v>
      </c>
      <c r="H3717" s="6" t="s">
        <v>18</v>
      </c>
      <c r="I3717" s="6">
        <f>TabJogos[[#This Row],[PontosTime1]]-TabJogos[[#This Row],[PontosTime2]]</f>
        <v>-2</v>
      </c>
    </row>
    <row r="3718" spans="1:9" ht="15" customHeight="1" x14ac:dyDescent="0.25">
      <c r="A3718" s="7">
        <v>3717</v>
      </c>
      <c r="B3718" s="1">
        <v>43623</v>
      </c>
      <c r="C3718" s="6" t="s">
        <v>17</v>
      </c>
      <c r="D3718" s="6" t="s">
        <v>9</v>
      </c>
      <c r="E3718" s="6">
        <v>1</v>
      </c>
      <c r="F3718" s="6">
        <v>3</v>
      </c>
      <c r="G3718" s="6" t="s">
        <v>13</v>
      </c>
      <c r="H3718" s="6" t="s">
        <v>18</v>
      </c>
      <c r="I3718" s="6">
        <f>TabJogos[[#This Row],[PontosTime1]]-TabJogos[[#This Row],[PontosTime2]]</f>
        <v>-2</v>
      </c>
    </row>
    <row r="3719" spans="1:9" ht="15" customHeight="1" x14ac:dyDescent="0.25">
      <c r="A3719" s="7">
        <v>3718</v>
      </c>
      <c r="B3719" s="1">
        <v>43623</v>
      </c>
      <c r="C3719" s="6" t="s">
        <v>17</v>
      </c>
      <c r="D3719" s="6" t="s">
        <v>13</v>
      </c>
      <c r="E3719" s="6">
        <v>3</v>
      </c>
      <c r="F3719" s="6">
        <v>1</v>
      </c>
      <c r="G3719" s="6" t="s">
        <v>11</v>
      </c>
      <c r="H3719" s="6" t="s">
        <v>18</v>
      </c>
      <c r="I3719" s="6">
        <f>TabJogos[[#This Row],[PontosTime1]]-TabJogos[[#This Row],[PontosTime2]]</f>
        <v>2</v>
      </c>
    </row>
    <row r="3720" spans="1:9" ht="15" customHeight="1" x14ac:dyDescent="0.25">
      <c r="A3720" s="7">
        <v>3719</v>
      </c>
      <c r="B3720" s="1">
        <v>43627</v>
      </c>
      <c r="C3720" s="6" t="s">
        <v>13</v>
      </c>
      <c r="D3720" s="6" t="s">
        <v>18</v>
      </c>
      <c r="E3720" s="6">
        <v>1</v>
      </c>
      <c r="F3720" s="6">
        <v>3</v>
      </c>
      <c r="G3720" s="6" t="s">
        <v>10</v>
      </c>
      <c r="H3720" s="6" t="s">
        <v>12</v>
      </c>
      <c r="I3720" s="6">
        <f>TabJogos[[#This Row],[PontosTime1]]-TabJogos[[#This Row],[PontosTime2]]</f>
        <v>-2</v>
      </c>
    </row>
    <row r="3721" spans="1:9" ht="15" customHeight="1" x14ac:dyDescent="0.25">
      <c r="A3721" s="7">
        <v>3720</v>
      </c>
      <c r="B3721" s="1">
        <v>43627</v>
      </c>
      <c r="C3721" s="6" t="s">
        <v>13</v>
      </c>
      <c r="D3721" s="6" t="s">
        <v>12</v>
      </c>
      <c r="E3721" s="6">
        <v>2</v>
      </c>
      <c r="F3721" s="6">
        <v>3</v>
      </c>
      <c r="G3721" s="6" t="s">
        <v>10</v>
      </c>
      <c r="H3721" s="6" t="s">
        <v>18</v>
      </c>
      <c r="I3721" s="6">
        <f>TabJogos[[#This Row],[PontosTime1]]-TabJogos[[#This Row],[PontosTime2]]</f>
        <v>-1</v>
      </c>
    </row>
    <row r="3722" spans="1:9" ht="15" customHeight="1" x14ac:dyDescent="0.25">
      <c r="A3722" s="7">
        <v>3721</v>
      </c>
      <c r="B3722" s="1">
        <v>43627</v>
      </c>
      <c r="C3722" s="6" t="s">
        <v>41</v>
      </c>
      <c r="D3722" s="6" t="s">
        <v>10</v>
      </c>
      <c r="E3722" s="6">
        <v>0</v>
      </c>
      <c r="F3722" s="6">
        <v>4</v>
      </c>
      <c r="G3722" s="6" t="s">
        <v>12</v>
      </c>
      <c r="H3722" s="6" t="s">
        <v>18</v>
      </c>
      <c r="I3722" s="6">
        <f>TabJogos[[#This Row],[PontosTime1]]-TabJogos[[#This Row],[PontosTime2]]</f>
        <v>-4</v>
      </c>
    </row>
    <row r="3723" spans="1:9" ht="15" customHeight="1" x14ac:dyDescent="0.25">
      <c r="A3723" s="7">
        <v>3722</v>
      </c>
      <c r="B3723" s="1">
        <v>43627</v>
      </c>
      <c r="C3723" s="6" t="s">
        <v>17</v>
      </c>
      <c r="D3723" s="6" t="s">
        <v>12</v>
      </c>
      <c r="E3723" s="6">
        <v>3</v>
      </c>
      <c r="F3723" s="6">
        <v>2</v>
      </c>
      <c r="G3723" s="6" t="s">
        <v>13</v>
      </c>
      <c r="H3723" s="6" t="s">
        <v>18</v>
      </c>
      <c r="I3723" s="6">
        <f>TabJogos[[#This Row],[PontosTime1]]-TabJogos[[#This Row],[PontosTime2]]</f>
        <v>1</v>
      </c>
    </row>
    <row r="3724" spans="1:9" ht="15" customHeight="1" x14ac:dyDescent="0.25">
      <c r="A3724" s="7">
        <v>3723</v>
      </c>
      <c r="B3724" s="1">
        <v>43627</v>
      </c>
      <c r="C3724" s="6" t="s">
        <v>41</v>
      </c>
      <c r="D3724" s="6" t="s">
        <v>18</v>
      </c>
      <c r="E3724" s="6">
        <v>4</v>
      </c>
      <c r="F3724" s="6">
        <v>2</v>
      </c>
      <c r="G3724" s="6" t="s">
        <v>10</v>
      </c>
      <c r="H3724" s="6" t="s">
        <v>17</v>
      </c>
      <c r="I3724" s="6">
        <f>TabJogos[[#This Row],[PontosTime1]]-TabJogos[[#This Row],[PontosTime2]]</f>
        <v>2</v>
      </c>
    </row>
    <row r="3725" spans="1:9" ht="15" customHeight="1" x14ac:dyDescent="0.25">
      <c r="A3725" s="7">
        <v>3724</v>
      </c>
      <c r="B3725" s="1">
        <v>43627</v>
      </c>
      <c r="C3725" s="6" t="s">
        <v>11</v>
      </c>
      <c r="D3725" s="6" t="s">
        <v>18</v>
      </c>
      <c r="E3725" s="6">
        <v>0</v>
      </c>
      <c r="F3725" s="6">
        <v>3</v>
      </c>
      <c r="G3725" s="6" t="s">
        <v>13</v>
      </c>
      <c r="H3725" s="6" t="s">
        <v>17</v>
      </c>
      <c r="I3725" s="6">
        <f>TabJogos[[#This Row],[PontosTime1]]-TabJogos[[#This Row],[PontosTime2]]</f>
        <v>-3</v>
      </c>
    </row>
    <row r="3726" spans="1:9" ht="15" customHeight="1" x14ac:dyDescent="0.25">
      <c r="A3726" s="7">
        <v>3725</v>
      </c>
      <c r="B3726" s="1">
        <v>43627</v>
      </c>
      <c r="C3726" s="6" t="s">
        <v>11</v>
      </c>
      <c r="D3726" s="6" t="s">
        <v>13</v>
      </c>
      <c r="E3726" s="6">
        <v>4</v>
      </c>
      <c r="F3726" s="6">
        <v>1</v>
      </c>
      <c r="G3726" s="6" t="s">
        <v>41</v>
      </c>
      <c r="H3726" s="6" t="s">
        <v>18</v>
      </c>
      <c r="I3726" s="6">
        <f>TabJogos[[#This Row],[PontosTime1]]-TabJogos[[#This Row],[PontosTime2]]</f>
        <v>3</v>
      </c>
    </row>
    <row r="3727" spans="1:9" ht="15" customHeight="1" x14ac:dyDescent="0.25">
      <c r="A3727" s="7">
        <v>3726</v>
      </c>
      <c r="B3727" s="1">
        <v>43627</v>
      </c>
      <c r="C3727" s="6" t="s">
        <v>11</v>
      </c>
      <c r="D3727" s="6" t="s">
        <v>41</v>
      </c>
      <c r="E3727" s="6">
        <v>1</v>
      </c>
      <c r="F3727" s="6">
        <v>3</v>
      </c>
      <c r="G3727" s="6" t="s">
        <v>13</v>
      </c>
      <c r="H3727" s="6" t="s">
        <v>32</v>
      </c>
      <c r="I3727" s="6">
        <f>TabJogos[[#This Row],[PontosTime1]]-TabJogos[[#This Row],[PontosTime2]]</f>
        <v>-2</v>
      </c>
    </row>
    <row r="3728" spans="1:9" ht="15" customHeight="1" x14ac:dyDescent="0.25">
      <c r="A3728" s="7">
        <v>3727</v>
      </c>
      <c r="B3728" s="1">
        <v>43627</v>
      </c>
      <c r="C3728" s="6" t="s">
        <v>11</v>
      </c>
      <c r="D3728" s="6" t="s">
        <v>32</v>
      </c>
      <c r="E3728" s="6">
        <v>3</v>
      </c>
      <c r="F3728" s="6">
        <v>0</v>
      </c>
      <c r="G3728" s="6" t="s">
        <v>13</v>
      </c>
      <c r="H3728" s="6" t="s">
        <v>18</v>
      </c>
      <c r="I3728" s="6">
        <f>TabJogos[[#This Row],[PontosTime1]]-TabJogos[[#This Row],[PontosTime2]]</f>
        <v>3</v>
      </c>
    </row>
    <row r="3729" spans="1:9" ht="15" customHeight="1" x14ac:dyDescent="0.25">
      <c r="A3729" s="7">
        <v>3728</v>
      </c>
      <c r="B3729" s="1">
        <v>43627</v>
      </c>
      <c r="C3729" s="6" t="s">
        <v>41</v>
      </c>
      <c r="D3729" s="6" t="s">
        <v>32</v>
      </c>
      <c r="E3729" s="6">
        <v>4</v>
      </c>
      <c r="F3729" s="6">
        <v>0</v>
      </c>
      <c r="G3729" s="6" t="s">
        <v>11</v>
      </c>
      <c r="H3729" s="6" t="s">
        <v>18</v>
      </c>
      <c r="I3729" s="6">
        <f>TabJogos[[#This Row],[PontosTime1]]-TabJogos[[#This Row],[PontosTime2]]</f>
        <v>4</v>
      </c>
    </row>
    <row r="3730" spans="1:9" ht="15" customHeight="1" x14ac:dyDescent="0.25">
      <c r="A3730" s="7">
        <v>3729</v>
      </c>
      <c r="B3730" s="1">
        <v>43627</v>
      </c>
      <c r="C3730" s="6" t="s">
        <v>41</v>
      </c>
      <c r="D3730" s="6" t="s">
        <v>13</v>
      </c>
      <c r="E3730" s="6">
        <v>3</v>
      </c>
      <c r="F3730" s="6">
        <v>0</v>
      </c>
      <c r="G3730" s="6" t="s">
        <v>32</v>
      </c>
      <c r="H3730" s="6" t="s">
        <v>18</v>
      </c>
      <c r="I3730" s="6">
        <f>TabJogos[[#This Row],[PontosTime1]]-TabJogos[[#This Row],[PontosTime2]]</f>
        <v>3</v>
      </c>
    </row>
    <row r="3731" spans="1:9" ht="15" customHeight="1" x14ac:dyDescent="0.25">
      <c r="A3731" s="7">
        <v>3730</v>
      </c>
      <c r="B3731" s="1">
        <v>43627</v>
      </c>
      <c r="C3731" s="6" t="s">
        <v>11</v>
      </c>
      <c r="D3731" s="6" t="s">
        <v>41</v>
      </c>
      <c r="E3731" s="6">
        <v>3</v>
      </c>
      <c r="F3731" s="6">
        <v>2</v>
      </c>
      <c r="G3731" s="6" t="s">
        <v>18</v>
      </c>
      <c r="H3731" s="6" t="s">
        <v>13</v>
      </c>
      <c r="I3731" s="6">
        <f>TabJogos[[#This Row],[PontosTime1]]-TabJogos[[#This Row],[PontosTime2]]</f>
        <v>1</v>
      </c>
    </row>
    <row r="3732" spans="1:9" ht="15" customHeight="1" x14ac:dyDescent="0.25">
      <c r="A3732" s="7">
        <v>3731</v>
      </c>
      <c r="B3732" s="1">
        <v>43628</v>
      </c>
      <c r="C3732" s="6" t="s">
        <v>10</v>
      </c>
      <c r="D3732" s="6" t="s">
        <v>13</v>
      </c>
      <c r="E3732" s="6">
        <v>2</v>
      </c>
      <c r="F3732" s="6">
        <v>3</v>
      </c>
      <c r="G3732" s="6" t="s">
        <v>12</v>
      </c>
      <c r="H3732" s="6" t="s">
        <v>11</v>
      </c>
      <c r="I3732" s="6">
        <f>TabJogos[[#This Row],[PontosTime1]]-TabJogos[[#This Row],[PontosTime2]]</f>
        <v>-1</v>
      </c>
    </row>
    <row r="3733" spans="1:9" ht="15" customHeight="1" x14ac:dyDescent="0.25">
      <c r="A3733" s="7">
        <v>3732</v>
      </c>
      <c r="B3733" s="1">
        <v>43628</v>
      </c>
      <c r="C3733" s="6" t="s">
        <v>12</v>
      </c>
      <c r="D3733" s="6" t="s">
        <v>13</v>
      </c>
      <c r="E3733" s="6">
        <v>4</v>
      </c>
      <c r="F3733" s="6">
        <v>2</v>
      </c>
      <c r="G3733" s="6" t="s">
        <v>11</v>
      </c>
      <c r="H3733" s="6" t="s">
        <v>10</v>
      </c>
      <c r="I3733" s="6">
        <f>TabJogos[[#This Row],[PontosTime1]]-TabJogos[[#This Row],[PontosTime2]]</f>
        <v>2</v>
      </c>
    </row>
    <row r="3734" spans="1:9" ht="15" customHeight="1" x14ac:dyDescent="0.25">
      <c r="A3734" s="7">
        <v>3733</v>
      </c>
      <c r="B3734" s="1">
        <v>43628</v>
      </c>
      <c r="C3734" s="6" t="s">
        <v>12</v>
      </c>
      <c r="D3734" s="6" t="s">
        <v>10</v>
      </c>
      <c r="E3734" s="6">
        <v>3</v>
      </c>
      <c r="F3734" s="6">
        <v>1</v>
      </c>
      <c r="G3734" s="6" t="s">
        <v>11</v>
      </c>
      <c r="H3734" s="6" t="s">
        <v>13</v>
      </c>
      <c r="I3734" s="6">
        <f>TabJogos[[#This Row],[PontosTime1]]-TabJogos[[#This Row],[PontosTime2]]</f>
        <v>2</v>
      </c>
    </row>
    <row r="3735" spans="1:9" ht="15" customHeight="1" x14ac:dyDescent="0.25">
      <c r="A3735" s="7">
        <v>3734</v>
      </c>
      <c r="B3735" s="1">
        <v>43628</v>
      </c>
      <c r="C3735" s="6" t="s">
        <v>11</v>
      </c>
      <c r="D3735" s="6" t="s">
        <v>41</v>
      </c>
      <c r="E3735" s="6">
        <v>3</v>
      </c>
      <c r="F3735" s="6">
        <v>0</v>
      </c>
      <c r="G3735" s="6" t="s">
        <v>13</v>
      </c>
      <c r="H3735" s="6" t="s">
        <v>10</v>
      </c>
      <c r="I3735" s="6">
        <f>TabJogos[[#This Row],[PontosTime1]]-TabJogos[[#This Row],[PontosTime2]]</f>
        <v>3</v>
      </c>
    </row>
    <row r="3736" spans="1:9" ht="15" customHeight="1" x14ac:dyDescent="0.25">
      <c r="A3736" s="7">
        <v>3735</v>
      </c>
      <c r="B3736" s="1">
        <v>43628</v>
      </c>
      <c r="C3736" s="6" t="s">
        <v>11</v>
      </c>
      <c r="D3736" s="6" t="s">
        <v>10</v>
      </c>
      <c r="E3736" s="6">
        <v>3</v>
      </c>
      <c r="F3736" s="6">
        <v>1</v>
      </c>
      <c r="G3736" s="6" t="s">
        <v>13</v>
      </c>
      <c r="H3736" s="6" t="s">
        <v>41</v>
      </c>
      <c r="I3736" s="6">
        <f>TabJogos[[#This Row],[PontosTime1]]-TabJogos[[#This Row],[PontosTime2]]</f>
        <v>2</v>
      </c>
    </row>
    <row r="3737" spans="1:9" ht="15" customHeight="1" x14ac:dyDescent="0.25">
      <c r="A3737" s="7">
        <v>3736</v>
      </c>
      <c r="B3737" s="1">
        <v>43628</v>
      </c>
      <c r="C3737" s="6" t="s">
        <v>11</v>
      </c>
      <c r="D3737" s="6" t="s">
        <v>13</v>
      </c>
      <c r="E3737" s="6">
        <v>6</v>
      </c>
      <c r="F3737" s="6">
        <v>0</v>
      </c>
      <c r="G3737" s="6" t="s">
        <v>27</v>
      </c>
      <c r="H3737" s="6" t="s">
        <v>10</v>
      </c>
      <c r="I3737" s="6">
        <f>TabJogos[[#This Row],[PontosTime1]]-TabJogos[[#This Row],[PontosTime2]]</f>
        <v>6</v>
      </c>
    </row>
    <row r="3738" spans="1:9" ht="15" customHeight="1" x14ac:dyDescent="0.25">
      <c r="A3738" s="7">
        <v>3737</v>
      </c>
      <c r="B3738" s="1">
        <v>43628</v>
      </c>
      <c r="C3738" s="6" t="s">
        <v>11</v>
      </c>
      <c r="D3738" s="6" t="s">
        <v>41</v>
      </c>
      <c r="E3738" s="6">
        <v>0</v>
      </c>
      <c r="F3738" s="6">
        <v>3</v>
      </c>
      <c r="G3738" s="6" t="s">
        <v>13</v>
      </c>
      <c r="H3738" s="6" t="s">
        <v>27</v>
      </c>
      <c r="I3738" s="6">
        <f>TabJogos[[#This Row],[PontosTime1]]-TabJogos[[#This Row],[PontosTime2]]</f>
        <v>-3</v>
      </c>
    </row>
    <row r="3739" spans="1:9" ht="15" customHeight="1" x14ac:dyDescent="0.25">
      <c r="A3739" s="7">
        <v>3738</v>
      </c>
      <c r="B3739" s="1">
        <v>43628</v>
      </c>
      <c r="C3739" s="6" t="s">
        <v>27</v>
      </c>
      <c r="D3739" s="6" t="s">
        <v>41</v>
      </c>
      <c r="E3739" s="6">
        <v>6</v>
      </c>
      <c r="F3739" s="6">
        <v>0</v>
      </c>
      <c r="G3739" s="6" t="s">
        <v>13</v>
      </c>
      <c r="H3739" s="6" t="s">
        <v>10</v>
      </c>
      <c r="I3739" s="6">
        <f>TabJogos[[#This Row],[PontosTime1]]-TabJogos[[#This Row],[PontosTime2]]</f>
        <v>6</v>
      </c>
    </row>
    <row r="3740" spans="1:9" ht="15" customHeight="1" x14ac:dyDescent="0.25">
      <c r="A3740" s="7">
        <v>3739</v>
      </c>
      <c r="B3740" s="1">
        <v>43628</v>
      </c>
      <c r="C3740" s="6" t="s">
        <v>10</v>
      </c>
      <c r="D3740" s="6" t="s">
        <v>41</v>
      </c>
      <c r="E3740" s="6">
        <v>3</v>
      </c>
      <c r="F3740" s="6">
        <v>1</v>
      </c>
      <c r="G3740" s="6" t="s">
        <v>27</v>
      </c>
      <c r="H3740" s="6" t="s">
        <v>11</v>
      </c>
      <c r="I3740" s="6">
        <f>TabJogos[[#This Row],[PontosTime1]]-TabJogos[[#This Row],[PontosTime2]]</f>
        <v>2</v>
      </c>
    </row>
    <row r="3741" spans="1:9" ht="15" customHeight="1" x14ac:dyDescent="0.25">
      <c r="A3741" s="7">
        <v>3740</v>
      </c>
      <c r="B3741" s="1">
        <v>43628</v>
      </c>
      <c r="C3741" s="6" t="s">
        <v>13</v>
      </c>
      <c r="D3741" s="6" t="s">
        <v>41</v>
      </c>
      <c r="E3741" s="6">
        <v>3</v>
      </c>
      <c r="F3741" s="6">
        <v>1</v>
      </c>
      <c r="G3741" s="6" t="s">
        <v>11</v>
      </c>
      <c r="H3741" s="6" t="s">
        <v>10</v>
      </c>
      <c r="I3741" s="6">
        <f>TabJogos[[#This Row],[PontosTime1]]-TabJogos[[#This Row],[PontosTime2]]</f>
        <v>2</v>
      </c>
    </row>
    <row r="3742" spans="1:9" ht="15" customHeight="1" x14ac:dyDescent="0.25">
      <c r="A3742" s="7">
        <v>3741</v>
      </c>
      <c r="B3742" s="1">
        <v>43629</v>
      </c>
      <c r="C3742" s="6" t="s">
        <v>17</v>
      </c>
      <c r="D3742" s="6" t="s">
        <v>18</v>
      </c>
      <c r="E3742" s="6">
        <v>6</v>
      </c>
      <c r="F3742" s="6">
        <v>1</v>
      </c>
      <c r="G3742" s="6" t="s">
        <v>16</v>
      </c>
      <c r="H3742" s="6" t="s">
        <v>10</v>
      </c>
      <c r="I3742" s="6">
        <f>TabJogos[[#This Row],[PontosTime1]]-TabJogos[[#This Row],[PontosTime2]]</f>
        <v>5</v>
      </c>
    </row>
    <row r="3743" spans="1:9" ht="15" customHeight="1" x14ac:dyDescent="0.25">
      <c r="A3743" s="7">
        <v>3742</v>
      </c>
      <c r="B3743" s="1">
        <v>43629</v>
      </c>
      <c r="C3743" s="6" t="s">
        <v>11</v>
      </c>
      <c r="D3743" s="6" t="s">
        <v>17</v>
      </c>
      <c r="E3743" s="6">
        <v>3</v>
      </c>
      <c r="F3743" s="6">
        <v>1</v>
      </c>
      <c r="G3743" s="6" t="s">
        <v>13</v>
      </c>
      <c r="H3743" s="6" t="s">
        <v>18</v>
      </c>
      <c r="I3743" s="6">
        <f>TabJogos[[#This Row],[PontosTime1]]-TabJogos[[#This Row],[PontosTime2]]</f>
        <v>2</v>
      </c>
    </row>
    <row r="3744" spans="1:9" ht="15" customHeight="1" x14ac:dyDescent="0.25">
      <c r="A3744" s="7">
        <v>3743</v>
      </c>
      <c r="B3744" s="1">
        <v>43629</v>
      </c>
      <c r="C3744" s="6" t="s">
        <v>10</v>
      </c>
      <c r="D3744" s="6" t="s">
        <v>11</v>
      </c>
      <c r="E3744" s="6">
        <v>3</v>
      </c>
      <c r="F3744" s="6">
        <v>0</v>
      </c>
      <c r="G3744" s="6" t="s">
        <v>16</v>
      </c>
      <c r="H3744" s="6" t="s">
        <v>12</v>
      </c>
      <c r="I3744" s="6">
        <f>TabJogos[[#This Row],[PontosTime1]]-TabJogos[[#This Row],[PontosTime2]]</f>
        <v>3</v>
      </c>
    </row>
    <row r="3745" spans="1:9" ht="15" customHeight="1" x14ac:dyDescent="0.25">
      <c r="A3745" s="7">
        <v>3744</v>
      </c>
      <c r="B3745" s="1">
        <v>43629</v>
      </c>
      <c r="C3745" s="6" t="s">
        <v>10</v>
      </c>
      <c r="D3745" s="6" t="s">
        <v>18</v>
      </c>
      <c r="E3745" s="6">
        <v>3</v>
      </c>
      <c r="F3745" s="6">
        <v>0</v>
      </c>
      <c r="G3745" s="6" t="s">
        <v>11</v>
      </c>
      <c r="H3745" s="6" t="s">
        <v>13</v>
      </c>
      <c r="I3745" s="6">
        <f>TabJogos[[#This Row],[PontosTime1]]-TabJogos[[#This Row],[PontosTime2]]</f>
        <v>3</v>
      </c>
    </row>
    <row r="3746" spans="1:9" ht="15" customHeight="1" x14ac:dyDescent="0.25">
      <c r="A3746" s="7">
        <v>3745</v>
      </c>
      <c r="B3746" s="1">
        <v>43629</v>
      </c>
      <c r="C3746" s="6" t="s">
        <v>10</v>
      </c>
      <c r="D3746" s="6" t="s">
        <v>18</v>
      </c>
      <c r="E3746" s="6">
        <v>4</v>
      </c>
      <c r="F3746" s="6">
        <v>2</v>
      </c>
      <c r="G3746" s="6" t="s">
        <v>32</v>
      </c>
      <c r="H3746" s="6" t="s">
        <v>16</v>
      </c>
      <c r="I3746" s="6">
        <f>TabJogos[[#This Row],[PontosTime1]]-TabJogos[[#This Row],[PontosTime2]]</f>
        <v>2</v>
      </c>
    </row>
    <row r="3747" spans="1:9" ht="15" customHeight="1" x14ac:dyDescent="0.25">
      <c r="A3747" s="7">
        <v>3746</v>
      </c>
      <c r="B3747" s="1">
        <v>43629</v>
      </c>
      <c r="C3747" s="6" t="s">
        <v>11</v>
      </c>
      <c r="D3747" s="6" t="s">
        <v>18</v>
      </c>
      <c r="E3747" s="6">
        <v>1</v>
      </c>
      <c r="F3747" s="6">
        <v>3</v>
      </c>
      <c r="G3747" s="6" t="s">
        <v>10</v>
      </c>
      <c r="H3747" s="6" t="s">
        <v>13</v>
      </c>
      <c r="I3747" s="6">
        <f>TabJogos[[#This Row],[PontosTime1]]-TabJogos[[#This Row],[PontosTime2]]</f>
        <v>-2</v>
      </c>
    </row>
    <row r="3748" spans="1:9" ht="15" customHeight="1" x14ac:dyDescent="0.25">
      <c r="A3748" s="7">
        <v>3747</v>
      </c>
      <c r="B3748" s="1">
        <v>43629</v>
      </c>
      <c r="C3748" s="6" t="s">
        <v>13</v>
      </c>
      <c r="D3748" s="6" t="s">
        <v>10</v>
      </c>
      <c r="E3748" s="6">
        <v>3</v>
      </c>
      <c r="F3748" s="6">
        <v>1</v>
      </c>
      <c r="G3748" s="6" t="s">
        <v>16</v>
      </c>
      <c r="H3748" s="6" t="s">
        <v>32</v>
      </c>
      <c r="I3748" s="6">
        <f>TabJogos[[#This Row],[PontosTime1]]-TabJogos[[#This Row],[PontosTime2]]</f>
        <v>2</v>
      </c>
    </row>
    <row r="3749" spans="1:9" ht="15" customHeight="1" x14ac:dyDescent="0.25">
      <c r="A3749" s="7">
        <v>3748</v>
      </c>
      <c r="B3749" s="1">
        <v>43629</v>
      </c>
      <c r="C3749" s="6" t="s">
        <v>13</v>
      </c>
      <c r="D3749" s="6" t="s">
        <v>18</v>
      </c>
      <c r="E3749" s="6">
        <v>3</v>
      </c>
      <c r="F3749" s="6">
        <v>1</v>
      </c>
      <c r="G3749" s="6" t="s">
        <v>10</v>
      </c>
      <c r="H3749" s="6" t="s">
        <v>11</v>
      </c>
      <c r="I3749" s="6">
        <f>TabJogos[[#This Row],[PontosTime1]]-TabJogos[[#This Row],[PontosTime2]]</f>
        <v>2</v>
      </c>
    </row>
    <row r="3750" spans="1:9" ht="15" customHeight="1" x14ac:dyDescent="0.25">
      <c r="A3750" s="7">
        <v>3749</v>
      </c>
      <c r="B3750" s="1">
        <v>43629</v>
      </c>
      <c r="C3750" s="6" t="s">
        <v>11</v>
      </c>
      <c r="D3750" s="6" t="s">
        <v>13</v>
      </c>
      <c r="E3750" s="6">
        <v>3</v>
      </c>
      <c r="F3750" s="6">
        <v>0</v>
      </c>
      <c r="G3750" s="6" t="s">
        <v>18</v>
      </c>
      <c r="H3750" s="6" t="s">
        <v>10</v>
      </c>
      <c r="I3750" s="6">
        <f>TabJogos[[#This Row],[PontosTime1]]-TabJogos[[#This Row],[PontosTime2]]</f>
        <v>3</v>
      </c>
    </row>
    <row r="3751" spans="1:9" ht="15" customHeight="1" x14ac:dyDescent="0.25">
      <c r="A3751" s="7">
        <v>3750</v>
      </c>
      <c r="B3751" s="1">
        <v>43629</v>
      </c>
      <c r="C3751" s="6" t="s">
        <v>11</v>
      </c>
      <c r="D3751" s="6" t="s">
        <v>18</v>
      </c>
      <c r="E3751" s="6">
        <v>0</v>
      </c>
      <c r="F3751" s="6">
        <v>4</v>
      </c>
      <c r="G3751" s="6" t="s">
        <v>13</v>
      </c>
      <c r="H3751" s="6" t="s">
        <v>10</v>
      </c>
      <c r="I3751" s="6">
        <f>TabJogos[[#This Row],[PontosTime1]]-TabJogos[[#This Row],[PontosTime2]]</f>
        <v>-4</v>
      </c>
    </row>
    <row r="3752" spans="1:9" ht="15" customHeight="1" x14ac:dyDescent="0.25">
      <c r="A3752" s="7">
        <v>3751</v>
      </c>
      <c r="B3752" s="1">
        <v>43629</v>
      </c>
      <c r="C3752" s="6" t="s">
        <v>11</v>
      </c>
      <c r="D3752" s="6" t="s">
        <v>10</v>
      </c>
      <c r="E3752" s="6">
        <v>2</v>
      </c>
      <c r="F3752" s="6">
        <v>3</v>
      </c>
      <c r="G3752" s="6" t="s">
        <v>18</v>
      </c>
      <c r="H3752" s="6" t="s">
        <v>13</v>
      </c>
      <c r="I3752" s="6">
        <f>TabJogos[[#This Row],[PontosTime1]]-TabJogos[[#This Row],[PontosTime2]]</f>
        <v>-1</v>
      </c>
    </row>
    <row r="3753" spans="1:9" ht="15" customHeight="1" x14ac:dyDescent="0.25">
      <c r="A3753" s="7">
        <v>3752</v>
      </c>
      <c r="B3753" s="1">
        <v>43629</v>
      </c>
      <c r="C3753" s="6" t="s">
        <v>11</v>
      </c>
      <c r="D3753" s="6" t="s">
        <v>13</v>
      </c>
      <c r="E3753" s="6">
        <v>1</v>
      </c>
      <c r="F3753" s="6">
        <v>4</v>
      </c>
      <c r="G3753" s="6" t="s">
        <v>18</v>
      </c>
      <c r="H3753" s="6" t="s">
        <v>9</v>
      </c>
      <c r="I3753" s="6">
        <f>TabJogos[[#This Row],[PontosTime1]]-TabJogos[[#This Row],[PontosTime2]]</f>
        <v>-3</v>
      </c>
    </row>
    <row r="3754" spans="1:9" ht="15" customHeight="1" x14ac:dyDescent="0.25">
      <c r="A3754" s="7">
        <v>3753</v>
      </c>
      <c r="B3754" s="1">
        <v>43629</v>
      </c>
      <c r="C3754" s="6" t="s">
        <v>18</v>
      </c>
      <c r="D3754" s="6" t="s">
        <v>13</v>
      </c>
      <c r="E3754" s="6">
        <v>3</v>
      </c>
      <c r="F3754" s="6">
        <v>2</v>
      </c>
      <c r="G3754" s="6" t="s">
        <v>9</v>
      </c>
      <c r="H3754" s="6" t="s">
        <v>10</v>
      </c>
      <c r="I3754" s="6">
        <f>TabJogos[[#This Row],[PontosTime1]]-TabJogos[[#This Row],[PontosTime2]]</f>
        <v>1</v>
      </c>
    </row>
    <row r="3755" spans="1:9" ht="15" customHeight="1" x14ac:dyDescent="0.25">
      <c r="A3755" s="7">
        <v>3754</v>
      </c>
      <c r="B3755" s="1">
        <v>43629</v>
      </c>
      <c r="C3755" s="6" t="s">
        <v>18</v>
      </c>
      <c r="D3755" s="6" t="s">
        <v>10</v>
      </c>
      <c r="E3755" s="6">
        <v>0</v>
      </c>
      <c r="F3755" s="6">
        <v>3</v>
      </c>
      <c r="G3755" s="6" t="s">
        <v>13</v>
      </c>
      <c r="H3755" s="6" t="s">
        <v>9</v>
      </c>
      <c r="I3755" s="6">
        <f>TabJogos[[#This Row],[PontosTime1]]-TabJogos[[#This Row],[PontosTime2]]</f>
        <v>-3</v>
      </c>
    </row>
    <row r="3756" spans="1:9" ht="15" customHeight="1" x14ac:dyDescent="0.25">
      <c r="A3756" s="7">
        <v>3755</v>
      </c>
      <c r="B3756" s="1">
        <v>43630</v>
      </c>
      <c r="C3756" s="6" t="s">
        <v>9</v>
      </c>
      <c r="D3756" s="6" t="s">
        <v>18</v>
      </c>
      <c r="E3756" s="6">
        <v>3</v>
      </c>
      <c r="F3756" s="6">
        <v>0</v>
      </c>
      <c r="G3756" s="6" t="s">
        <v>16</v>
      </c>
      <c r="H3756" s="6" t="s">
        <v>10</v>
      </c>
      <c r="I3756" s="6">
        <f>TabJogos[[#This Row],[PontosTime1]]-TabJogos[[#This Row],[PontosTime2]]</f>
        <v>3</v>
      </c>
    </row>
    <row r="3757" spans="1:9" ht="15" customHeight="1" x14ac:dyDescent="0.25">
      <c r="A3757" s="7">
        <v>3756</v>
      </c>
      <c r="B3757" s="1">
        <v>43630</v>
      </c>
      <c r="C3757" s="6" t="s">
        <v>9</v>
      </c>
      <c r="D3757" s="6" t="s">
        <v>11</v>
      </c>
      <c r="E3757" s="6">
        <v>3</v>
      </c>
      <c r="F3757" s="6">
        <v>1</v>
      </c>
      <c r="G3757" s="6" t="s">
        <v>12</v>
      </c>
      <c r="H3757" s="6" t="s">
        <v>18</v>
      </c>
      <c r="I3757" s="6">
        <f>TabJogos[[#This Row],[PontosTime1]]-TabJogos[[#This Row],[PontosTime2]]</f>
        <v>2</v>
      </c>
    </row>
    <row r="3758" spans="1:9" ht="15" customHeight="1" x14ac:dyDescent="0.25">
      <c r="A3758" s="7">
        <v>3757</v>
      </c>
      <c r="B3758" s="1">
        <v>43630</v>
      </c>
      <c r="C3758" s="6" t="s">
        <v>9</v>
      </c>
      <c r="D3758" s="6" t="s">
        <v>10</v>
      </c>
      <c r="E3758" s="6">
        <v>0</v>
      </c>
      <c r="F3758" s="6">
        <v>3</v>
      </c>
      <c r="G3758" s="6" t="s">
        <v>11</v>
      </c>
      <c r="H3758" s="6" t="s">
        <v>18</v>
      </c>
      <c r="I3758" s="6">
        <f>TabJogos[[#This Row],[PontosTime1]]-TabJogos[[#This Row],[PontosTime2]]</f>
        <v>-3</v>
      </c>
    </row>
    <row r="3759" spans="1:9" ht="15" customHeight="1" x14ac:dyDescent="0.25">
      <c r="A3759" s="7">
        <v>3758</v>
      </c>
      <c r="B3759" s="1">
        <v>43630</v>
      </c>
      <c r="C3759" s="6" t="s">
        <v>11</v>
      </c>
      <c r="D3759" s="6" t="s">
        <v>12</v>
      </c>
      <c r="E3759" s="6">
        <v>0</v>
      </c>
      <c r="F3759" s="6">
        <v>3</v>
      </c>
      <c r="G3759" s="6" t="s">
        <v>10</v>
      </c>
      <c r="H3759" s="6" t="s">
        <v>18</v>
      </c>
      <c r="I3759" s="6">
        <f>TabJogos[[#This Row],[PontosTime1]]-TabJogos[[#This Row],[PontosTime2]]</f>
        <v>-3</v>
      </c>
    </row>
    <row r="3760" spans="1:9" ht="15" customHeight="1" x14ac:dyDescent="0.25">
      <c r="A3760" s="7">
        <v>3759</v>
      </c>
      <c r="B3760" s="1">
        <v>43630</v>
      </c>
      <c r="C3760" s="6" t="s">
        <v>41</v>
      </c>
      <c r="D3760" s="6" t="s">
        <v>10</v>
      </c>
      <c r="E3760" s="6">
        <v>3</v>
      </c>
      <c r="F3760" s="6">
        <v>1</v>
      </c>
      <c r="G3760" s="6" t="s">
        <v>9</v>
      </c>
      <c r="H3760" s="6" t="s">
        <v>18</v>
      </c>
      <c r="I3760" s="6">
        <f>TabJogos[[#This Row],[PontosTime1]]-TabJogos[[#This Row],[PontosTime2]]</f>
        <v>2</v>
      </c>
    </row>
    <row r="3761" spans="1:9" ht="15" customHeight="1" x14ac:dyDescent="0.25">
      <c r="A3761" s="7">
        <v>3760</v>
      </c>
      <c r="B3761" s="1">
        <v>43630</v>
      </c>
      <c r="C3761" s="6" t="s">
        <v>41</v>
      </c>
      <c r="D3761" s="6" t="s">
        <v>11</v>
      </c>
      <c r="E3761" s="6">
        <v>3</v>
      </c>
      <c r="F3761" s="6">
        <v>2</v>
      </c>
      <c r="G3761" s="6" t="s">
        <v>10</v>
      </c>
      <c r="H3761" s="6" t="s">
        <v>12</v>
      </c>
      <c r="I3761" s="6">
        <f>TabJogos[[#This Row],[PontosTime1]]-TabJogos[[#This Row],[PontosTime2]]</f>
        <v>1</v>
      </c>
    </row>
    <row r="3762" spans="1:9" ht="15" customHeight="1" x14ac:dyDescent="0.25">
      <c r="A3762" s="7">
        <v>3761</v>
      </c>
      <c r="B3762" s="1">
        <v>43630</v>
      </c>
      <c r="C3762" s="6" t="s">
        <v>41</v>
      </c>
      <c r="D3762" s="6" t="s">
        <v>18</v>
      </c>
      <c r="E3762" s="6">
        <v>5</v>
      </c>
      <c r="F3762" s="6">
        <v>0</v>
      </c>
      <c r="G3762" s="6" t="s">
        <v>17</v>
      </c>
      <c r="H3762" s="6" t="s">
        <v>11</v>
      </c>
      <c r="I3762" s="6">
        <f>TabJogos[[#This Row],[PontosTime1]]-TabJogos[[#This Row],[PontosTime2]]</f>
        <v>5</v>
      </c>
    </row>
    <row r="3763" spans="1:9" ht="15" customHeight="1" x14ac:dyDescent="0.25">
      <c r="A3763" s="7">
        <v>3762</v>
      </c>
      <c r="B3763" s="1">
        <v>43630</v>
      </c>
      <c r="C3763" s="6" t="s">
        <v>41</v>
      </c>
      <c r="D3763" s="6" t="s">
        <v>9</v>
      </c>
      <c r="E3763" s="6">
        <v>4</v>
      </c>
      <c r="F3763" s="6">
        <v>1</v>
      </c>
      <c r="G3763" s="6" t="s">
        <v>17</v>
      </c>
      <c r="H3763" s="6" t="s">
        <v>18</v>
      </c>
      <c r="I3763" s="6">
        <f>TabJogos[[#This Row],[PontosTime1]]-TabJogos[[#This Row],[PontosTime2]]</f>
        <v>3</v>
      </c>
    </row>
    <row r="3764" spans="1:9" ht="15" customHeight="1" x14ac:dyDescent="0.25">
      <c r="A3764" s="7">
        <v>3763</v>
      </c>
      <c r="B3764" s="1">
        <v>43630</v>
      </c>
      <c r="C3764" s="6" t="s">
        <v>9</v>
      </c>
      <c r="D3764" s="6" t="s">
        <v>18</v>
      </c>
      <c r="E3764" s="6">
        <v>4</v>
      </c>
      <c r="F3764" s="6">
        <v>2</v>
      </c>
      <c r="G3764" s="6" t="s">
        <v>11</v>
      </c>
      <c r="H3764" s="6" t="s">
        <v>41</v>
      </c>
      <c r="I3764" s="6">
        <f>TabJogos[[#This Row],[PontosTime1]]-TabJogos[[#This Row],[PontosTime2]]</f>
        <v>2</v>
      </c>
    </row>
    <row r="3765" spans="1:9" ht="15" customHeight="1" x14ac:dyDescent="0.25">
      <c r="A3765" s="7">
        <v>3764</v>
      </c>
      <c r="B3765" s="1">
        <v>43630</v>
      </c>
      <c r="C3765" s="6" t="s">
        <v>11</v>
      </c>
      <c r="D3765" s="6" t="s">
        <v>18</v>
      </c>
      <c r="E3765" s="6">
        <v>0</v>
      </c>
      <c r="F3765" s="6">
        <v>3</v>
      </c>
      <c r="G3765" s="6" t="s">
        <v>17</v>
      </c>
      <c r="H3765" s="6" t="s">
        <v>9</v>
      </c>
      <c r="I3765" s="6">
        <f>TabJogos[[#This Row],[PontosTime1]]-TabJogos[[#This Row],[PontosTime2]]</f>
        <v>-3</v>
      </c>
    </row>
    <row r="3766" spans="1:9" ht="15" customHeight="1" x14ac:dyDescent="0.25">
      <c r="A3766" s="7">
        <v>3765</v>
      </c>
      <c r="B3766" s="1">
        <v>43630</v>
      </c>
      <c r="C3766" s="6" t="s">
        <v>11</v>
      </c>
      <c r="D3766" s="6" t="s">
        <v>9</v>
      </c>
      <c r="E3766" s="6">
        <v>3</v>
      </c>
      <c r="F3766" s="6">
        <v>2</v>
      </c>
      <c r="G3766" s="6" t="s">
        <v>17</v>
      </c>
      <c r="H3766" s="6" t="s">
        <v>18</v>
      </c>
      <c r="I3766" s="6">
        <f>TabJogos[[#This Row],[PontosTime1]]-TabJogos[[#This Row],[PontosTime2]]</f>
        <v>1</v>
      </c>
    </row>
    <row r="3767" spans="1:9" ht="15" customHeight="1" x14ac:dyDescent="0.25">
      <c r="A3767" s="7">
        <v>3766</v>
      </c>
      <c r="B3767" s="1">
        <v>43630</v>
      </c>
      <c r="C3767" s="6" t="s">
        <v>11</v>
      </c>
      <c r="D3767" s="6" t="s">
        <v>17</v>
      </c>
      <c r="E3767" s="6">
        <v>4</v>
      </c>
      <c r="F3767" s="6">
        <v>0</v>
      </c>
      <c r="G3767" s="6" t="s">
        <v>18</v>
      </c>
      <c r="H3767" s="6" t="s">
        <v>9</v>
      </c>
      <c r="I3767" s="6">
        <f>TabJogos[[#This Row],[PontosTime1]]-TabJogos[[#This Row],[PontosTime2]]</f>
        <v>4</v>
      </c>
    </row>
    <row r="3768" spans="1:9" ht="15" customHeight="1" x14ac:dyDescent="0.25">
      <c r="A3768" s="7">
        <v>3767</v>
      </c>
      <c r="B3768" s="1">
        <v>43633</v>
      </c>
      <c r="C3768" s="6" t="s">
        <v>10</v>
      </c>
      <c r="D3768" s="6" t="s">
        <v>17</v>
      </c>
      <c r="E3768" s="6">
        <v>3</v>
      </c>
      <c r="F3768" s="6">
        <v>2</v>
      </c>
      <c r="G3768" s="6" t="s">
        <v>9</v>
      </c>
      <c r="H3768" s="6" t="s">
        <v>13</v>
      </c>
      <c r="I3768" s="6">
        <f>TabJogos[[#This Row],[PontosTime1]]-TabJogos[[#This Row],[PontosTime2]]</f>
        <v>1</v>
      </c>
    </row>
    <row r="3769" spans="1:9" ht="15" customHeight="1" x14ac:dyDescent="0.25">
      <c r="A3769" s="7">
        <v>3768</v>
      </c>
      <c r="B3769" s="1">
        <v>43633</v>
      </c>
      <c r="C3769" s="6" t="s">
        <v>10</v>
      </c>
      <c r="D3769" s="6" t="s">
        <v>13</v>
      </c>
      <c r="E3769" s="6">
        <v>1</v>
      </c>
      <c r="F3769" s="6">
        <v>3</v>
      </c>
      <c r="G3769" s="6" t="s">
        <v>17</v>
      </c>
      <c r="H3769" s="6" t="s">
        <v>9</v>
      </c>
      <c r="I3769" s="6">
        <f>TabJogos[[#This Row],[PontosTime1]]-TabJogos[[#This Row],[PontosTime2]]</f>
        <v>-2</v>
      </c>
    </row>
    <row r="3770" spans="1:9" ht="15" customHeight="1" x14ac:dyDescent="0.25">
      <c r="A3770" s="7">
        <v>3769</v>
      </c>
      <c r="B3770" s="1">
        <v>43633</v>
      </c>
      <c r="C3770" s="6" t="s">
        <v>10</v>
      </c>
      <c r="D3770" s="6" t="s">
        <v>9</v>
      </c>
      <c r="E3770" s="6">
        <v>2</v>
      </c>
      <c r="F3770" s="6">
        <v>3</v>
      </c>
      <c r="G3770" s="6" t="s">
        <v>17</v>
      </c>
      <c r="H3770" s="6" t="s">
        <v>28</v>
      </c>
      <c r="I3770" s="6">
        <f>TabJogos[[#This Row],[PontosTime1]]-TabJogos[[#This Row],[PontosTime2]]</f>
        <v>-1</v>
      </c>
    </row>
    <row r="3771" spans="1:9" ht="15" customHeight="1" x14ac:dyDescent="0.25">
      <c r="A3771" s="7">
        <v>3770</v>
      </c>
      <c r="B3771" s="1">
        <v>43633</v>
      </c>
      <c r="C3771" s="6" t="s">
        <v>10</v>
      </c>
      <c r="D3771" s="6" t="s">
        <v>13</v>
      </c>
      <c r="E3771" s="6">
        <v>0</v>
      </c>
      <c r="F3771" s="6">
        <v>4</v>
      </c>
      <c r="G3771" s="6" t="s">
        <v>17</v>
      </c>
      <c r="H3771" s="6" t="s">
        <v>9</v>
      </c>
      <c r="I3771" s="6">
        <f>TabJogos[[#This Row],[PontosTime1]]-TabJogos[[#This Row],[PontosTime2]]</f>
        <v>-4</v>
      </c>
    </row>
    <row r="3772" spans="1:9" ht="15" customHeight="1" x14ac:dyDescent="0.25">
      <c r="A3772" s="7">
        <v>3771</v>
      </c>
      <c r="B3772" s="1">
        <v>43633</v>
      </c>
      <c r="C3772" s="6" t="s">
        <v>10</v>
      </c>
      <c r="D3772" s="6" t="s">
        <v>17</v>
      </c>
      <c r="E3772" s="6">
        <v>3</v>
      </c>
      <c r="F3772" s="6">
        <v>1</v>
      </c>
      <c r="G3772" s="6" t="s">
        <v>13</v>
      </c>
      <c r="H3772" s="6" t="s">
        <v>9</v>
      </c>
      <c r="I3772" s="6">
        <f>TabJogos[[#This Row],[PontosTime1]]-TabJogos[[#This Row],[PontosTime2]]</f>
        <v>2</v>
      </c>
    </row>
    <row r="3773" spans="1:9" ht="15" customHeight="1" x14ac:dyDescent="0.25">
      <c r="A3773" s="7">
        <v>3772</v>
      </c>
      <c r="B3773" s="1">
        <v>43633</v>
      </c>
      <c r="C3773" s="6" t="s">
        <v>10</v>
      </c>
      <c r="D3773" s="6" t="s">
        <v>18</v>
      </c>
      <c r="E3773" s="6">
        <v>4</v>
      </c>
      <c r="F3773" s="6">
        <v>1</v>
      </c>
      <c r="G3773" s="6" t="s">
        <v>13</v>
      </c>
      <c r="H3773" s="6" t="s">
        <v>10</v>
      </c>
      <c r="I3773" s="6">
        <f>TabJogos[[#This Row],[PontosTime1]]-TabJogos[[#This Row],[PontosTime2]]</f>
        <v>3</v>
      </c>
    </row>
    <row r="3774" spans="1:9" ht="15" customHeight="1" x14ac:dyDescent="0.25">
      <c r="A3774" s="7">
        <v>3773</v>
      </c>
      <c r="B3774" s="1">
        <v>43633</v>
      </c>
      <c r="C3774" s="6" t="s">
        <v>17</v>
      </c>
      <c r="D3774" s="6" t="s">
        <v>9</v>
      </c>
      <c r="E3774" s="6">
        <v>0</v>
      </c>
      <c r="F3774" s="6">
        <v>3</v>
      </c>
      <c r="G3774" s="6" t="s">
        <v>18</v>
      </c>
      <c r="H3774" s="6" t="s">
        <v>13</v>
      </c>
      <c r="I3774" s="6">
        <f>TabJogos[[#This Row],[PontosTime1]]-TabJogos[[#This Row],[PontosTime2]]</f>
        <v>-3</v>
      </c>
    </row>
    <row r="3775" spans="1:9" ht="15" customHeight="1" x14ac:dyDescent="0.25">
      <c r="A3775" s="7">
        <v>3774</v>
      </c>
      <c r="B3775" s="1">
        <v>43633</v>
      </c>
      <c r="C3775" s="6" t="s">
        <v>17</v>
      </c>
      <c r="D3775" s="6" t="s">
        <v>18</v>
      </c>
      <c r="E3775" s="6">
        <v>5</v>
      </c>
      <c r="F3775" s="6">
        <v>2</v>
      </c>
      <c r="G3775" s="6" t="s">
        <v>13</v>
      </c>
      <c r="H3775" s="6" t="s">
        <v>9</v>
      </c>
      <c r="I3775" s="6">
        <f>TabJogos[[#This Row],[PontosTime1]]-TabJogos[[#This Row],[PontosTime2]]</f>
        <v>3</v>
      </c>
    </row>
    <row r="3776" spans="1:9" ht="15" customHeight="1" x14ac:dyDescent="0.25">
      <c r="A3776" s="7">
        <v>3775</v>
      </c>
      <c r="B3776" s="1">
        <v>43633</v>
      </c>
      <c r="C3776" s="6" t="s">
        <v>18</v>
      </c>
      <c r="D3776" s="6" t="s">
        <v>9</v>
      </c>
      <c r="E3776" s="6">
        <v>3</v>
      </c>
      <c r="F3776" s="6">
        <v>2</v>
      </c>
      <c r="G3776" s="6" t="s">
        <v>13</v>
      </c>
      <c r="H3776" s="6" t="s">
        <v>17</v>
      </c>
      <c r="I3776" s="6">
        <f>TabJogos[[#This Row],[PontosTime1]]-TabJogos[[#This Row],[PontosTime2]]</f>
        <v>1</v>
      </c>
    </row>
    <row r="3777" spans="1:9" ht="15" customHeight="1" x14ac:dyDescent="0.25">
      <c r="A3777" s="7">
        <v>3776</v>
      </c>
      <c r="B3777" s="1">
        <v>43633</v>
      </c>
      <c r="C3777" s="6" t="s">
        <v>9</v>
      </c>
      <c r="D3777" s="6" t="s">
        <v>17</v>
      </c>
      <c r="E3777" s="6">
        <v>3</v>
      </c>
      <c r="F3777" s="6">
        <v>2</v>
      </c>
      <c r="G3777" s="6" t="s">
        <v>18</v>
      </c>
      <c r="H3777" s="6" t="s">
        <v>13</v>
      </c>
      <c r="I3777" s="6">
        <f>TabJogos[[#This Row],[PontosTime1]]-TabJogos[[#This Row],[PontosTime2]]</f>
        <v>1</v>
      </c>
    </row>
    <row r="3778" spans="1:9" ht="15" customHeight="1" x14ac:dyDescent="0.25">
      <c r="A3778" s="7">
        <v>3777</v>
      </c>
      <c r="B3778" s="1">
        <v>43633</v>
      </c>
      <c r="C3778" s="6" t="s">
        <v>17</v>
      </c>
      <c r="D3778" s="6" t="s">
        <v>18</v>
      </c>
      <c r="E3778" s="6">
        <v>1</v>
      </c>
      <c r="F3778" s="6">
        <v>3</v>
      </c>
      <c r="G3778" s="6" t="s">
        <v>9</v>
      </c>
      <c r="H3778" s="6" t="s">
        <v>13</v>
      </c>
      <c r="I3778" s="6">
        <f>TabJogos[[#This Row],[PontosTime1]]-TabJogos[[#This Row],[PontosTime2]]</f>
        <v>-2</v>
      </c>
    </row>
    <row r="3779" spans="1:9" ht="15" customHeight="1" x14ac:dyDescent="0.25">
      <c r="A3779" s="7">
        <v>3778</v>
      </c>
      <c r="B3779" s="1">
        <v>43634</v>
      </c>
      <c r="C3779" s="6" t="s">
        <v>18</v>
      </c>
      <c r="D3779" s="6" t="s">
        <v>10</v>
      </c>
      <c r="E3779" s="6">
        <v>0</v>
      </c>
      <c r="F3779" s="6">
        <v>4</v>
      </c>
      <c r="G3779" s="6" t="s">
        <v>41</v>
      </c>
      <c r="H3779" s="6" t="s">
        <v>9</v>
      </c>
      <c r="I3779" s="6">
        <f>TabJogos[[#This Row],[PontosTime1]]-TabJogos[[#This Row],[PontosTime2]]</f>
        <v>-4</v>
      </c>
    </row>
    <row r="3780" spans="1:9" ht="15" customHeight="1" x14ac:dyDescent="0.25">
      <c r="A3780" s="7">
        <v>3779</v>
      </c>
      <c r="B3780" s="1">
        <v>43634</v>
      </c>
      <c r="C3780" s="6" t="s">
        <v>9</v>
      </c>
      <c r="D3780" s="6" t="s">
        <v>12</v>
      </c>
      <c r="E3780" s="6">
        <v>3</v>
      </c>
      <c r="F3780" s="6">
        <v>0</v>
      </c>
      <c r="G3780" s="6" t="s">
        <v>41</v>
      </c>
      <c r="H3780" s="6" t="s">
        <v>13</v>
      </c>
      <c r="I3780" s="6">
        <f>TabJogos[[#This Row],[PontosTime1]]-TabJogos[[#This Row],[PontosTime2]]</f>
        <v>3</v>
      </c>
    </row>
    <row r="3781" spans="1:9" ht="15" customHeight="1" x14ac:dyDescent="0.25">
      <c r="A3781" s="7">
        <v>3780</v>
      </c>
      <c r="B3781" s="1">
        <v>43634</v>
      </c>
      <c r="C3781" s="6" t="s">
        <v>18</v>
      </c>
      <c r="D3781" s="6" t="s">
        <v>12</v>
      </c>
      <c r="E3781" s="6">
        <v>3</v>
      </c>
      <c r="F3781" s="6">
        <v>2</v>
      </c>
      <c r="G3781" s="6" t="s">
        <v>9</v>
      </c>
      <c r="H3781" s="6" t="s">
        <v>10</v>
      </c>
      <c r="I3781" s="6">
        <f>TabJogos[[#This Row],[PontosTime1]]-TabJogos[[#This Row],[PontosTime2]]</f>
        <v>1</v>
      </c>
    </row>
    <row r="3782" spans="1:9" ht="15" customHeight="1" x14ac:dyDescent="0.25">
      <c r="A3782" s="7">
        <v>3781</v>
      </c>
      <c r="B3782" s="1">
        <v>43634</v>
      </c>
      <c r="C3782" s="6" t="s">
        <v>13</v>
      </c>
      <c r="D3782" s="6" t="s">
        <v>18</v>
      </c>
      <c r="E3782" s="6">
        <v>3</v>
      </c>
      <c r="F3782" s="6">
        <v>1</v>
      </c>
      <c r="G3782" s="6" t="s">
        <v>41</v>
      </c>
      <c r="H3782" s="6" t="s">
        <v>12</v>
      </c>
      <c r="I3782" s="6">
        <f>TabJogos[[#This Row],[PontosTime1]]-TabJogos[[#This Row],[PontosTime2]]</f>
        <v>2</v>
      </c>
    </row>
    <row r="3783" spans="1:9" ht="15" customHeight="1" x14ac:dyDescent="0.25">
      <c r="A3783" s="7">
        <v>3782</v>
      </c>
      <c r="B3783" s="1">
        <v>43634</v>
      </c>
      <c r="C3783" s="6" t="s">
        <v>13</v>
      </c>
      <c r="D3783" s="6" t="s">
        <v>9</v>
      </c>
      <c r="E3783" s="6">
        <v>1</v>
      </c>
      <c r="F3783" s="6">
        <v>3</v>
      </c>
      <c r="G3783" s="6" t="s">
        <v>41</v>
      </c>
      <c r="H3783" s="6" t="s">
        <v>18</v>
      </c>
      <c r="I3783" s="6">
        <f>TabJogos[[#This Row],[PontosTime1]]-TabJogos[[#This Row],[PontosTime2]]</f>
        <v>-2</v>
      </c>
    </row>
    <row r="3784" spans="1:9" ht="15" customHeight="1" x14ac:dyDescent="0.25">
      <c r="A3784" s="7">
        <v>3783</v>
      </c>
      <c r="B3784" s="1">
        <v>43634</v>
      </c>
      <c r="C3784" s="6" t="s">
        <v>13</v>
      </c>
      <c r="D3784" s="6" t="s">
        <v>41</v>
      </c>
      <c r="E3784" s="6">
        <v>3</v>
      </c>
      <c r="F3784" s="6">
        <v>2</v>
      </c>
      <c r="G3784" s="6" t="s">
        <v>9</v>
      </c>
      <c r="H3784" s="6" t="s">
        <v>18</v>
      </c>
      <c r="I3784" s="6">
        <f>TabJogos[[#This Row],[PontosTime1]]-TabJogos[[#This Row],[PontosTime2]]</f>
        <v>1</v>
      </c>
    </row>
    <row r="3785" spans="1:9" ht="15" customHeight="1" x14ac:dyDescent="0.25">
      <c r="A3785" s="7">
        <v>3784</v>
      </c>
      <c r="B3785" s="1">
        <v>43634</v>
      </c>
      <c r="C3785" s="6" t="s">
        <v>9</v>
      </c>
      <c r="D3785" s="6" t="s">
        <v>41</v>
      </c>
      <c r="E3785" s="6">
        <v>3</v>
      </c>
      <c r="F3785" s="6">
        <v>0</v>
      </c>
      <c r="G3785" s="6" t="s">
        <v>13</v>
      </c>
      <c r="H3785" s="6" t="s">
        <v>18</v>
      </c>
      <c r="I3785" s="6">
        <f>TabJogos[[#This Row],[PontosTime1]]-TabJogos[[#This Row],[PontosTime2]]</f>
        <v>3</v>
      </c>
    </row>
    <row r="3786" spans="1:9" ht="15" customHeight="1" x14ac:dyDescent="0.25">
      <c r="A3786" s="7">
        <v>3785</v>
      </c>
      <c r="B3786" s="1">
        <v>43634</v>
      </c>
      <c r="C3786" s="6" t="s">
        <v>13</v>
      </c>
      <c r="D3786" s="6" t="s">
        <v>9</v>
      </c>
      <c r="E3786" s="6">
        <v>0</v>
      </c>
      <c r="F3786" s="6">
        <v>3</v>
      </c>
      <c r="G3786" s="6" t="s">
        <v>41</v>
      </c>
      <c r="H3786" s="6" t="s">
        <v>18</v>
      </c>
      <c r="I3786" s="6">
        <f>TabJogos[[#This Row],[PontosTime1]]-TabJogos[[#This Row],[PontosTime2]]</f>
        <v>-3</v>
      </c>
    </row>
    <row r="3787" spans="1:9" ht="15" customHeight="1" x14ac:dyDescent="0.25">
      <c r="A3787" s="7">
        <v>3786</v>
      </c>
      <c r="B3787" s="1">
        <v>43634</v>
      </c>
      <c r="C3787" s="6" t="s">
        <v>13</v>
      </c>
      <c r="D3787" s="6" t="s">
        <v>41</v>
      </c>
      <c r="E3787" s="6">
        <v>4</v>
      </c>
      <c r="F3787" s="6">
        <v>1</v>
      </c>
      <c r="G3787" s="6" t="s">
        <v>9</v>
      </c>
      <c r="H3787" s="6" t="s">
        <v>18</v>
      </c>
      <c r="I3787" s="6">
        <f>TabJogos[[#This Row],[PontosTime1]]-TabJogos[[#This Row],[PontosTime2]]</f>
        <v>3</v>
      </c>
    </row>
    <row r="3788" spans="1:9" ht="15" customHeight="1" x14ac:dyDescent="0.25">
      <c r="A3788" s="7">
        <v>3787</v>
      </c>
      <c r="B3788" s="1">
        <v>43634</v>
      </c>
      <c r="C3788" s="6" t="s">
        <v>13</v>
      </c>
      <c r="D3788" s="6" t="s">
        <v>18</v>
      </c>
      <c r="E3788" s="6">
        <v>3</v>
      </c>
      <c r="F3788" s="6">
        <v>1</v>
      </c>
      <c r="G3788" s="6" t="s">
        <v>41</v>
      </c>
      <c r="H3788" s="6" t="s">
        <v>9</v>
      </c>
      <c r="I3788" s="6">
        <f>TabJogos[[#This Row],[PontosTime1]]-TabJogos[[#This Row],[PontosTime2]]</f>
        <v>2</v>
      </c>
    </row>
    <row r="3789" spans="1:9" ht="15" customHeight="1" x14ac:dyDescent="0.25">
      <c r="A3789" s="7">
        <v>3788</v>
      </c>
      <c r="B3789" s="1">
        <v>43634</v>
      </c>
      <c r="C3789" s="6" t="s">
        <v>41</v>
      </c>
      <c r="D3789" s="6" t="s">
        <v>18</v>
      </c>
      <c r="E3789" s="6">
        <v>3</v>
      </c>
      <c r="F3789" s="6">
        <v>1</v>
      </c>
      <c r="G3789" s="6" t="s">
        <v>13</v>
      </c>
      <c r="H3789" s="6" t="s">
        <v>9</v>
      </c>
      <c r="I3789" s="6">
        <f>TabJogos[[#This Row],[PontosTime1]]-TabJogos[[#This Row],[PontosTime2]]</f>
        <v>2</v>
      </c>
    </row>
    <row r="3790" spans="1:9" ht="15" customHeight="1" x14ac:dyDescent="0.25">
      <c r="A3790" s="7">
        <v>3789</v>
      </c>
      <c r="B3790" s="1">
        <v>43634</v>
      </c>
      <c r="C3790" s="6" t="s">
        <v>41</v>
      </c>
      <c r="D3790" s="6" t="s">
        <v>13</v>
      </c>
      <c r="E3790" s="6">
        <v>3</v>
      </c>
      <c r="F3790" s="6">
        <v>1</v>
      </c>
      <c r="G3790" s="6" t="s">
        <v>18</v>
      </c>
      <c r="H3790" s="6" t="s">
        <v>9</v>
      </c>
      <c r="I3790" s="6">
        <f>TabJogos[[#This Row],[PontosTime1]]-TabJogos[[#This Row],[PontosTime2]]</f>
        <v>2</v>
      </c>
    </row>
    <row r="3791" spans="1:9" ht="15" customHeight="1" x14ac:dyDescent="0.25">
      <c r="A3791" s="7">
        <v>3790</v>
      </c>
      <c r="B3791" s="1">
        <v>43635</v>
      </c>
      <c r="C3791" s="6" t="s">
        <v>13</v>
      </c>
      <c r="D3791" s="6" t="s">
        <v>10</v>
      </c>
      <c r="E3791" s="6">
        <v>4</v>
      </c>
      <c r="F3791" s="6">
        <v>1</v>
      </c>
      <c r="G3791" s="6" t="s">
        <v>17</v>
      </c>
      <c r="H3791" s="6" t="s">
        <v>12</v>
      </c>
      <c r="I3791" s="6">
        <f>TabJogos[[#This Row],[PontosTime1]]-TabJogos[[#This Row],[PontosTime2]]</f>
        <v>3</v>
      </c>
    </row>
    <row r="3792" spans="1:9" ht="15" customHeight="1" x14ac:dyDescent="0.25">
      <c r="A3792" s="7">
        <v>3791</v>
      </c>
      <c r="B3792" s="1">
        <v>43635</v>
      </c>
      <c r="C3792" s="6" t="s">
        <v>12</v>
      </c>
      <c r="D3792" s="6" t="s">
        <v>10</v>
      </c>
      <c r="E3792" s="6">
        <v>4</v>
      </c>
      <c r="F3792" s="6">
        <v>1</v>
      </c>
      <c r="G3792" s="6" t="s">
        <v>17</v>
      </c>
      <c r="H3792" s="6" t="s">
        <v>13</v>
      </c>
      <c r="I3792" s="6">
        <f>TabJogos[[#This Row],[PontosTime1]]-TabJogos[[#This Row],[PontosTime2]]</f>
        <v>3</v>
      </c>
    </row>
    <row r="3793" spans="1:9" ht="15" customHeight="1" x14ac:dyDescent="0.25">
      <c r="A3793" s="7">
        <v>3792</v>
      </c>
      <c r="B3793" s="1">
        <v>43635</v>
      </c>
      <c r="C3793" s="6" t="s">
        <v>17</v>
      </c>
      <c r="D3793" s="6" t="s">
        <v>10</v>
      </c>
      <c r="E3793" s="6">
        <v>6</v>
      </c>
      <c r="F3793" s="6">
        <v>1</v>
      </c>
      <c r="G3793" s="6" t="s">
        <v>12</v>
      </c>
      <c r="H3793" s="6" t="s">
        <v>13</v>
      </c>
      <c r="I3793" s="6">
        <f>TabJogos[[#This Row],[PontosTime1]]-TabJogos[[#This Row],[PontosTime2]]</f>
        <v>5</v>
      </c>
    </row>
    <row r="3794" spans="1:9" ht="15" customHeight="1" x14ac:dyDescent="0.25">
      <c r="A3794" s="7">
        <v>3793</v>
      </c>
      <c r="B3794" s="1">
        <v>43641</v>
      </c>
      <c r="C3794" s="6" t="s">
        <v>9</v>
      </c>
      <c r="D3794" s="6" t="s">
        <v>12</v>
      </c>
      <c r="E3794" s="6">
        <v>3</v>
      </c>
      <c r="F3794" s="6">
        <v>2</v>
      </c>
      <c r="G3794" s="6" t="s">
        <v>10</v>
      </c>
      <c r="H3794" s="6" t="s">
        <v>18</v>
      </c>
      <c r="I3794" s="6">
        <f>TabJogos[[#This Row],[PontosTime1]]-TabJogos[[#This Row],[PontosTime2]]</f>
        <v>1</v>
      </c>
    </row>
    <row r="3795" spans="1:9" ht="15" customHeight="1" x14ac:dyDescent="0.25">
      <c r="A3795" s="7">
        <v>3794</v>
      </c>
      <c r="B3795" s="1">
        <v>43641</v>
      </c>
      <c r="C3795" s="6" t="s">
        <v>10</v>
      </c>
      <c r="D3795" s="6" t="s">
        <v>12</v>
      </c>
      <c r="E3795" s="6">
        <v>3</v>
      </c>
      <c r="F3795" s="6">
        <v>2</v>
      </c>
      <c r="G3795" s="6" t="s">
        <v>9</v>
      </c>
      <c r="H3795" s="6" t="s">
        <v>18</v>
      </c>
      <c r="I3795" s="6">
        <f>TabJogos[[#This Row],[PontosTime1]]-TabJogos[[#This Row],[PontosTime2]]</f>
        <v>1</v>
      </c>
    </row>
    <row r="3796" spans="1:9" ht="15" customHeight="1" x14ac:dyDescent="0.25">
      <c r="A3796" s="7">
        <v>3795</v>
      </c>
      <c r="B3796" s="1">
        <v>43641</v>
      </c>
      <c r="C3796" s="6" t="s">
        <v>10</v>
      </c>
      <c r="D3796" s="6" t="s">
        <v>41</v>
      </c>
      <c r="E3796" s="6">
        <v>2</v>
      </c>
      <c r="F3796" s="6">
        <v>3</v>
      </c>
      <c r="G3796" s="6" t="s">
        <v>9</v>
      </c>
      <c r="H3796" s="6" t="s">
        <v>32</v>
      </c>
      <c r="I3796" s="6">
        <f>TabJogos[[#This Row],[PontosTime1]]-TabJogos[[#This Row],[PontosTime2]]</f>
        <v>-1</v>
      </c>
    </row>
    <row r="3797" spans="1:9" ht="15" customHeight="1" x14ac:dyDescent="0.25">
      <c r="A3797" s="7">
        <v>3796</v>
      </c>
      <c r="B3797" s="1">
        <v>43641</v>
      </c>
      <c r="C3797" s="6" t="s">
        <v>9</v>
      </c>
      <c r="D3797" s="6" t="s">
        <v>11</v>
      </c>
      <c r="E3797" s="6">
        <v>3</v>
      </c>
      <c r="F3797" s="6">
        <v>1</v>
      </c>
      <c r="G3797" s="6" t="s">
        <v>32</v>
      </c>
      <c r="H3797" s="6" t="s">
        <v>18</v>
      </c>
      <c r="I3797" s="6">
        <f>TabJogos[[#This Row],[PontosTime1]]-TabJogos[[#This Row],[PontosTime2]]</f>
        <v>2</v>
      </c>
    </row>
    <row r="3798" spans="1:9" ht="15" customHeight="1" x14ac:dyDescent="0.25">
      <c r="A3798" s="7">
        <v>3797</v>
      </c>
      <c r="B3798" s="1">
        <v>43641</v>
      </c>
      <c r="C3798" s="6" t="s">
        <v>9</v>
      </c>
      <c r="D3798" s="6" t="s">
        <v>27</v>
      </c>
      <c r="E3798" s="6">
        <v>4</v>
      </c>
      <c r="F3798" s="6">
        <v>0</v>
      </c>
      <c r="G3798" s="6" t="s">
        <v>11</v>
      </c>
      <c r="H3798" s="6" t="s">
        <v>32</v>
      </c>
      <c r="I3798" s="6">
        <f>TabJogos[[#This Row],[PontosTime1]]-TabJogos[[#This Row],[PontosTime2]]</f>
        <v>4</v>
      </c>
    </row>
    <row r="3799" spans="1:9" ht="15" customHeight="1" x14ac:dyDescent="0.25">
      <c r="A3799" s="7">
        <v>3798</v>
      </c>
      <c r="B3799" s="1">
        <v>43641</v>
      </c>
      <c r="C3799" s="6" t="s">
        <v>9</v>
      </c>
      <c r="D3799" s="6" t="s">
        <v>41</v>
      </c>
      <c r="E3799" s="6">
        <v>4</v>
      </c>
      <c r="F3799" s="6">
        <v>0</v>
      </c>
      <c r="G3799" s="6" t="s">
        <v>18</v>
      </c>
      <c r="H3799" s="6" t="s">
        <v>27</v>
      </c>
      <c r="I3799" s="6">
        <f>TabJogos[[#This Row],[PontosTime1]]-TabJogos[[#This Row],[PontosTime2]]</f>
        <v>4</v>
      </c>
    </row>
    <row r="3800" spans="1:9" ht="15" customHeight="1" x14ac:dyDescent="0.25">
      <c r="A3800" s="7">
        <v>3799</v>
      </c>
      <c r="B3800" s="1">
        <v>43641</v>
      </c>
      <c r="C3800" s="6" t="s">
        <v>9</v>
      </c>
      <c r="D3800" s="6" t="s">
        <v>11</v>
      </c>
      <c r="E3800" s="6">
        <v>1</v>
      </c>
      <c r="F3800" s="6">
        <v>3</v>
      </c>
      <c r="G3800" s="6" t="s">
        <v>41</v>
      </c>
      <c r="H3800" s="6" t="s">
        <v>27</v>
      </c>
      <c r="I3800" s="6">
        <f>TabJogos[[#This Row],[PontosTime1]]-TabJogos[[#This Row],[PontosTime2]]</f>
        <v>-2</v>
      </c>
    </row>
    <row r="3801" spans="1:9" ht="15" customHeight="1" x14ac:dyDescent="0.25">
      <c r="A3801" s="7">
        <v>3800</v>
      </c>
      <c r="B3801" s="1">
        <v>43641</v>
      </c>
      <c r="C3801" s="6" t="s">
        <v>11</v>
      </c>
      <c r="D3801" s="6" t="s">
        <v>27</v>
      </c>
      <c r="E3801" s="6">
        <v>3</v>
      </c>
      <c r="F3801" s="6">
        <v>2</v>
      </c>
      <c r="G3801" s="6" t="s">
        <v>9</v>
      </c>
      <c r="H3801" s="6" t="s">
        <v>18</v>
      </c>
      <c r="I3801" s="6">
        <f>TabJogos[[#This Row],[PontosTime1]]-TabJogos[[#This Row],[PontosTime2]]</f>
        <v>1</v>
      </c>
    </row>
    <row r="3802" spans="1:9" ht="15" customHeight="1" x14ac:dyDescent="0.25">
      <c r="A3802" s="7">
        <v>3801</v>
      </c>
      <c r="B3802" s="1">
        <v>43641</v>
      </c>
      <c r="C3802" s="6" t="s">
        <v>17</v>
      </c>
      <c r="D3802" s="6" t="s">
        <v>27</v>
      </c>
      <c r="E3802" s="6">
        <v>3</v>
      </c>
      <c r="F3802" s="6">
        <v>2</v>
      </c>
      <c r="G3802" s="6" t="s">
        <v>41</v>
      </c>
      <c r="H3802" s="6" t="s">
        <v>11</v>
      </c>
      <c r="I3802" s="6">
        <f>TabJogos[[#This Row],[PontosTime1]]-TabJogos[[#This Row],[PontosTime2]]</f>
        <v>1</v>
      </c>
    </row>
    <row r="3803" spans="1:9" ht="15" customHeight="1" x14ac:dyDescent="0.25">
      <c r="A3803" s="7">
        <v>3802</v>
      </c>
      <c r="B3803" s="1">
        <v>43641</v>
      </c>
      <c r="C3803" s="6" t="s">
        <v>11</v>
      </c>
      <c r="D3803" s="6" t="s">
        <v>17</v>
      </c>
      <c r="E3803" s="6">
        <v>4</v>
      </c>
      <c r="F3803" s="6">
        <v>0</v>
      </c>
      <c r="G3803" s="6" t="s">
        <v>18</v>
      </c>
      <c r="H3803" s="6" t="s">
        <v>27</v>
      </c>
      <c r="I3803" s="6">
        <f>TabJogos[[#This Row],[PontosTime1]]-TabJogos[[#This Row],[PontosTime2]]</f>
        <v>4</v>
      </c>
    </row>
    <row r="3804" spans="1:9" ht="15" customHeight="1" x14ac:dyDescent="0.25">
      <c r="A3804" s="7">
        <v>3803</v>
      </c>
      <c r="B3804" s="1">
        <v>43642</v>
      </c>
      <c r="C3804" s="6" t="s">
        <v>12</v>
      </c>
      <c r="D3804" s="6" t="s">
        <v>9</v>
      </c>
      <c r="E3804" s="6">
        <v>3</v>
      </c>
      <c r="F3804" s="6">
        <v>1</v>
      </c>
      <c r="G3804" s="6" t="s">
        <v>10</v>
      </c>
      <c r="H3804" s="6" t="s">
        <v>11</v>
      </c>
      <c r="I3804" s="6">
        <f>TabJogos[[#This Row],[PontosTime1]]-TabJogos[[#This Row],[PontosTime2]]</f>
        <v>2</v>
      </c>
    </row>
    <row r="3805" spans="1:9" ht="15" customHeight="1" x14ac:dyDescent="0.25">
      <c r="A3805" s="7">
        <v>3804</v>
      </c>
      <c r="B3805" s="1">
        <v>43642</v>
      </c>
      <c r="C3805" s="6" t="s">
        <v>9</v>
      </c>
      <c r="D3805" s="6" t="s">
        <v>17</v>
      </c>
      <c r="E3805" s="6">
        <v>4</v>
      </c>
      <c r="F3805" s="6">
        <v>2</v>
      </c>
      <c r="G3805" s="6" t="s">
        <v>13</v>
      </c>
      <c r="H3805" s="6" t="s">
        <v>12</v>
      </c>
      <c r="I3805" s="6">
        <f>TabJogos[[#This Row],[PontosTime1]]-TabJogos[[#This Row],[PontosTime2]]</f>
        <v>2</v>
      </c>
    </row>
    <row r="3806" spans="1:9" ht="15" customHeight="1" x14ac:dyDescent="0.25">
      <c r="A3806" s="7">
        <v>3805</v>
      </c>
      <c r="B3806" s="1">
        <v>43642</v>
      </c>
      <c r="C3806" s="6" t="s">
        <v>9</v>
      </c>
      <c r="D3806" s="6" t="s">
        <v>11</v>
      </c>
      <c r="E3806" s="6">
        <v>4</v>
      </c>
      <c r="F3806" s="6">
        <v>1</v>
      </c>
      <c r="G3806" s="6" t="s">
        <v>10</v>
      </c>
      <c r="H3806" s="6" t="s">
        <v>17</v>
      </c>
      <c r="I3806" s="6">
        <f>TabJogos[[#This Row],[PontosTime1]]-TabJogos[[#This Row],[PontosTime2]]</f>
        <v>3</v>
      </c>
    </row>
    <row r="3807" spans="1:9" ht="15" customHeight="1" x14ac:dyDescent="0.25">
      <c r="A3807" s="7">
        <v>3806</v>
      </c>
      <c r="B3807" s="1">
        <v>43642</v>
      </c>
      <c r="C3807" s="6" t="s">
        <v>9</v>
      </c>
      <c r="D3807" s="6" t="s">
        <v>13</v>
      </c>
      <c r="E3807" s="6">
        <v>3</v>
      </c>
      <c r="F3807" s="6">
        <v>0</v>
      </c>
      <c r="G3807" s="6" t="s">
        <v>41</v>
      </c>
      <c r="H3807" s="6" t="s">
        <v>11</v>
      </c>
      <c r="I3807" s="6">
        <f>TabJogos[[#This Row],[PontosTime1]]-TabJogos[[#This Row],[PontosTime2]]</f>
        <v>3</v>
      </c>
    </row>
    <row r="3808" spans="1:9" ht="15" customHeight="1" x14ac:dyDescent="0.25">
      <c r="A3808" s="7">
        <v>3807</v>
      </c>
      <c r="B3808" s="1">
        <v>43642</v>
      </c>
      <c r="C3808" s="6" t="s">
        <v>9</v>
      </c>
      <c r="D3808" s="6" t="s">
        <v>10</v>
      </c>
      <c r="E3808" s="6">
        <v>4</v>
      </c>
      <c r="F3808" s="6">
        <v>0</v>
      </c>
      <c r="G3808" s="6" t="s">
        <v>17</v>
      </c>
      <c r="H3808" s="6" t="s">
        <v>13</v>
      </c>
      <c r="I3808" s="6">
        <f>TabJogos[[#This Row],[PontosTime1]]-TabJogos[[#This Row],[PontosTime2]]</f>
        <v>4</v>
      </c>
    </row>
    <row r="3809" spans="1:9" ht="15" customHeight="1" x14ac:dyDescent="0.25">
      <c r="A3809" s="7">
        <v>3808</v>
      </c>
      <c r="B3809" s="1">
        <v>43642</v>
      </c>
      <c r="C3809" s="6" t="s">
        <v>9</v>
      </c>
      <c r="D3809" s="6" t="s">
        <v>18</v>
      </c>
      <c r="E3809" s="6">
        <v>1</v>
      </c>
      <c r="F3809" s="6">
        <v>3</v>
      </c>
      <c r="G3809" s="6" t="s">
        <v>41</v>
      </c>
      <c r="H3809" s="6" t="s">
        <v>10</v>
      </c>
      <c r="I3809" s="6">
        <f>TabJogos[[#This Row],[PontosTime1]]-TabJogos[[#This Row],[PontosTime2]]</f>
        <v>-2</v>
      </c>
    </row>
    <row r="3810" spans="1:9" ht="15" customHeight="1" x14ac:dyDescent="0.25">
      <c r="A3810" s="7">
        <v>3809</v>
      </c>
      <c r="B3810" s="1">
        <v>43642</v>
      </c>
      <c r="C3810" s="6" t="s">
        <v>13</v>
      </c>
      <c r="D3810" s="6" t="s">
        <v>41</v>
      </c>
      <c r="E3810" s="6">
        <v>2</v>
      </c>
      <c r="F3810" s="6">
        <v>3</v>
      </c>
      <c r="G3810" s="6" t="s">
        <v>11</v>
      </c>
      <c r="H3810" s="6" t="s">
        <v>10</v>
      </c>
      <c r="I3810" s="6">
        <f>TabJogos[[#This Row],[PontosTime1]]-TabJogos[[#This Row],[PontosTime2]]</f>
        <v>-1</v>
      </c>
    </row>
    <row r="3811" spans="1:9" ht="15" customHeight="1" x14ac:dyDescent="0.25">
      <c r="A3811" s="7">
        <v>3810</v>
      </c>
      <c r="B3811" s="1">
        <v>43642</v>
      </c>
      <c r="C3811" s="6" t="s">
        <v>11</v>
      </c>
      <c r="D3811" s="6" t="s">
        <v>27</v>
      </c>
      <c r="E3811" s="6">
        <v>3</v>
      </c>
      <c r="F3811" s="6">
        <v>1</v>
      </c>
      <c r="G3811" s="6" t="s">
        <v>18</v>
      </c>
      <c r="H3811" s="6" t="s">
        <v>10</v>
      </c>
      <c r="I3811" s="6">
        <f>TabJogos[[#This Row],[PontosTime1]]-TabJogos[[#This Row],[PontosTime2]]</f>
        <v>2</v>
      </c>
    </row>
    <row r="3812" spans="1:9" ht="15" customHeight="1" x14ac:dyDescent="0.25">
      <c r="A3812" s="7">
        <v>3811</v>
      </c>
      <c r="B3812" s="1">
        <v>43642</v>
      </c>
      <c r="C3812" s="6" t="s">
        <v>11</v>
      </c>
      <c r="D3812" s="6" t="s">
        <v>18</v>
      </c>
      <c r="E3812" s="6">
        <v>0</v>
      </c>
      <c r="F3812" s="6">
        <v>4</v>
      </c>
      <c r="G3812" s="6" t="s">
        <v>27</v>
      </c>
      <c r="H3812" s="6" t="s">
        <v>13</v>
      </c>
      <c r="I3812" s="6">
        <f>TabJogos[[#This Row],[PontosTime1]]-TabJogos[[#This Row],[PontosTime2]]</f>
        <v>-4</v>
      </c>
    </row>
    <row r="3813" spans="1:9" ht="15" customHeight="1" x14ac:dyDescent="0.25">
      <c r="A3813" s="7">
        <v>3812</v>
      </c>
      <c r="B3813" s="1">
        <v>43642</v>
      </c>
      <c r="C3813" s="6" t="s">
        <v>11</v>
      </c>
      <c r="D3813" s="6" t="s">
        <v>13</v>
      </c>
      <c r="E3813" s="6">
        <v>1</v>
      </c>
      <c r="F3813" s="6">
        <v>3</v>
      </c>
      <c r="G3813" s="6" t="s">
        <v>27</v>
      </c>
      <c r="H3813" s="6" t="s">
        <v>41</v>
      </c>
      <c r="I3813" s="6">
        <f>TabJogos[[#This Row],[PontosTime1]]-TabJogos[[#This Row],[PontosTime2]]</f>
        <v>-2</v>
      </c>
    </row>
    <row r="3814" spans="1:9" ht="15" customHeight="1" x14ac:dyDescent="0.25">
      <c r="A3814" s="7">
        <v>3813</v>
      </c>
      <c r="B3814" s="1">
        <v>43642</v>
      </c>
      <c r="C3814" s="6" t="s">
        <v>11</v>
      </c>
      <c r="D3814" s="6" t="s">
        <v>41</v>
      </c>
      <c r="E3814" s="6">
        <v>4</v>
      </c>
      <c r="F3814" s="6">
        <v>1</v>
      </c>
      <c r="G3814" s="6" t="s">
        <v>27</v>
      </c>
      <c r="H3814" s="6" t="s">
        <v>18</v>
      </c>
      <c r="I3814" s="6">
        <f>TabJogos[[#This Row],[PontosTime1]]-TabJogos[[#This Row],[PontosTime2]]</f>
        <v>3</v>
      </c>
    </row>
    <row r="3815" spans="1:9" ht="15" customHeight="1" x14ac:dyDescent="0.25">
      <c r="A3815" s="7">
        <v>3814</v>
      </c>
      <c r="B3815" s="1">
        <v>43642</v>
      </c>
      <c r="C3815" s="6" t="s">
        <v>11</v>
      </c>
      <c r="D3815" s="6" t="s">
        <v>18</v>
      </c>
      <c r="E3815" s="6">
        <v>3</v>
      </c>
      <c r="F3815" s="6">
        <v>1</v>
      </c>
      <c r="G3815" s="6" t="s">
        <v>41</v>
      </c>
      <c r="H3815" s="6" t="s">
        <v>13</v>
      </c>
      <c r="I3815" s="6">
        <f>TabJogos[[#This Row],[PontosTime1]]-TabJogos[[#This Row],[PontosTime2]]</f>
        <v>2</v>
      </c>
    </row>
    <row r="3816" spans="1:9" ht="15" customHeight="1" x14ac:dyDescent="0.25">
      <c r="A3816" s="7">
        <v>3815</v>
      </c>
      <c r="B3816" s="1">
        <v>43642</v>
      </c>
      <c r="C3816" s="6" t="s">
        <v>11</v>
      </c>
      <c r="D3816" s="6" t="s">
        <v>27</v>
      </c>
      <c r="E3816" s="6">
        <v>3</v>
      </c>
      <c r="F3816" s="6">
        <v>1</v>
      </c>
      <c r="G3816" s="6" t="s">
        <v>13</v>
      </c>
      <c r="H3816" s="6" t="s">
        <v>18</v>
      </c>
      <c r="I3816" s="6">
        <f>TabJogos[[#This Row],[PontosTime1]]-TabJogos[[#This Row],[PontosTime2]]</f>
        <v>2</v>
      </c>
    </row>
    <row r="3817" spans="1:9" ht="15" customHeight="1" x14ac:dyDescent="0.25">
      <c r="A3817" s="7">
        <v>3816</v>
      </c>
      <c r="B3817" s="1">
        <v>43642</v>
      </c>
      <c r="C3817" s="6" t="s">
        <v>27</v>
      </c>
      <c r="D3817" s="6" t="s">
        <v>18</v>
      </c>
      <c r="E3817" s="6">
        <v>3</v>
      </c>
      <c r="F3817" s="6">
        <v>1</v>
      </c>
      <c r="G3817" s="6" t="s">
        <v>11</v>
      </c>
      <c r="H3817" s="6" t="s">
        <v>13</v>
      </c>
      <c r="I3817" s="6">
        <f>TabJogos[[#This Row],[PontosTime1]]-TabJogos[[#This Row],[PontosTime2]]</f>
        <v>2</v>
      </c>
    </row>
    <row r="3818" spans="1:9" ht="15" customHeight="1" x14ac:dyDescent="0.25">
      <c r="A3818" s="7">
        <v>3817</v>
      </c>
      <c r="B3818" s="1">
        <v>43643</v>
      </c>
      <c r="C3818" s="6" t="s">
        <v>10</v>
      </c>
      <c r="D3818" s="6" t="s">
        <v>11</v>
      </c>
      <c r="E3818" s="6">
        <v>3</v>
      </c>
      <c r="F3818" s="6">
        <v>1</v>
      </c>
      <c r="G3818" s="6" t="s">
        <v>13</v>
      </c>
      <c r="H3818" s="6" t="s">
        <v>18</v>
      </c>
      <c r="I3818" s="6">
        <f>TabJogos[[#This Row],[PontosTime1]]-TabJogos[[#This Row],[PontosTime2]]</f>
        <v>2</v>
      </c>
    </row>
    <row r="3819" spans="1:9" ht="15" customHeight="1" x14ac:dyDescent="0.25">
      <c r="A3819" s="7">
        <v>3818</v>
      </c>
      <c r="B3819" s="1">
        <v>43643</v>
      </c>
      <c r="C3819" s="6" t="s">
        <v>11</v>
      </c>
      <c r="D3819" s="6" t="s">
        <v>18</v>
      </c>
      <c r="E3819" s="6">
        <v>1</v>
      </c>
      <c r="F3819" s="6">
        <v>3</v>
      </c>
      <c r="G3819" s="6" t="s">
        <v>10</v>
      </c>
      <c r="H3819" s="6" t="s">
        <v>13</v>
      </c>
      <c r="I3819" s="6">
        <f>TabJogos[[#This Row],[PontosTime1]]-TabJogos[[#This Row],[PontosTime2]]</f>
        <v>-2</v>
      </c>
    </row>
    <row r="3820" spans="1:9" ht="15" customHeight="1" x14ac:dyDescent="0.25">
      <c r="A3820" s="7">
        <v>3819</v>
      </c>
      <c r="B3820" s="1">
        <v>43643</v>
      </c>
      <c r="C3820" s="6" t="s">
        <v>10</v>
      </c>
      <c r="D3820" s="6" t="s">
        <v>18</v>
      </c>
      <c r="E3820" s="6">
        <v>1</v>
      </c>
      <c r="F3820" s="6">
        <v>3</v>
      </c>
      <c r="G3820" s="6" t="s">
        <v>13</v>
      </c>
      <c r="H3820" s="6" t="s">
        <v>27</v>
      </c>
      <c r="I3820" s="6">
        <f>TabJogos[[#This Row],[PontosTime1]]-TabJogos[[#This Row],[PontosTime2]]</f>
        <v>-2</v>
      </c>
    </row>
    <row r="3821" spans="1:9" ht="15" customHeight="1" x14ac:dyDescent="0.25">
      <c r="A3821" s="7">
        <v>3820</v>
      </c>
      <c r="B3821" s="1">
        <v>43643</v>
      </c>
      <c r="C3821" s="6" t="s">
        <v>27</v>
      </c>
      <c r="D3821" s="6" t="s">
        <v>18</v>
      </c>
      <c r="E3821" s="6">
        <v>6</v>
      </c>
      <c r="F3821" s="6">
        <v>0</v>
      </c>
      <c r="G3821" s="6" t="s">
        <v>11</v>
      </c>
      <c r="H3821" s="6" t="s">
        <v>13</v>
      </c>
      <c r="I3821" s="6">
        <f>TabJogos[[#This Row],[PontosTime1]]-TabJogos[[#This Row],[PontosTime2]]</f>
        <v>6</v>
      </c>
    </row>
    <row r="3822" spans="1:9" ht="15" customHeight="1" x14ac:dyDescent="0.25">
      <c r="A3822" s="7">
        <v>3821</v>
      </c>
      <c r="B3822" s="1">
        <v>43643</v>
      </c>
      <c r="C3822" s="6" t="s">
        <v>27</v>
      </c>
      <c r="D3822" s="6" t="s">
        <v>10</v>
      </c>
      <c r="E3822" s="6">
        <v>1</v>
      </c>
      <c r="F3822" s="6">
        <v>3</v>
      </c>
      <c r="G3822" s="6" t="s">
        <v>17</v>
      </c>
      <c r="H3822" s="6" t="s">
        <v>18</v>
      </c>
      <c r="I3822" s="6">
        <f>TabJogos[[#This Row],[PontosTime1]]-TabJogos[[#This Row],[PontosTime2]]</f>
        <v>-2</v>
      </c>
    </row>
    <row r="3823" spans="1:9" ht="15" customHeight="1" x14ac:dyDescent="0.25">
      <c r="A3823" s="7">
        <v>3822</v>
      </c>
      <c r="B3823" s="1">
        <v>43643</v>
      </c>
      <c r="C3823" s="6" t="s">
        <v>17</v>
      </c>
      <c r="D3823" s="6" t="s">
        <v>11</v>
      </c>
      <c r="E3823" s="6">
        <v>3</v>
      </c>
      <c r="F3823" s="6">
        <v>2</v>
      </c>
      <c r="G3823" s="6" t="s">
        <v>18</v>
      </c>
      <c r="H3823" s="6" t="s">
        <v>13</v>
      </c>
      <c r="I3823" s="6">
        <f>TabJogos[[#This Row],[PontosTime1]]-TabJogos[[#This Row],[PontosTime2]]</f>
        <v>1</v>
      </c>
    </row>
    <row r="3824" spans="1:9" ht="15" customHeight="1" x14ac:dyDescent="0.25">
      <c r="A3824" s="7">
        <v>3823</v>
      </c>
      <c r="B3824" s="1">
        <v>43643</v>
      </c>
      <c r="C3824" s="6" t="s">
        <v>11</v>
      </c>
      <c r="D3824" s="6" t="s">
        <v>27</v>
      </c>
      <c r="E3824" s="6">
        <v>3</v>
      </c>
      <c r="F3824" s="6">
        <v>2</v>
      </c>
      <c r="G3824" s="6" t="s">
        <v>17</v>
      </c>
      <c r="H3824" s="6" t="s">
        <v>10</v>
      </c>
      <c r="I3824" s="6">
        <f>TabJogos[[#This Row],[PontosTime1]]-TabJogos[[#This Row],[PontosTime2]]</f>
        <v>1</v>
      </c>
    </row>
    <row r="3825" spans="1:9" ht="15" customHeight="1" x14ac:dyDescent="0.25">
      <c r="A3825" s="7">
        <v>3824</v>
      </c>
      <c r="B3825" s="1">
        <v>43643</v>
      </c>
      <c r="C3825" s="6" t="s">
        <v>11</v>
      </c>
      <c r="D3825" s="6" t="s">
        <v>18</v>
      </c>
      <c r="E3825" s="6">
        <v>3</v>
      </c>
      <c r="F3825" s="6">
        <v>0</v>
      </c>
      <c r="G3825" s="6" t="s">
        <v>41</v>
      </c>
      <c r="H3825" s="6" t="s">
        <v>27</v>
      </c>
      <c r="I3825" s="6">
        <f>TabJogos[[#This Row],[PontosTime1]]-TabJogos[[#This Row],[PontosTime2]]</f>
        <v>3</v>
      </c>
    </row>
    <row r="3826" spans="1:9" ht="15" customHeight="1" x14ac:dyDescent="0.25">
      <c r="A3826" s="7">
        <v>3825</v>
      </c>
      <c r="B3826" s="1">
        <v>43643</v>
      </c>
      <c r="C3826" s="6" t="s">
        <v>11</v>
      </c>
      <c r="D3826" s="6" t="s">
        <v>10</v>
      </c>
      <c r="E3826" s="6">
        <v>3</v>
      </c>
      <c r="F3826" s="6">
        <v>0</v>
      </c>
      <c r="G3826" s="6" t="s">
        <v>18</v>
      </c>
      <c r="H3826" s="6" t="s">
        <v>13</v>
      </c>
      <c r="I3826" s="6">
        <f>TabJogos[[#This Row],[PontosTime1]]-TabJogos[[#This Row],[PontosTime2]]</f>
        <v>3</v>
      </c>
    </row>
    <row r="3827" spans="1:9" ht="15" customHeight="1" x14ac:dyDescent="0.25">
      <c r="A3827" s="7">
        <v>3826</v>
      </c>
      <c r="B3827" s="1">
        <v>43643</v>
      </c>
      <c r="C3827" s="6" t="s">
        <v>11</v>
      </c>
      <c r="D3827" s="6" t="s">
        <v>41</v>
      </c>
      <c r="E3827" s="6">
        <v>3</v>
      </c>
      <c r="F3827" s="6">
        <v>0</v>
      </c>
      <c r="G3827" s="6" t="s">
        <v>10</v>
      </c>
      <c r="H3827" s="6" t="s">
        <v>27</v>
      </c>
      <c r="I3827" s="6">
        <f>TabJogos[[#This Row],[PontosTime1]]-TabJogos[[#This Row],[PontosTime2]]</f>
        <v>3</v>
      </c>
    </row>
    <row r="3828" spans="1:9" ht="15" customHeight="1" x14ac:dyDescent="0.25">
      <c r="A3828" s="7">
        <v>3827</v>
      </c>
      <c r="B3828" s="1">
        <v>43643</v>
      </c>
      <c r="C3828" s="6" t="s">
        <v>11</v>
      </c>
      <c r="D3828" s="6" t="s">
        <v>13</v>
      </c>
      <c r="E3828" s="6">
        <v>3</v>
      </c>
      <c r="F3828" s="6">
        <v>1</v>
      </c>
      <c r="G3828" s="6" t="s">
        <v>41</v>
      </c>
      <c r="H3828" s="6" t="s">
        <v>18</v>
      </c>
      <c r="I3828" s="6">
        <f>TabJogos[[#This Row],[PontosTime1]]-TabJogos[[#This Row],[PontosTime2]]</f>
        <v>2</v>
      </c>
    </row>
    <row r="3829" spans="1:9" ht="15" customHeight="1" x14ac:dyDescent="0.25">
      <c r="A3829" s="7">
        <v>3828</v>
      </c>
      <c r="B3829" s="1">
        <v>43643</v>
      </c>
      <c r="C3829" s="6" t="s">
        <v>11</v>
      </c>
      <c r="D3829" s="6" t="s">
        <v>18</v>
      </c>
      <c r="E3829" s="6">
        <v>3</v>
      </c>
      <c r="F3829" s="6">
        <v>0</v>
      </c>
      <c r="G3829" s="6" t="s">
        <v>10</v>
      </c>
      <c r="H3829" s="6" t="s">
        <v>13</v>
      </c>
      <c r="I3829" s="6">
        <f>TabJogos[[#This Row],[PontosTime1]]-TabJogos[[#This Row],[PontosTime2]]</f>
        <v>3</v>
      </c>
    </row>
    <row r="3830" spans="1:9" ht="15" customHeight="1" x14ac:dyDescent="0.25">
      <c r="A3830" s="7">
        <v>3829</v>
      </c>
      <c r="B3830" s="1">
        <v>43643</v>
      </c>
      <c r="C3830" s="6" t="s">
        <v>11</v>
      </c>
      <c r="D3830" s="6" t="s">
        <v>10</v>
      </c>
      <c r="E3830" s="6">
        <v>2</v>
      </c>
      <c r="F3830" s="6">
        <v>3</v>
      </c>
      <c r="G3830" s="6" t="s">
        <v>13</v>
      </c>
      <c r="H3830" s="6" t="s">
        <v>18</v>
      </c>
      <c r="I3830" s="6">
        <f>TabJogos[[#This Row],[PontosTime1]]-TabJogos[[#This Row],[PontosTime2]]</f>
        <v>-1</v>
      </c>
    </row>
    <row r="3831" spans="1:9" ht="15" customHeight="1" x14ac:dyDescent="0.25">
      <c r="A3831" s="7">
        <v>3830</v>
      </c>
      <c r="B3831" s="1">
        <v>43643</v>
      </c>
      <c r="C3831" s="6" t="s">
        <v>11</v>
      </c>
      <c r="D3831" s="6" t="s">
        <v>13</v>
      </c>
      <c r="E3831" s="6">
        <v>3</v>
      </c>
      <c r="F3831" s="6">
        <v>0</v>
      </c>
      <c r="G3831" s="6" t="s">
        <v>18</v>
      </c>
      <c r="H3831" s="6" t="s">
        <v>10</v>
      </c>
      <c r="I3831" s="6">
        <f>TabJogos[[#This Row],[PontosTime1]]-TabJogos[[#This Row],[PontosTime2]]</f>
        <v>3</v>
      </c>
    </row>
    <row r="3832" spans="1:9" ht="15" customHeight="1" x14ac:dyDescent="0.25">
      <c r="A3832" s="7">
        <v>3831</v>
      </c>
      <c r="B3832" s="1">
        <v>43644</v>
      </c>
      <c r="C3832" s="6" t="s">
        <v>11</v>
      </c>
      <c r="D3832" s="6" t="s">
        <v>12</v>
      </c>
      <c r="E3832" s="6">
        <v>3</v>
      </c>
      <c r="F3832" s="6">
        <v>1</v>
      </c>
      <c r="G3832" s="6" t="s">
        <v>10</v>
      </c>
      <c r="H3832" s="6" t="s">
        <v>13</v>
      </c>
      <c r="I3832" s="6">
        <f>TabJogos[[#This Row],[PontosTime1]]-TabJogos[[#This Row],[PontosTime2]]</f>
        <v>2</v>
      </c>
    </row>
    <row r="3833" spans="1:9" ht="15" customHeight="1" x14ac:dyDescent="0.25">
      <c r="A3833" s="7">
        <v>3832</v>
      </c>
      <c r="B3833" s="1">
        <v>43644</v>
      </c>
      <c r="C3833" s="6" t="s">
        <v>12</v>
      </c>
      <c r="D3833" s="6" t="s">
        <v>17</v>
      </c>
      <c r="E3833" s="6">
        <v>5</v>
      </c>
      <c r="F3833" s="6">
        <v>1</v>
      </c>
      <c r="G3833" s="6" t="s">
        <v>11</v>
      </c>
      <c r="H3833" s="6" t="s">
        <v>18</v>
      </c>
      <c r="I3833" s="6">
        <f>TabJogos[[#This Row],[PontosTime1]]-TabJogos[[#This Row],[PontosTime2]]</f>
        <v>4</v>
      </c>
    </row>
    <row r="3834" spans="1:9" ht="15" customHeight="1" x14ac:dyDescent="0.25">
      <c r="A3834" s="7">
        <v>3833</v>
      </c>
      <c r="B3834" s="1">
        <v>43644</v>
      </c>
      <c r="C3834" s="6" t="s">
        <v>13</v>
      </c>
      <c r="D3834" s="6" t="s">
        <v>17</v>
      </c>
      <c r="E3834" s="6">
        <v>6</v>
      </c>
      <c r="F3834" s="6">
        <v>1</v>
      </c>
      <c r="G3834" s="6" t="s">
        <v>10</v>
      </c>
      <c r="H3834" s="6" t="s">
        <v>12</v>
      </c>
      <c r="I3834" s="6">
        <f>TabJogos[[#This Row],[PontosTime1]]-TabJogos[[#This Row],[PontosTime2]]</f>
        <v>5</v>
      </c>
    </row>
    <row r="3835" spans="1:9" ht="15" customHeight="1" x14ac:dyDescent="0.25">
      <c r="A3835" s="7">
        <v>3834</v>
      </c>
      <c r="B3835" s="1">
        <v>43644</v>
      </c>
      <c r="C3835" s="6" t="s">
        <v>18</v>
      </c>
      <c r="D3835" s="6" t="s">
        <v>13</v>
      </c>
      <c r="E3835" s="6">
        <v>1</v>
      </c>
      <c r="F3835" s="6">
        <v>3</v>
      </c>
      <c r="G3835" s="6" t="s">
        <v>17</v>
      </c>
      <c r="H3835" s="6" t="s">
        <v>11</v>
      </c>
      <c r="I3835" s="6">
        <f>TabJogos[[#This Row],[PontosTime1]]-TabJogos[[#This Row],[PontosTime2]]</f>
        <v>-2</v>
      </c>
    </row>
    <row r="3836" spans="1:9" ht="15" customHeight="1" x14ac:dyDescent="0.25">
      <c r="A3836" s="7">
        <v>3835</v>
      </c>
      <c r="B3836" s="1">
        <v>43644</v>
      </c>
      <c r="C3836" s="6" t="s">
        <v>17</v>
      </c>
      <c r="D3836" s="6" t="s">
        <v>18</v>
      </c>
      <c r="E3836" s="6">
        <v>3</v>
      </c>
      <c r="F3836" s="6">
        <v>1</v>
      </c>
      <c r="G3836" s="6" t="s">
        <v>41</v>
      </c>
      <c r="H3836" s="6" t="s">
        <v>11</v>
      </c>
      <c r="I3836" s="6">
        <f>TabJogos[[#This Row],[PontosTime1]]-TabJogos[[#This Row],[PontosTime2]]</f>
        <v>2</v>
      </c>
    </row>
    <row r="3837" spans="1:9" ht="15" customHeight="1" x14ac:dyDescent="0.25">
      <c r="A3837" s="7">
        <v>3836</v>
      </c>
      <c r="B3837" s="1">
        <v>43644</v>
      </c>
      <c r="C3837" s="6" t="s">
        <v>41</v>
      </c>
      <c r="D3837" s="6" t="s">
        <v>17</v>
      </c>
      <c r="E3837" s="6">
        <v>0</v>
      </c>
      <c r="F3837" s="6">
        <v>3</v>
      </c>
      <c r="G3837" s="6" t="s">
        <v>13</v>
      </c>
      <c r="H3837" s="6" t="s">
        <v>18</v>
      </c>
      <c r="I3837" s="6">
        <f>TabJogos[[#This Row],[PontosTime1]]-TabJogos[[#This Row],[PontosTime2]]</f>
        <v>-3</v>
      </c>
    </row>
    <row r="3838" spans="1:9" ht="15" customHeight="1" x14ac:dyDescent="0.25">
      <c r="A3838" s="7">
        <v>3837</v>
      </c>
      <c r="B3838" s="1">
        <v>43644</v>
      </c>
      <c r="C3838" s="6" t="s">
        <v>11</v>
      </c>
      <c r="D3838" s="6" t="s">
        <v>13</v>
      </c>
      <c r="E3838" s="6">
        <v>0</v>
      </c>
      <c r="F3838" s="6">
        <v>3</v>
      </c>
      <c r="G3838" s="6" t="s">
        <v>41</v>
      </c>
      <c r="H3838" s="6" t="s">
        <v>18</v>
      </c>
      <c r="I3838" s="6">
        <f>TabJogos[[#This Row],[PontosTime1]]-TabJogos[[#This Row],[PontosTime2]]</f>
        <v>-3</v>
      </c>
    </row>
    <row r="3839" spans="1:9" ht="15" customHeight="1" x14ac:dyDescent="0.25">
      <c r="A3839" s="7">
        <v>3838</v>
      </c>
      <c r="B3839" s="1">
        <v>43644</v>
      </c>
      <c r="C3839" s="6" t="s">
        <v>11</v>
      </c>
      <c r="D3839" s="6" t="s">
        <v>18</v>
      </c>
      <c r="E3839" s="6">
        <v>3</v>
      </c>
      <c r="F3839" s="6">
        <v>1</v>
      </c>
      <c r="G3839" s="6" t="s">
        <v>41</v>
      </c>
      <c r="H3839" s="6" t="s">
        <v>13</v>
      </c>
      <c r="I3839" s="6">
        <f>TabJogos[[#This Row],[PontosTime1]]-TabJogos[[#This Row],[PontosTime2]]</f>
        <v>2</v>
      </c>
    </row>
    <row r="3840" spans="1:9" ht="15" customHeight="1" x14ac:dyDescent="0.25">
      <c r="A3840" s="7">
        <v>3839</v>
      </c>
      <c r="B3840" s="1">
        <v>43644</v>
      </c>
      <c r="C3840" s="6" t="s">
        <v>11</v>
      </c>
      <c r="D3840" s="6" t="s">
        <v>41</v>
      </c>
      <c r="E3840" s="6">
        <v>1</v>
      </c>
      <c r="F3840" s="6">
        <v>3</v>
      </c>
      <c r="G3840" s="6" t="s">
        <v>18</v>
      </c>
      <c r="H3840" s="6" t="s">
        <v>13</v>
      </c>
      <c r="I3840" s="6">
        <f>TabJogos[[#This Row],[PontosTime1]]-TabJogos[[#This Row],[PontosTime2]]</f>
        <v>-2</v>
      </c>
    </row>
    <row r="3841" spans="1:9" ht="15" customHeight="1" x14ac:dyDescent="0.25">
      <c r="A3841" s="7">
        <v>3840</v>
      </c>
      <c r="B3841" s="1">
        <v>43647</v>
      </c>
      <c r="C3841" s="6" t="s">
        <v>13</v>
      </c>
      <c r="D3841" s="6" t="s">
        <v>32</v>
      </c>
      <c r="E3841" s="6">
        <v>0</v>
      </c>
      <c r="F3841" s="6">
        <v>5</v>
      </c>
      <c r="G3841" s="6" t="s">
        <v>17</v>
      </c>
      <c r="H3841" s="6" t="s">
        <v>11</v>
      </c>
      <c r="I3841" s="6">
        <f>TabJogos[[#This Row],[PontosTime1]]-TabJogos[[#This Row],[PontosTime2]]</f>
        <v>-5</v>
      </c>
    </row>
    <row r="3842" spans="1:9" ht="15" customHeight="1" x14ac:dyDescent="0.25">
      <c r="A3842" s="7">
        <v>3841</v>
      </c>
      <c r="B3842" s="1">
        <v>43647</v>
      </c>
      <c r="C3842" s="6" t="s">
        <v>11</v>
      </c>
      <c r="D3842" s="6" t="s">
        <v>32</v>
      </c>
      <c r="E3842" s="6">
        <v>3</v>
      </c>
      <c r="F3842" s="6">
        <v>2</v>
      </c>
      <c r="G3842" s="6" t="s">
        <v>13</v>
      </c>
      <c r="H3842" s="6" t="s">
        <v>17</v>
      </c>
      <c r="I3842" s="6">
        <f>TabJogos[[#This Row],[PontosTime1]]-TabJogos[[#This Row],[PontosTime2]]</f>
        <v>1</v>
      </c>
    </row>
    <row r="3843" spans="1:9" ht="15" customHeight="1" x14ac:dyDescent="0.25">
      <c r="A3843" s="7">
        <v>3842</v>
      </c>
      <c r="B3843" s="1">
        <v>43647</v>
      </c>
      <c r="C3843" s="6" t="s">
        <v>11</v>
      </c>
      <c r="D3843" s="6" t="s">
        <v>41</v>
      </c>
      <c r="E3843" s="6">
        <v>2</v>
      </c>
      <c r="F3843" s="6">
        <v>4</v>
      </c>
      <c r="G3843" s="6" t="s">
        <v>17</v>
      </c>
      <c r="H3843" s="6" t="s">
        <v>32</v>
      </c>
      <c r="I3843" s="6">
        <f>TabJogos[[#This Row],[PontosTime1]]-TabJogos[[#This Row],[PontosTime2]]</f>
        <v>-2</v>
      </c>
    </row>
    <row r="3844" spans="1:9" ht="15" customHeight="1" x14ac:dyDescent="0.25">
      <c r="A3844" s="7">
        <v>3843</v>
      </c>
      <c r="B3844" s="1">
        <v>43647</v>
      </c>
      <c r="C3844" s="6" t="s">
        <v>17</v>
      </c>
      <c r="D3844" s="6" t="s">
        <v>41</v>
      </c>
      <c r="E3844" s="6">
        <v>2</v>
      </c>
      <c r="F3844" s="6">
        <v>3</v>
      </c>
      <c r="G3844" s="6" t="s">
        <v>13</v>
      </c>
      <c r="H3844" s="6" t="s">
        <v>32</v>
      </c>
      <c r="I3844" s="6">
        <f>TabJogos[[#This Row],[PontosTime1]]-TabJogos[[#This Row],[PontosTime2]]</f>
        <v>-1</v>
      </c>
    </row>
    <row r="3845" spans="1:9" ht="15" customHeight="1" x14ac:dyDescent="0.25">
      <c r="A3845" s="7">
        <v>3844</v>
      </c>
      <c r="B3845" s="1">
        <v>43647</v>
      </c>
      <c r="C3845" s="6" t="s">
        <v>11</v>
      </c>
      <c r="D3845" s="6" t="s">
        <v>13</v>
      </c>
      <c r="E3845" s="6">
        <v>1</v>
      </c>
      <c r="F3845" s="6">
        <v>3</v>
      </c>
      <c r="G3845" s="6" t="s">
        <v>18</v>
      </c>
      <c r="H3845" s="6" t="s">
        <v>32</v>
      </c>
      <c r="I3845" s="6">
        <f>TabJogos[[#This Row],[PontosTime1]]-TabJogos[[#This Row],[PontosTime2]]</f>
        <v>-2</v>
      </c>
    </row>
    <row r="3846" spans="1:9" ht="15" customHeight="1" x14ac:dyDescent="0.25">
      <c r="A3846" s="7">
        <v>3845</v>
      </c>
      <c r="B3846" s="1">
        <v>43647</v>
      </c>
      <c r="C3846" s="6" t="s">
        <v>18</v>
      </c>
      <c r="D3846" s="6" t="s">
        <v>17</v>
      </c>
      <c r="E3846" s="6">
        <v>4</v>
      </c>
      <c r="F3846" s="6">
        <v>2</v>
      </c>
      <c r="G3846" s="6" t="s">
        <v>41</v>
      </c>
      <c r="H3846" s="6" t="s">
        <v>32</v>
      </c>
      <c r="I3846" s="6">
        <f>TabJogos[[#This Row],[PontosTime1]]-TabJogos[[#This Row],[PontosTime2]]</f>
        <v>2</v>
      </c>
    </row>
    <row r="3847" spans="1:9" ht="15" customHeight="1" x14ac:dyDescent="0.25">
      <c r="A3847" s="7">
        <v>3846</v>
      </c>
      <c r="B3847" s="1">
        <v>43647</v>
      </c>
      <c r="C3847" s="6" t="s">
        <v>11</v>
      </c>
      <c r="D3847" s="6" t="s">
        <v>17</v>
      </c>
      <c r="E3847" s="6">
        <v>3</v>
      </c>
      <c r="F3847" s="6">
        <v>2</v>
      </c>
      <c r="G3847" s="6" t="s">
        <v>13</v>
      </c>
      <c r="H3847" s="6" t="s">
        <v>18</v>
      </c>
      <c r="I3847" s="6">
        <f>TabJogos[[#This Row],[PontosTime1]]-TabJogos[[#This Row],[PontosTime2]]</f>
        <v>1</v>
      </c>
    </row>
    <row r="3848" spans="1:9" ht="15" customHeight="1" x14ac:dyDescent="0.25">
      <c r="A3848" s="7">
        <v>3847</v>
      </c>
      <c r="B3848" s="1">
        <v>43647</v>
      </c>
      <c r="C3848" s="6" t="s">
        <v>11</v>
      </c>
      <c r="D3848" s="6" t="s">
        <v>41</v>
      </c>
      <c r="E3848" s="6">
        <v>1</v>
      </c>
      <c r="F3848" s="6">
        <v>3</v>
      </c>
      <c r="G3848" s="6" t="s">
        <v>17</v>
      </c>
      <c r="H3848" s="6" t="s">
        <v>13</v>
      </c>
      <c r="I3848" s="6">
        <f>TabJogos[[#This Row],[PontosTime1]]-TabJogos[[#This Row],[PontosTime2]]</f>
        <v>-2</v>
      </c>
    </row>
    <row r="3849" spans="1:9" ht="15" customHeight="1" x14ac:dyDescent="0.25">
      <c r="A3849" s="7">
        <v>3848</v>
      </c>
      <c r="B3849" s="1">
        <v>43647</v>
      </c>
      <c r="C3849" s="6" t="s">
        <v>41</v>
      </c>
      <c r="D3849" s="6" t="s">
        <v>13</v>
      </c>
      <c r="E3849" s="6">
        <v>0</v>
      </c>
      <c r="F3849" s="6">
        <v>3</v>
      </c>
      <c r="G3849" s="6" t="s">
        <v>17</v>
      </c>
      <c r="H3849" s="6" t="s">
        <v>18</v>
      </c>
      <c r="I3849" s="6">
        <f>TabJogos[[#This Row],[PontosTime1]]-TabJogos[[#This Row],[PontosTime2]]</f>
        <v>-3</v>
      </c>
    </row>
    <row r="3850" spans="1:9" ht="15" customHeight="1" x14ac:dyDescent="0.25">
      <c r="A3850" s="7">
        <v>3849</v>
      </c>
      <c r="B3850" s="1">
        <v>43648</v>
      </c>
      <c r="C3850" s="6" t="s">
        <v>10</v>
      </c>
      <c r="D3850" s="6" t="s">
        <v>41</v>
      </c>
      <c r="E3850" s="6">
        <v>3</v>
      </c>
      <c r="F3850" s="6">
        <v>1</v>
      </c>
      <c r="G3850" s="6" t="s">
        <v>13</v>
      </c>
      <c r="H3850" s="6" t="s">
        <v>11</v>
      </c>
      <c r="I3850" s="6">
        <f>TabJogos[[#This Row],[PontosTime1]]-TabJogos[[#This Row],[PontosTime2]]</f>
        <v>2</v>
      </c>
    </row>
    <row r="3851" spans="1:9" ht="15" customHeight="1" x14ac:dyDescent="0.25">
      <c r="A3851" s="7">
        <v>3850</v>
      </c>
      <c r="B3851" s="1">
        <v>43648</v>
      </c>
      <c r="C3851" s="6" t="s">
        <v>13</v>
      </c>
      <c r="D3851" s="6" t="s">
        <v>41</v>
      </c>
      <c r="E3851" s="6">
        <v>3</v>
      </c>
      <c r="F3851" s="6">
        <v>0</v>
      </c>
      <c r="G3851" s="6" t="s">
        <v>10</v>
      </c>
      <c r="H3851" s="6" t="s">
        <v>27</v>
      </c>
      <c r="I3851" s="6">
        <f>TabJogos[[#This Row],[PontosTime1]]-TabJogos[[#This Row],[PontosTime2]]</f>
        <v>3</v>
      </c>
    </row>
    <row r="3852" spans="1:9" ht="15" customHeight="1" x14ac:dyDescent="0.25">
      <c r="A3852" s="7">
        <v>3851</v>
      </c>
      <c r="B3852" s="1">
        <v>43648</v>
      </c>
      <c r="C3852" s="6" t="s">
        <v>41</v>
      </c>
      <c r="D3852" s="6" t="s">
        <v>11</v>
      </c>
      <c r="E3852" s="6">
        <v>3</v>
      </c>
      <c r="F3852" s="6">
        <v>2</v>
      </c>
      <c r="G3852" s="6" t="s">
        <v>27</v>
      </c>
      <c r="H3852" s="6" t="s">
        <v>13</v>
      </c>
      <c r="I3852" s="6">
        <f>TabJogos[[#This Row],[PontosTime1]]-TabJogos[[#This Row],[PontosTime2]]</f>
        <v>1</v>
      </c>
    </row>
    <row r="3853" spans="1:9" ht="15" customHeight="1" x14ac:dyDescent="0.25">
      <c r="A3853" s="7">
        <v>3852</v>
      </c>
      <c r="B3853" s="1">
        <v>43648</v>
      </c>
      <c r="C3853" s="6" t="s">
        <v>27</v>
      </c>
      <c r="D3853" s="6" t="s">
        <v>11</v>
      </c>
      <c r="E3853" s="6">
        <v>3</v>
      </c>
      <c r="F3853" s="6">
        <v>1</v>
      </c>
      <c r="G3853" s="6" t="s">
        <v>13</v>
      </c>
      <c r="H3853" s="6" t="s">
        <v>41</v>
      </c>
      <c r="I3853" s="6">
        <f>TabJogos[[#This Row],[PontosTime1]]-TabJogos[[#This Row],[PontosTime2]]</f>
        <v>2</v>
      </c>
    </row>
    <row r="3854" spans="1:9" ht="15" customHeight="1" x14ac:dyDescent="0.25">
      <c r="A3854" s="7">
        <v>3853</v>
      </c>
      <c r="B3854" s="1">
        <v>43648</v>
      </c>
      <c r="C3854" s="6" t="s">
        <v>41</v>
      </c>
      <c r="D3854" s="6" t="s">
        <v>27</v>
      </c>
      <c r="E3854" s="6">
        <v>5</v>
      </c>
      <c r="F3854" s="6">
        <v>1</v>
      </c>
      <c r="G3854" s="6" t="s">
        <v>11</v>
      </c>
      <c r="H3854" s="6" t="s">
        <v>13</v>
      </c>
      <c r="I3854" s="6">
        <f>TabJogos[[#This Row],[PontosTime1]]-TabJogos[[#This Row],[PontosTime2]]</f>
        <v>4</v>
      </c>
    </row>
    <row r="3855" spans="1:9" ht="15" customHeight="1" x14ac:dyDescent="0.25">
      <c r="A3855" s="7">
        <v>3854</v>
      </c>
      <c r="B3855" s="1">
        <v>43648</v>
      </c>
      <c r="C3855" s="6" t="s">
        <v>11</v>
      </c>
      <c r="D3855" s="6" t="s">
        <v>41</v>
      </c>
      <c r="E3855" s="6">
        <v>0</v>
      </c>
      <c r="F3855" s="6">
        <v>3</v>
      </c>
      <c r="G3855" s="6" t="s">
        <v>13</v>
      </c>
      <c r="H3855" s="6" t="s">
        <v>27</v>
      </c>
      <c r="I3855" s="6">
        <f>TabJogos[[#This Row],[PontosTime1]]-TabJogos[[#This Row],[PontosTime2]]</f>
        <v>-3</v>
      </c>
    </row>
    <row r="3856" spans="1:9" ht="15" customHeight="1" x14ac:dyDescent="0.25">
      <c r="A3856" s="7">
        <v>3855</v>
      </c>
      <c r="B3856" s="1">
        <v>43648</v>
      </c>
      <c r="C3856" s="6" t="s">
        <v>11</v>
      </c>
      <c r="D3856" s="6" t="s">
        <v>27</v>
      </c>
      <c r="E3856" s="6">
        <v>3</v>
      </c>
      <c r="F3856" s="6">
        <v>2</v>
      </c>
      <c r="G3856" s="6" t="s">
        <v>41</v>
      </c>
      <c r="H3856" s="6" t="s">
        <v>13</v>
      </c>
      <c r="I3856" s="6">
        <f>TabJogos[[#This Row],[PontosTime1]]-TabJogos[[#This Row],[PontosTime2]]</f>
        <v>1</v>
      </c>
    </row>
    <row r="3857" spans="1:9" ht="15" customHeight="1" x14ac:dyDescent="0.25">
      <c r="A3857" s="7">
        <v>3856</v>
      </c>
      <c r="B3857" s="1">
        <v>43648</v>
      </c>
      <c r="C3857" s="6" t="s">
        <v>13</v>
      </c>
      <c r="D3857" s="6" t="s">
        <v>27</v>
      </c>
      <c r="E3857" s="6">
        <v>1</v>
      </c>
      <c r="F3857" s="6">
        <v>4</v>
      </c>
      <c r="G3857" s="6" t="s">
        <v>11</v>
      </c>
      <c r="H3857" s="6" t="s">
        <v>17</v>
      </c>
      <c r="I3857" s="6">
        <f>TabJogos[[#This Row],[PontosTime1]]-TabJogos[[#This Row],[PontosTime2]]</f>
        <v>-3</v>
      </c>
    </row>
    <row r="3858" spans="1:9" ht="15" customHeight="1" x14ac:dyDescent="0.25">
      <c r="A3858" s="7">
        <v>3857</v>
      </c>
      <c r="B3858" s="1">
        <v>43648</v>
      </c>
      <c r="C3858" s="6" t="s">
        <v>27</v>
      </c>
      <c r="D3858" s="6" t="s">
        <v>17</v>
      </c>
      <c r="E3858" s="6">
        <v>3</v>
      </c>
      <c r="F3858" s="6">
        <v>2</v>
      </c>
      <c r="G3858" s="6" t="s">
        <v>11</v>
      </c>
      <c r="H3858" s="6" t="s">
        <v>13</v>
      </c>
      <c r="I3858" s="6">
        <f>TabJogos[[#This Row],[PontosTime1]]-TabJogos[[#This Row],[PontosTime2]]</f>
        <v>1</v>
      </c>
    </row>
    <row r="3859" spans="1:9" ht="15" customHeight="1" x14ac:dyDescent="0.25">
      <c r="A3859" s="7">
        <v>3858</v>
      </c>
      <c r="B3859" s="1">
        <v>43649</v>
      </c>
      <c r="C3859" s="6" t="s">
        <v>13</v>
      </c>
      <c r="D3859" s="6" t="s">
        <v>9</v>
      </c>
      <c r="E3859" s="6">
        <v>3</v>
      </c>
      <c r="F3859" s="6">
        <v>2</v>
      </c>
      <c r="G3859" s="6" t="s">
        <v>17</v>
      </c>
      <c r="H3859" s="6" t="s">
        <v>11</v>
      </c>
      <c r="I3859" s="6">
        <f>TabJogos[[#This Row],[PontosTime1]]-TabJogos[[#This Row],[PontosTime2]]</f>
        <v>1</v>
      </c>
    </row>
    <row r="3860" spans="1:9" ht="15" customHeight="1" x14ac:dyDescent="0.25">
      <c r="A3860" s="7">
        <v>3859</v>
      </c>
      <c r="B3860" s="1">
        <v>43649</v>
      </c>
      <c r="C3860" s="6" t="s">
        <v>13</v>
      </c>
      <c r="D3860" s="6" t="s">
        <v>17</v>
      </c>
      <c r="E3860" s="6">
        <v>1</v>
      </c>
      <c r="F3860" s="6">
        <v>3</v>
      </c>
      <c r="G3860" s="6" t="s">
        <v>11</v>
      </c>
      <c r="H3860" s="6" t="s">
        <v>9</v>
      </c>
      <c r="I3860" s="6">
        <f>TabJogos[[#This Row],[PontosTime1]]-TabJogos[[#This Row],[PontosTime2]]</f>
        <v>-2</v>
      </c>
    </row>
    <row r="3861" spans="1:9" ht="15" customHeight="1" x14ac:dyDescent="0.25">
      <c r="A3861" s="7">
        <v>3860</v>
      </c>
      <c r="B3861" s="1">
        <v>43649</v>
      </c>
      <c r="C3861" s="6" t="s">
        <v>13</v>
      </c>
      <c r="D3861" s="6" t="s">
        <v>11</v>
      </c>
      <c r="E3861" s="6">
        <v>3</v>
      </c>
      <c r="F3861" s="6">
        <v>2</v>
      </c>
      <c r="G3861" s="6" t="s">
        <v>9</v>
      </c>
      <c r="H3861" s="6" t="s">
        <v>17</v>
      </c>
      <c r="I3861" s="6">
        <f>TabJogos[[#This Row],[PontosTime1]]-TabJogos[[#This Row],[PontosTime2]]</f>
        <v>1</v>
      </c>
    </row>
    <row r="3862" spans="1:9" ht="15" customHeight="1" x14ac:dyDescent="0.25">
      <c r="A3862" s="7">
        <v>3861</v>
      </c>
      <c r="B3862" s="1">
        <v>43649</v>
      </c>
      <c r="C3862" s="6" t="s">
        <v>10</v>
      </c>
      <c r="D3862" s="6" t="s">
        <v>11</v>
      </c>
      <c r="E3862" s="6">
        <v>4</v>
      </c>
      <c r="F3862" s="6">
        <v>0</v>
      </c>
      <c r="G3862" s="6" t="s">
        <v>9</v>
      </c>
      <c r="H3862" s="6" t="s">
        <v>13</v>
      </c>
      <c r="I3862" s="6">
        <f>TabJogos[[#This Row],[PontosTime1]]-TabJogos[[#This Row],[PontosTime2]]</f>
        <v>4</v>
      </c>
    </row>
    <row r="3863" spans="1:9" ht="15" customHeight="1" x14ac:dyDescent="0.25">
      <c r="A3863" s="7">
        <v>3862</v>
      </c>
      <c r="B3863" s="1">
        <v>43649</v>
      </c>
      <c r="C3863" s="6" t="s">
        <v>10</v>
      </c>
      <c r="D3863" s="6" t="s">
        <v>41</v>
      </c>
      <c r="E3863" s="6">
        <v>3</v>
      </c>
      <c r="F3863" s="6">
        <v>0</v>
      </c>
      <c r="G3863" s="6" t="s">
        <v>17</v>
      </c>
      <c r="H3863" s="6" t="s">
        <v>11</v>
      </c>
      <c r="I3863" s="6">
        <f>TabJogos[[#This Row],[PontosTime1]]-TabJogos[[#This Row],[PontosTime2]]</f>
        <v>3</v>
      </c>
    </row>
    <row r="3864" spans="1:9" ht="15" customHeight="1" x14ac:dyDescent="0.25">
      <c r="A3864" s="7">
        <v>3863</v>
      </c>
      <c r="B3864" s="1">
        <v>43649</v>
      </c>
      <c r="C3864" s="6" t="s">
        <v>10</v>
      </c>
      <c r="D3864" s="6" t="s">
        <v>13</v>
      </c>
      <c r="E3864" s="6">
        <v>3</v>
      </c>
      <c r="F3864" s="6">
        <v>0</v>
      </c>
      <c r="G3864" s="6" t="s">
        <v>17</v>
      </c>
      <c r="H3864" s="6" t="s">
        <v>41</v>
      </c>
      <c r="I3864" s="6">
        <f>TabJogos[[#This Row],[PontosTime1]]-TabJogos[[#This Row],[PontosTime2]]</f>
        <v>3</v>
      </c>
    </row>
    <row r="3865" spans="1:9" ht="15" customHeight="1" x14ac:dyDescent="0.25">
      <c r="A3865" s="7">
        <v>3864</v>
      </c>
      <c r="B3865" s="1">
        <v>43649</v>
      </c>
      <c r="C3865" s="6" t="s">
        <v>10</v>
      </c>
      <c r="D3865" s="6" t="s">
        <v>13</v>
      </c>
      <c r="E3865" s="6">
        <v>1</v>
      </c>
      <c r="F3865" s="6">
        <v>3</v>
      </c>
      <c r="G3865" s="6" t="s">
        <v>11</v>
      </c>
      <c r="H3865" s="6" t="s">
        <v>9</v>
      </c>
      <c r="I3865" s="6">
        <f>TabJogos[[#This Row],[PontosTime1]]-TabJogos[[#This Row],[PontosTime2]]</f>
        <v>-2</v>
      </c>
    </row>
    <row r="3866" spans="1:9" ht="15" customHeight="1" x14ac:dyDescent="0.25">
      <c r="A3866" s="7">
        <v>3865</v>
      </c>
      <c r="B3866" s="1">
        <v>43649</v>
      </c>
      <c r="C3866" s="6" t="s">
        <v>13</v>
      </c>
      <c r="D3866" s="6" t="s">
        <v>41</v>
      </c>
      <c r="E3866" s="6">
        <v>3</v>
      </c>
      <c r="F3866" s="6">
        <v>1</v>
      </c>
      <c r="G3866" s="6" t="s">
        <v>10</v>
      </c>
      <c r="H3866" s="6" t="s">
        <v>9</v>
      </c>
      <c r="I3866" s="6">
        <f>TabJogos[[#This Row],[PontosTime1]]-TabJogos[[#This Row],[PontosTime2]]</f>
        <v>2</v>
      </c>
    </row>
    <row r="3867" spans="1:9" ht="15" customHeight="1" x14ac:dyDescent="0.25">
      <c r="A3867" s="7">
        <v>3866</v>
      </c>
      <c r="B3867" s="1">
        <v>43649</v>
      </c>
      <c r="C3867" s="6" t="s">
        <v>41</v>
      </c>
      <c r="D3867" s="6" t="s">
        <v>11</v>
      </c>
      <c r="E3867" s="6">
        <v>3</v>
      </c>
      <c r="F3867" s="6">
        <v>0</v>
      </c>
      <c r="G3867" s="6" t="s">
        <v>17</v>
      </c>
      <c r="H3867" s="6" t="s">
        <v>13</v>
      </c>
      <c r="I3867" s="6">
        <f>TabJogos[[#This Row],[PontosTime1]]-TabJogos[[#This Row],[PontosTime2]]</f>
        <v>3</v>
      </c>
    </row>
    <row r="3868" spans="1:9" ht="15" customHeight="1" x14ac:dyDescent="0.25">
      <c r="A3868" s="7">
        <v>3867</v>
      </c>
      <c r="B3868" s="1">
        <v>43649</v>
      </c>
      <c r="C3868" s="6" t="s">
        <v>41</v>
      </c>
      <c r="D3868" s="6" t="s">
        <v>9</v>
      </c>
      <c r="E3868" s="6">
        <v>2</v>
      </c>
      <c r="F3868" s="6">
        <v>3</v>
      </c>
      <c r="G3868" s="6" t="s">
        <v>18</v>
      </c>
      <c r="H3868" s="6" t="s">
        <v>11</v>
      </c>
      <c r="I3868" s="6">
        <f>TabJogos[[#This Row],[PontosTime1]]-TabJogos[[#This Row],[PontosTime2]]</f>
        <v>-1</v>
      </c>
    </row>
    <row r="3869" spans="1:9" ht="15" customHeight="1" x14ac:dyDescent="0.25">
      <c r="A3869" s="7">
        <v>3868</v>
      </c>
      <c r="B3869" s="1">
        <v>43649</v>
      </c>
      <c r="C3869" s="6" t="s">
        <v>18</v>
      </c>
      <c r="D3869" s="6" t="s">
        <v>9</v>
      </c>
      <c r="E3869" s="6">
        <v>1</v>
      </c>
      <c r="F3869" s="6">
        <v>5</v>
      </c>
      <c r="G3869" s="6" t="s">
        <v>11</v>
      </c>
      <c r="H3869" s="6" t="s">
        <v>13</v>
      </c>
      <c r="I3869" s="6">
        <f>TabJogos[[#This Row],[PontosTime1]]-TabJogos[[#This Row],[PontosTime2]]</f>
        <v>-4</v>
      </c>
    </row>
    <row r="3870" spans="1:9" ht="15" customHeight="1" x14ac:dyDescent="0.25">
      <c r="A3870" s="7">
        <v>3869</v>
      </c>
      <c r="B3870" s="1">
        <v>43649</v>
      </c>
      <c r="C3870" s="6" t="s">
        <v>11</v>
      </c>
      <c r="D3870" s="6" t="s">
        <v>9</v>
      </c>
      <c r="E3870" s="6">
        <v>3</v>
      </c>
      <c r="F3870" s="6">
        <v>1</v>
      </c>
      <c r="G3870" s="6" t="s">
        <v>13</v>
      </c>
      <c r="H3870" s="6" t="s">
        <v>18</v>
      </c>
      <c r="I3870" s="6">
        <f>TabJogos[[#This Row],[PontosTime1]]-TabJogos[[#This Row],[PontosTime2]]</f>
        <v>2</v>
      </c>
    </row>
    <row r="3871" spans="1:9" ht="15" customHeight="1" x14ac:dyDescent="0.25">
      <c r="A3871" s="7">
        <v>3870</v>
      </c>
      <c r="B3871" s="1">
        <v>43649</v>
      </c>
      <c r="C3871" s="6" t="s">
        <v>11</v>
      </c>
      <c r="D3871" s="6" t="s">
        <v>18</v>
      </c>
      <c r="E3871" s="6">
        <v>1</v>
      </c>
      <c r="F3871" s="6">
        <v>3</v>
      </c>
      <c r="G3871" s="6" t="s">
        <v>9</v>
      </c>
      <c r="H3871" s="6" t="s">
        <v>13</v>
      </c>
      <c r="I3871" s="6">
        <f>TabJogos[[#This Row],[PontosTime1]]-TabJogos[[#This Row],[PontosTime2]]</f>
        <v>-2</v>
      </c>
    </row>
    <row r="3872" spans="1:9" ht="15" customHeight="1" x14ac:dyDescent="0.25">
      <c r="A3872" s="7">
        <v>3871</v>
      </c>
      <c r="B3872" s="1">
        <v>43649</v>
      </c>
      <c r="C3872" s="6" t="s">
        <v>11</v>
      </c>
      <c r="D3872" s="6" t="s">
        <v>13</v>
      </c>
      <c r="E3872" s="6">
        <v>3</v>
      </c>
      <c r="F3872" s="6">
        <v>1</v>
      </c>
      <c r="G3872" s="6" t="s">
        <v>9</v>
      </c>
      <c r="H3872" s="6" t="s">
        <v>18</v>
      </c>
      <c r="I3872" s="6">
        <v>1</v>
      </c>
    </row>
    <row r="3873" spans="1:9" ht="15" customHeight="1" x14ac:dyDescent="0.25">
      <c r="A3873" s="7">
        <v>3872</v>
      </c>
      <c r="B3873" s="1">
        <v>43649</v>
      </c>
      <c r="C3873" s="6" t="s">
        <v>11</v>
      </c>
      <c r="D3873" s="6" t="s">
        <v>9</v>
      </c>
      <c r="E3873" s="6">
        <v>3</v>
      </c>
      <c r="F3873" s="6">
        <v>2</v>
      </c>
      <c r="G3873" s="6" t="s">
        <v>13</v>
      </c>
      <c r="H3873" s="6" t="s">
        <v>9</v>
      </c>
      <c r="I3873" s="6">
        <f>TabJogos[[#This Row],[PontosTime1]]-TabJogos[[#This Row],[PontosTime2]]</f>
        <v>1</v>
      </c>
    </row>
    <row r="3874" spans="1:9" ht="15" customHeight="1" x14ac:dyDescent="0.25">
      <c r="A3874" s="7">
        <v>3873</v>
      </c>
      <c r="B3874" s="1">
        <v>43650</v>
      </c>
      <c r="C3874" s="6" t="s">
        <v>17</v>
      </c>
      <c r="D3874" s="6" t="s">
        <v>13</v>
      </c>
      <c r="E3874" s="6">
        <v>3</v>
      </c>
      <c r="F3874" s="6">
        <v>1</v>
      </c>
      <c r="G3874" s="6" t="s">
        <v>10</v>
      </c>
      <c r="H3874" s="6" t="s">
        <v>12</v>
      </c>
      <c r="I3874" s="6">
        <f>TabJogos[[#This Row],[PontosTime1]]-TabJogos[[#This Row],[PontosTime2]]</f>
        <v>2</v>
      </c>
    </row>
    <row r="3875" spans="1:9" ht="15" customHeight="1" x14ac:dyDescent="0.25">
      <c r="A3875" s="7">
        <v>3874</v>
      </c>
      <c r="B3875" s="1">
        <v>43650</v>
      </c>
      <c r="C3875" s="6" t="s">
        <v>17</v>
      </c>
      <c r="D3875" s="6" t="s">
        <v>10</v>
      </c>
      <c r="E3875" s="6">
        <v>3</v>
      </c>
      <c r="F3875" s="6">
        <v>1</v>
      </c>
      <c r="G3875" s="6" t="s">
        <v>13</v>
      </c>
      <c r="H3875" s="6" t="s">
        <v>12</v>
      </c>
      <c r="I3875" s="6">
        <f>TabJogos[[#This Row],[PontosTime1]]-TabJogos[[#This Row],[PontosTime2]]</f>
        <v>2</v>
      </c>
    </row>
    <row r="3876" spans="1:9" ht="15" customHeight="1" x14ac:dyDescent="0.25">
      <c r="A3876" s="7">
        <v>3875</v>
      </c>
      <c r="B3876" s="1">
        <v>43650</v>
      </c>
      <c r="C3876" s="6" t="s">
        <v>17</v>
      </c>
      <c r="D3876" s="6" t="s">
        <v>12</v>
      </c>
      <c r="E3876" s="6">
        <v>2</v>
      </c>
      <c r="F3876" s="6">
        <v>5</v>
      </c>
      <c r="G3876" s="6" t="s">
        <v>13</v>
      </c>
      <c r="H3876" s="6" t="s">
        <v>10</v>
      </c>
      <c r="I3876" s="6">
        <f>TabJogos[[#This Row],[PontosTime1]]-TabJogos[[#This Row],[PontosTime2]]</f>
        <v>-3</v>
      </c>
    </row>
    <row r="3877" spans="1:9" ht="15" customHeight="1" x14ac:dyDescent="0.25">
      <c r="A3877" s="7">
        <v>3876</v>
      </c>
      <c r="B3877" s="1">
        <v>43650</v>
      </c>
      <c r="C3877" s="6" t="s">
        <v>9</v>
      </c>
      <c r="D3877" s="6" t="s">
        <v>13</v>
      </c>
      <c r="E3877" s="6">
        <v>1</v>
      </c>
      <c r="F3877" s="6">
        <v>3</v>
      </c>
      <c r="G3877" s="6" t="s">
        <v>18</v>
      </c>
      <c r="H3877" s="6" t="s">
        <v>11</v>
      </c>
      <c r="I3877" s="6">
        <f>TabJogos[[#This Row],[PontosTime1]]-TabJogos[[#This Row],[PontosTime2]]</f>
        <v>-2</v>
      </c>
    </row>
    <row r="3878" spans="1:9" ht="15" customHeight="1" x14ac:dyDescent="0.25">
      <c r="A3878" s="7">
        <v>3877</v>
      </c>
      <c r="B3878" s="1">
        <v>43650</v>
      </c>
      <c r="C3878" s="6" t="s">
        <v>9</v>
      </c>
      <c r="D3878" s="6" t="s">
        <v>18</v>
      </c>
      <c r="E3878" s="6">
        <v>2</v>
      </c>
      <c r="F3878" s="6">
        <v>3</v>
      </c>
      <c r="G3878" s="6" t="s">
        <v>13</v>
      </c>
      <c r="H3878" s="6" t="s">
        <v>11</v>
      </c>
      <c r="I3878" s="6">
        <f>TabJogos[[#This Row],[PontosTime1]]-TabJogos[[#This Row],[PontosTime2]]</f>
        <v>-1</v>
      </c>
    </row>
    <row r="3879" spans="1:9" ht="15" customHeight="1" x14ac:dyDescent="0.25">
      <c r="A3879" s="7">
        <v>3878</v>
      </c>
      <c r="B3879" s="1">
        <v>43650</v>
      </c>
      <c r="C3879" s="6" t="s">
        <v>11</v>
      </c>
      <c r="D3879" s="6" t="s">
        <v>9</v>
      </c>
      <c r="E3879" s="6">
        <v>3</v>
      </c>
      <c r="F3879" s="6">
        <v>2</v>
      </c>
      <c r="G3879" s="6" t="s">
        <v>13</v>
      </c>
      <c r="H3879" s="6" t="s">
        <v>18</v>
      </c>
      <c r="I3879" s="6">
        <f>TabJogos[[#This Row],[PontosTime1]]-TabJogos[[#This Row],[PontosTime2]]</f>
        <v>1</v>
      </c>
    </row>
    <row r="3880" spans="1:9" ht="15" customHeight="1" x14ac:dyDescent="0.25">
      <c r="A3880" s="7">
        <v>3879</v>
      </c>
      <c r="B3880" s="1">
        <v>43650</v>
      </c>
      <c r="C3880" s="6" t="s">
        <v>11</v>
      </c>
      <c r="D3880" s="6" t="s">
        <v>18</v>
      </c>
      <c r="E3880" s="6">
        <v>4</v>
      </c>
      <c r="F3880" s="6">
        <v>0</v>
      </c>
      <c r="G3880" s="6" t="s">
        <v>9</v>
      </c>
      <c r="H3880" s="6" t="s">
        <v>13</v>
      </c>
      <c r="I3880" s="6">
        <f>TabJogos[[#This Row],[PontosTime1]]-TabJogos[[#This Row],[PontosTime2]]</f>
        <v>4</v>
      </c>
    </row>
    <row r="3881" spans="1:9" ht="15" customHeight="1" x14ac:dyDescent="0.25">
      <c r="A3881" s="7">
        <v>3880</v>
      </c>
      <c r="B3881" s="1">
        <v>43650</v>
      </c>
      <c r="C3881" s="6" t="s">
        <v>9</v>
      </c>
      <c r="D3881" s="6" t="s">
        <v>18</v>
      </c>
      <c r="E3881" s="6">
        <v>3</v>
      </c>
      <c r="F3881" s="6">
        <v>0</v>
      </c>
      <c r="G3881" s="6" t="s">
        <v>13</v>
      </c>
      <c r="H3881" s="6" t="s">
        <v>11</v>
      </c>
      <c r="I3881" s="6">
        <f>TabJogos[[#This Row],[PontosTime1]]-TabJogos[[#This Row],[PontosTime2]]</f>
        <v>3</v>
      </c>
    </row>
    <row r="3882" spans="1:9" ht="15" customHeight="1" x14ac:dyDescent="0.25">
      <c r="A3882" s="7">
        <v>3881</v>
      </c>
      <c r="B3882" s="1">
        <v>43650</v>
      </c>
      <c r="C3882" s="6" t="s">
        <v>11</v>
      </c>
      <c r="D3882" s="6" t="s">
        <v>9</v>
      </c>
      <c r="E3882" s="6">
        <v>3</v>
      </c>
      <c r="F3882" s="6">
        <v>1</v>
      </c>
      <c r="G3882" s="6" t="s">
        <v>13</v>
      </c>
      <c r="H3882" s="6" t="s">
        <v>18</v>
      </c>
      <c r="I3882" s="6">
        <f>TabJogos[[#This Row],[PontosTime1]]-TabJogos[[#This Row],[PontosTime2]]</f>
        <v>2</v>
      </c>
    </row>
    <row r="3883" spans="1:9" ht="15" customHeight="1" x14ac:dyDescent="0.25">
      <c r="A3883" s="7">
        <v>3882</v>
      </c>
      <c r="B3883" s="1">
        <v>43650</v>
      </c>
      <c r="C3883" s="6" t="s">
        <v>11</v>
      </c>
      <c r="D3883" s="6" t="s">
        <v>18</v>
      </c>
      <c r="E3883" s="6">
        <v>1</v>
      </c>
      <c r="F3883" s="6">
        <v>3</v>
      </c>
      <c r="G3883" s="6" t="s">
        <v>9</v>
      </c>
      <c r="H3883" s="6" t="s">
        <v>13</v>
      </c>
      <c r="I3883" s="6">
        <f>TabJogos[[#This Row],[PontosTime1]]-TabJogos[[#This Row],[PontosTime2]]</f>
        <v>-2</v>
      </c>
    </row>
    <row r="3884" spans="1:9" ht="15" customHeight="1" x14ac:dyDescent="0.25">
      <c r="A3884" s="7">
        <v>3883</v>
      </c>
      <c r="B3884" s="1">
        <v>43650</v>
      </c>
      <c r="C3884" s="6" t="s">
        <v>11</v>
      </c>
      <c r="D3884" s="6" t="s">
        <v>9</v>
      </c>
      <c r="E3884" s="6">
        <v>4</v>
      </c>
      <c r="F3884" s="6">
        <v>0</v>
      </c>
      <c r="G3884" s="6" t="s">
        <v>13</v>
      </c>
      <c r="H3884" s="6" t="s">
        <v>18</v>
      </c>
      <c r="I3884" s="6">
        <f>TabJogos[[#This Row],[PontosTime1]]-TabJogos[[#This Row],[PontosTime2]]</f>
        <v>4</v>
      </c>
    </row>
    <row r="3885" spans="1:9" ht="15" customHeight="1" x14ac:dyDescent="0.25">
      <c r="A3885" s="7">
        <v>3884</v>
      </c>
      <c r="B3885" s="1">
        <v>43650</v>
      </c>
      <c r="C3885" s="6" t="s">
        <v>11</v>
      </c>
      <c r="D3885" s="6" t="s">
        <v>13</v>
      </c>
      <c r="E3885" s="6">
        <v>2</v>
      </c>
      <c r="F3885" s="6">
        <v>4</v>
      </c>
      <c r="G3885" s="6" t="s">
        <v>9</v>
      </c>
      <c r="H3885" s="6" t="s">
        <v>18</v>
      </c>
      <c r="I3885" s="6">
        <f>TabJogos[[#This Row],[PontosTime1]]-TabJogos[[#This Row],[PontosTime2]]</f>
        <v>-2</v>
      </c>
    </row>
    <row r="3886" spans="1:9" ht="15" customHeight="1" x14ac:dyDescent="0.25">
      <c r="A3886" s="7">
        <v>3885</v>
      </c>
      <c r="B3886" s="1">
        <v>43651</v>
      </c>
      <c r="C3886" s="6" t="s">
        <v>9</v>
      </c>
      <c r="D3886" s="6" t="s">
        <v>13</v>
      </c>
      <c r="E3886" s="6">
        <v>1</v>
      </c>
      <c r="F3886" s="6">
        <v>3</v>
      </c>
      <c r="G3886" s="6" t="s">
        <v>11</v>
      </c>
      <c r="H3886" s="6" t="s">
        <v>10</v>
      </c>
      <c r="I3886" s="6">
        <f>TabJogos[[#This Row],[PontosTime1]]-TabJogos[[#This Row],[PontosTime2]]</f>
        <v>-2</v>
      </c>
    </row>
    <row r="3887" spans="1:9" ht="15" customHeight="1" x14ac:dyDescent="0.25">
      <c r="A3887" s="7">
        <v>3886</v>
      </c>
      <c r="B3887" s="1">
        <v>43651</v>
      </c>
      <c r="C3887" s="6" t="s">
        <v>11</v>
      </c>
      <c r="D3887" s="6" t="s">
        <v>9</v>
      </c>
      <c r="E3887" s="6">
        <v>3</v>
      </c>
      <c r="F3887" s="6">
        <v>2</v>
      </c>
      <c r="G3887" s="6" t="s">
        <v>13</v>
      </c>
      <c r="H3887" s="6" t="s">
        <v>10</v>
      </c>
      <c r="I3887" s="6">
        <f>TabJogos[[#This Row],[PontosTime1]]-TabJogos[[#This Row],[PontosTime2]]</f>
        <v>1</v>
      </c>
    </row>
    <row r="3888" spans="1:9" ht="15" customHeight="1" x14ac:dyDescent="0.25">
      <c r="A3888" s="7">
        <v>3887</v>
      </c>
      <c r="B3888" s="1">
        <v>43651</v>
      </c>
      <c r="C3888" s="6" t="s">
        <v>41</v>
      </c>
      <c r="D3888" s="6" t="s">
        <v>9</v>
      </c>
      <c r="E3888" s="6">
        <v>3</v>
      </c>
      <c r="F3888" s="6">
        <v>2</v>
      </c>
      <c r="G3888" s="6" t="s">
        <v>11</v>
      </c>
      <c r="H3888" s="6" t="s">
        <v>13</v>
      </c>
      <c r="I3888" s="6">
        <f>TabJogos[[#This Row],[PontosTime1]]-TabJogos[[#This Row],[PontosTime2]]</f>
        <v>1</v>
      </c>
    </row>
    <row r="3889" spans="1:9" ht="15" customHeight="1" x14ac:dyDescent="0.25">
      <c r="A3889" s="7">
        <v>3888</v>
      </c>
      <c r="B3889" s="1">
        <v>43654</v>
      </c>
      <c r="C3889" s="6" t="s">
        <v>9</v>
      </c>
      <c r="D3889" s="6" t="s">
        <v>18</v>
      </c>
      <c r="E3889" s="6">
        <v>3</v>
      </c>
      <c r="F3889" s="6">
        <v>1</v>
      </c>
      <c r="G3889" s="6" t="s">
        <v>28</v>
      </c>
      <c r="H3889" s="6" t="s">
        <v>17</v>
      </c>
      <c r="I3889" s="6">
        <f>TabJogos[[#This Row],[PontosTime1]]-TabJogos[[#This Row],[PontosTime2]]</f>
        <v>2</v>
      </c>
    </row>
    <row r="3890" spans="1:9" ht="15" customHeight="1" x14ac:dyDescent="0.25">
      <c r="A3890" s="7">
        <v>3889</v>
      </c>
      <c r="B3890" s="1">
        <v>43654</v>
      </c>
      <c r="C3890" s="6" t="s">
        <v>9</v>
      </c>
      <c r="D3890" s="6" t="s">
        <v>17</v>
      </c>
      <c r="E3890" s="6">
        <v>3</v>
      </c>
      <c r="F3890" s="6">
        <v>0</v>
      </c>
      <c r="G3890" s="6" t="s">
        <v>11</v>
      </c>
      <c r="H3890" s="6" t="s">
        <v>18</v>
      </c>
      <c r="I3890" s="6">
        <f>TabJogos[[#This Row],[PontosTime1]]-TabJogos[[#This Row],[PontosTime2]]</f>
        <v>3</v>
      </c>
    </row>
    <row r="3891" spans="1:9" ht="15" customHeight="1" x14ac:dyDescent="0.25">
      <c r="A3891" s="7">
        <v>3890</v>
      </c>
      <c r="B3891" s="1">
        <v>43654</v>
      </c>
      <c r="C3891" s="6" t="s">
        <v>11</v>
      </c>
      <c r="D3891" s="6" t="s">
        <v>17</v>
      </c>
      <c r="E3891" s="6">
        <v>3</v>
      </c>
      <c r="F3891" s="6">
        <v>0</v>
      </c>
      <c r="G3891" s="6" t="s">
        <v>9</v>
      </c>
      <c r="H3891" s="6" t="s">
        <v>28</v>
      </c>
      <c r="I3891" s="6">
        <f>TabJogos[[#This Row],[PontosTime1]]-TabJogos[[#This Row],[PontosTime2]]</f>
        <v>3</v>
      </c>
    </row>
    <row r="3892" spans="1:9" ht="15" customHeight="1" x14ac:dyDescent="0.25">
      <c r="A3892" s="7">
        <v>3891</v>
      </c>
      <c r="B3892" s="1">
        <v>43654</v>
      </c>
      <c r="C3892" s="6" t="s">
        <v>17</v>
      </c>
      <c r="D3892" s="6" t="s">
        <v>18</v>
      </c>
      <c r="E3892" s="6">
        <v>3</v>
      </c>
      <c r="F3892" s="6">
        <v>1</v>
      </c>
      <c r="G3892" s="6" t="s">
        <v>11</v>
      </c>
      <c r="H3892" s="6" t="s">
        <v>28</v>
      </c>
      <c r="I3892" s="6">
        <f>TabJogos[[#This Row],[PontosTime1]]-TabJogos[[#This Row],[PontosTime2]]</f>
        <v>2</v>
      </c>
    </row>
    <row r="3893" spans="1:9" ht="15" customHeight="1" x14ac:dyDescent="0.25">
      <c r="A3893" s="7">
        <v>3892</v>
      </c>
      <c r="B3893" s="1">
        <v>43654</v>
      </c>
      <c r="C3893" s="6" t="s">
        <v>11</v>
      </c>
      <c r="D3893" s="6" t="s">
        <v>18</v>
      </c>
      <c r="E3893" s="6">
        <v>3</v>
      </c>
      <c r="F3893" s="6">
        <v>0</v>
      </c>
      <c r="G3893" s="6" t="s">
        <v>9</v>
      </c>
      <c r="H3893" s="6" t="s">
        <v>28</v>
      </c>
      <c r="I3893" s="6">
        <f>TabJogos[[#This Row],[PontosTime1]]-TabJogos[[#This Row],[PontosTime2]]</f>
        <v>3</v>
      </c>
    </row>
    <row r="3894" spans="1:9" ht="15" customHeight="1" x14ac:dyDescent="0.25">
      <c r="A3894" s="7">
        <v>3893</v>
      </c>
      <c r="B3894" s="1">
        <v>43655</v>
      </c>
      <c r="C3894" s="6" t="s">
        <v>12</v>
      </c>
      <c r="D3894" s="6" t="s">
        <v>18</v>
      </c>
      <c r="E3894" s="6">
        <v>4</v>
      </c>
      <c r="F3894" s="6">
        <v>2</v>
      </c>
      <c r="G3894" s="6" t="s">
        <v>11</v>
      </c>
      <c r="H3894" s="6" t="s">
        <v>17</v>
      </c>
      <c r="I3894" s="6">
        <f>TabJogos[[#This Row],[PontosTime1]]-TabJogos[[#This Row],[PontosTime2]]</f>
        <v>2</v>
      </c>
    </row>
    <row r="3895" spans="1:9" ht="15" customHeight="1" x14ac:dyDescent="0.25">
      <c r="A3895" s="7">
        <v>3894</v>
      </c>
      <c r="B3895" s="1">
        <v>43655</v>
      </c>
      <c r="C3895" s="6" t="s">
        <v>17</v>
      </c>
      <c r="D3895" s="6" t="s">
        <v>18</v>
      </c>
      <c r="E3895" s="6">
        <v>3</v>
      </c>
      <c r="F3895" s="6">
        <v>1</v>
      </c>
      <c r="G3895" s="6" t="s">
        <v>12</v>
      </c>
      <c r="H3895" s="6" t="s">
        <v>11</v>
      </c>
      <c r="I3895" s="6">
        <f>TabJogos[[#This Row],[PontosTime1]]-TabJogos[[#This Row],[PontosTime2]]</f>
        <v>2</v>
      </c>
    </row>
    <row r="3896" spans="1:9" ht="15" customHeight="1" x14ac:dyDescent="0.25">
      <c r="A3896" s="7">
        <v>3895</v>
      </c>
      <c r="B3896" s="1">
        <v>43655</v>
      </c>
      <c r="C3896" s="6" t="s">
        <v>11</v>
      </c>
      <c r="D3896" s="6" t="s">
        <v>18</v>
      </c>
      <c r="E3896" s="6">
        <v>1</v>
      </c>
      <c r="F3896" s="6">
        <v>3</v>
      </c>
      <c r="G3896" s="6" t="s">
        <v>12</v>
      </c>
      <c r="H3896" s="6" t="s">
        <v>17</v>
      </c>
      <c r="I3896" s="6">
        <f>TabJogos[[#This Row],[PontosTime1]]-TabJogos[[#This Row],[PontosTime2]]</f>
        <v>-2</v>
      </c>
    </row>
    <row r="3897" spans="1:9" ht="15" customHeight="1" x14ac:dyDescent="0.25">
      <c r="A3897" s="7">
        <v>3896</v>
      </c>
      <c r="B3897" s="1">
        <v>43655</v>
      </c>
      <c r="C3897" s="6" t="s">
        <v>17</v>
      </c>
      <c r="D3897" s="6" t="s">
        <v>18</v>
      </c>
      <c r="E3897" s="6">
        <v>3</v>
      </c>
      <c r="F3897" s="6">
        <v>0</v>
      </c>
      <c r="G3897" s="6" t="s">
        <v>11</v>
      </c>
      <c r="H3897" s="6" t="s">
        <v>12</v>
      </c>
      <c r="I3897" s="6">
        <f>TabJogos[[#This Row],[PontosTime1]]-TabJogos[[#This Row],[PontosTime2]]</f>
        <v>3</v>
      </c>
    </row>
    <row r="3898" spans="1:9" ht="15" customHeight="1" x14ac:dyDescent="0.25">
      <c r="A3898" s="7">
        <v>3897</v>
      </c>
      <c r="B3898" s="1">
        <v>43655</v>
      </c>
      <c r="C3898" s="6" t="s">
        <v>17</v>
      </c>
      <c r="D3898" s="6" t="s">
        <v>11</v>
      </c>
      <c r="E3898" s="6">
        <v>3</v>
      </c>
      <c r="F3898" s="6">
        <v>0</v>
      </c>
      <c r="G3898" s="6" t="s">
        <v>12</v>
      </c>
      <c r="H3898" s="6" t="s">
        <v>18</v>
      </c>
      <c r="I3898" s="6">
        <f>TabJogos[[#This Row],[PontosTime1]]-TabJogos[[#This Row],[PontosTime2]]</f>
        <v>3</v>
      </c>
    </row>
    <row r="3899" spans="1:9" ht="15" customHeight="1" x14ac:dyDescent="0.25">
      <c r="A3899" s="7">
        <v>3898</v>
      </c>
      <c r="B3899" s="1">
        <v>43655</v>
      </c>
      <c r="C3899" s="6" t="s">
        <v>12</v>
      </c>
      <c r="D3899" s="6" t="s">
        <v>17</v>
      </c>
      <c r="E3899" s="6">
        <v>3</v>
      </c>
      <c r="F3899" s="6">
        <v>1</v>
      </c>
      <c r="G3899" s="6" t="s">
        <v>11</v>
      </c>
      <c r="H3899" s="6" t="s">
        <v>18</v>
      </c>
      <c r="I3899" s="6">
        <f>TabJogos[[#This Row],[PontosTime1]]-TabJogos[[#This Row],[PontosTime2]]</f>
        <v>2</v>
      </c>
    </row>
    <row r="3900" spans="1:9" ht="15" customHeight="1" x14ac:dyDescent="0.25">
      <c r="A3900" s="7">
        <v>3899</v>
      </c>
      <c r="B3900" s="1">
        <v>43657</v>
      </c>
      <c r="C3900" s="6" t="s">
        <v>11</v>
      </c>
      <c r="D3900" s="6" t="s">
        <v>17</v>
      </c>
      <c r="E3900" s="6">
        <v>3</v>
      </c>
      <c r="F3900" s="6">
        <v>0</v>
      </c>
      <c r="G3900" s="6" t="s">
        <v>12</v>
      </c>
      <c r="H3900" s="6" t="s">
        <v>18</v>
      </c>
      <c r="I3900" s="6">
        <f>TabJogos[[#This Row],[PontosTime1]]-TabJogos[[#This Row],[PontosTime2]]</f>
        <v>3</v>
      </c>
    </row>
    <row r="3901" spans="1:9" ht="15" customHeight="1" x14ac:dyDescent="0.25">
      <c r="A3901" s="7">
        <v>3900</v>
      </c>
      <c r="B3901" s="1">
        <v>43657</v>
      </c>
      <c r="C3901" s="6" t="s">
        <v>11</v>
      </c>
      <c r="D3901" s="6" t="s">
        <v>18</v>
      </c>
      <c r="E3901" s="6">
        <v>3</v>
      </c>
      <c r="F3901" s="6">
        <v>1</v>
      </c>
      <c r="G3901" s="6" t="s">
        <v>12</v>
      </c>
      <c r="H3901" s="6" t="s">
        <v>17</v>
      </c>
      <c r="I3901" s="6">
        <f>TabJogos[[#This Row],[PontosTime1]]-TabJogos[[#This Row],[PontosTime2]]</f>
        <v>2</v>
      </c>
    </row>
    <row r="3902" spans="1:9" ht="15" customHeight="1" x14ac:dyDescent="0.25">
      <c r="A3902" s="7">
        <v>3901</v>
      </c>
      <c r="B3902" s="1">
        <v>43657</v>
      </c>
      <c r="C3902" s="6" t="s">
        <v>12</v>
      </c>
      <c r="D3902" s="6" t="s">
        <v>11</v>
      </c>
      <c r="E3902" s="6">
        <v>1</v>
      </c>
      <c r="F3902" s="6">
        <v>4</v>
      </c>
      <c r="G3902" s="6" t="s">
        <v>17</v>
      </c>
      <c r="H3902" s="6" t="s">
        <v>18</v>
      </c>
      <c r="I3902" s="6">
        <f>TabJogos[[#This Row],[PontosTime1]]-TabJogos[[#This Row],[PontosTime2]]</f>
        <v>-3</v>
      </c>
    </row>
    <row r="3903" spans="1:9" ht="15" customHeight="1" x14ac:dyDescent="0.25">
      <c r="A3903" s="7">
        <v>3902</v>
      </c>
      <c r="B3903" s="1">
        <v>43657</v>
      </c>
      <c r="C3903" s="6" t="s">
        <v>17</v>
      </c>
      <c r="D3903" s="6" t="s">
        <v>11</v>
      </c>
      <c r="E3903" s="6">
        <v>3</v>
      </c>
      <c r="F3903" s="6">
        <v>2</v>
      </c>
      <c r="G3903" s="6" t="s">
        <v>18</v>
      </c>
      <c r="H3903" s="6" t="s">
        <v>62</v>
      </c>
      <c r="I3903" s="6">
        <f>TabJogos[[#This Row],[PontosTime1]]-TabJogos[[#This Row],[PontosTime2]]</f>
        <v>1</v>
      </c>
    </row>
    <row r="3904" spans="1:9" ht="15" customHeight="1" x14ac:dyDescent="0.25">
      <c r="A3904" s="7">
        <v>3903</v>
      </c>
      <c r="B3904" s="1">
        <v>43657</v>
      </c>
      <c r="C3904" s="6" t="s">
        <v>17</v>
      </c>
      <c r="D3904" s="6" t="s">
        <v>62</v>
      </c>
      <c r="E3904" s="6">
        <v>3</v>
      </c>
      <c r="F3904" s="6">
        <v>2</v>
      </c>
      <c r="G3904" s="6" t="s">
        <v>11</v>
      </c>
      <c r="H3904" s="6" t="s">
        <v>18</v>
      </c>
      <c r="I3904" s="6">
        <f>TabJogos[[#This Row],[PontosTime1]]-TabJogos[[#This Row],[PontosTime2]]</f>
        <v>1</v>
      </c>
    </row>
    <row r="3905" spans="1:9" ht="15" customHeight="1" x14ac:dyDescent="0.25">
      <c r="A3905" s="7">
        <v>3904</v>
      </c>
      <c r="B3905" s="1">
        <v>43657</v>
      </c>
      <c r="C3905" s="6" t="s">
        <v>17</v>
      </c>
      <c r="D3905" s="6" t="s">
        <v>18</v>
      </c>
      <c r="E3905" s="6">
        <v>0</v>
      </c>
      <c r="F3905" s="6">
        <v>3</v>
      </c>
      <c r="G3905" s="6" t="s">
        <v>11</v>
      </c>
      <c r="H3905" s="6" t="s">
        <v>62</v>
      </c>
      <c r="I3905" s="6">
        <f>TabJogos[[#This Row],[PontosTime1]]-TabJogos[[#This Row],[PontosTime2]]</f>
        <v>-3</v>
      </c>
    </row>
    <row r="3906" spans="1:9" ht="15" customHeight="1" x14ac:dyDescent="0.25">
      <c r="A3906" s="7">
        <v>3905</v>
      </c>
      <c r="B3906" s="1">
        <v>43657</v>
      </c>
      <c r="C3906" s="6" t="s">
        <v>18</v>
      </c>
      <c r="D3906" s="6" t="s">
        <v>62</v>
      </c>
      <c r="E3906" s="6">
        <v>3</v>
      </c>
      <c r="F3906" s="6">
        <v>0</v>
      </c>
      <c r="G3906" s="6" t="s">
        <v>17</v>
      </c>
      <c r="H3906" s="6" t="s">
        <v>11</v>
      </c>
      <c r="I3906" s="6">
        <f>TabJogos[[#This Row],[PontosTime1]]-TabJogos[[#This Row],[PontosTime2]]</f>
        <v>3</v>
      </c>
    </row>
    <row r="3907" spans="1:9" ht="15" customHeight="1" x14ac:dyDescent="0.25">
      <c r="A3907" s="7">
        <v>3906</v>
      </c>
      <c r="B3907" s="1">
        <v>43657</v>
      </c>
      <c r="C3907" s="6" t="s">
        <v>17</v>
      </c>
      <c r="D3907" s="6" t="s">
        <v>62</v>
      </c>
      <c r="E3907" s="6">
        <v>4</v>
      </c>
      <c r="F3907" s="6">
        <v>2</v>
      </c>
      <c r="G3907" s="6" t="s">
        <v>11</v>
      </c>
      <c r="H3907" s="6" t="s">
        <v>18</v>
      </c>
      <c r="I3907" s="6">
        <f>TabJogos[[#This Row],[PontosTime1]]-TabJogos[[#This Row],[PontosTime2]]</f>
        <v>2</v>
      </c>
    </row>
    <row r="3908" spans="1:9" ht="15" customHeight="1" x14ac:dyDescent="0.25">
      <c r="A3908" s="7">
        <v>3907</v>
      </c>
      <c r="B3908" s="1">
        <v>43657</v>
      </c>
      <c r="C3908" s="6" t="s">
        <v>11</v>
      </c>
      <c r="D3908" s="6" t="s">
        <v>62</v>
      </c>
      <c r="E3908" s="6">
        <v>3</v>
      </c>
      <c r="F3908" s="6">
        <v>2</v>
      </c>
      <c r="G3908" s="6" t="s">
        <v>17</v>
      </c>
      <c r="H3908" s="6" t="s">
        <v>18</v>
      </c>
      <c r="I3908" s="6">
        <f>TabJogos[[#This Row],[PontosTime1]]-TabJogos[[#This Row],[PontosTime2]]</f>
        <v>1</v>
      </c>
    </row>
    <row r="3909" spans="1:9" ht="15" customHeight="1" x14ac:dyDescent="0.25">
      <c r="A3909" s="7">
        <v>3908</v>
      </c>
      <c r="B3909" s="1">
        <v>43657</v>
      </c>
      <c r="C3909" s="6" t="s">
        <v>11</v>
      </c>
      <c r="D3909" s="6" t="s">
        <v>17</v>
      </c>
      <c r="E3909" s="6">
        <v>3</v>
      </c>
      <c r="F3909" s="6">
        <v>0</v>
      </c>
      <c r="G3909" s="6" t="s">
        <v>18</v>
      </c>
      <c r="H3909" s="6" t="s">
        <v>62</v>
      </c>
      <c r="I3909" s="6">
        <f>TabJogos[[#This Row],[PontosTime1]]-TabJogos[[#This Row],[PontosTime2]]</f>
        <v>3</v>
      </c>
    </row>
    <row r="3910" spans="1:9" ht="15" customHeight="1" x14ac:dyDescent="0.25">
      <c r="A3910" s="7">
        <v>3909</v>
      </c>
      <c r="B3910" s="1">
        <v>43657</v>
      </c>
      <c r="C3910" s="6" t="s">
        <v>11</v>
      </c>
      <c r="D3910" s="6" t="s">
        <v>18</v>
      </c>
      <c r="E3910" s="6">
        <v>3</v>
      </c>
      <c r="F3910" s="6">
        <v>2</v>
      </c>
      <c r="G3910" s="6" t="s">
        <v>17</v>
      </c>
      <c r="H3910" s="6" t="s">
        <v>62</v>
      </c>
      <c r="I3910" s="6">
        <f>TabJogos[[#This Row],[PontosTime1]]-TabJogos[[#This Row],[PontosTime2]]</f>
        <v>1</v>
      </c>
    </row>
    <row r="3911" spans="1:9" ht="15" customHeight="1" x14ac:dyDescent="0.25">
      <c r="A3911" s="7">
        <v>3910</v>
      </c>
      <c r="B3911" s="1">
        <v>43657</v>
      </c>
      <c r="C3911" s="6" t="s">
        <v>11</v>
      </c>
      <c r="D3911" s="6" t="s">
        <v>62</v>
      </c>
      <c r="E3911" s="6">
        <v>3</v>
      </c>
      <c r="F3911" s="6">
        <v>0</v>
      </c>
      <c r="G3911" s="6" t="s">
        <v>17</v>
      </c>
      <c r="H3911" s="6" t="s">
        <v>18</v>
      </c>
      <c r="I3911" s="6">
        <f>TabJogos[[#This Row],[PontosTime1]]-TabJogos[[#This Row],[PontosTime2]]</f>
        <v>3</v>
      </c>
    </row>
    <row r="3912" spans="1:9" ht="15" customHeight="1" x14ac:dyDescent="0.25">
      <c r="A3912" s="7">
        <v>3911</v>
      </c>
      <c r="B3912" s="1">
        <v>43658</v>
      </c>
      <c r="C3912" s="6" t="s">
        <v>11</v>
      </c>
      <c r="D3912" s="6" t="s">
        <v>9</v>
      </c>
      <c r="E3912" s="6">
        <v>3</v>
      </c>
      <c r="F3912" s="6">
        <v>2</v>
      </c>
      <c r="G3912" s="6" t="s">
        <v>17</v>
      </c>
      <c r="H3912" s="6" t="s">
        <v>18</v>
      </c>
      <c r="I3912" s="6">
        <f>TabJogos[[#This Row],[PontosTime1]]-TabJogos[[#This Row],[PontosTime2]]</f>
        <v>1</v>
      </c>
    </row>
    <row r="3913" spans="1:9" ht="15" customHeight="1" x14ac:dyDescent="0.25">
      <c r="A3913" s="7">
        <v>3912</v>
      </c>
      <c r="B3913" s="1">
        <v>43658</v>
      </c>
      <c r="C3913" s="6" t="s">
        <v>11</v>
      </c>
      <c r="D3913" s="6" t="s">
        <v>17</v>
      </c>
      <c r="E3913" s="6">
        <v>3</v>
      </c>
      <c r="F3913" s="6">
        <v>1</v>
      </c>
      <c r="G3913" s="6" t="s">
        <v>12</v>
      </c>
      <c r="H3913" s="6" t="s">
        <v>9</v>
      </c>
      <c r="I3913" s="6">
        <f>TabJogos[[#This Row],[PontosTime1]]-TabJogos[[#This Row],[PontosTime2]]</f>
        <v>2</v>
      </c>
    </row>
    <row r="3914" spans="1:9" ht="15" customHeight="1" x14ac:dyDescent="0.25">
      <c r="A3914" s="7">
        <v>3913</v>
      </c>
      <c r="B3914" s="1">
        <v>43658</v>
      </c>
      <c r="C3914" s="6" t="s">
        <v>11</v>
      </c>
      <c r="D3914" s="6" t="s">
        <v>18</v>
      </c>
      <c r="E3914" s="6">
        <v>3</v>
      </c>
      <c r="F3914" s="6">
        <v>0</v>
      </c>
      <c r="G3914" s="6" t="s">
        <v>17</v>
      </c>
      <c r="H3914" s="6" t="s">
        <v>9</v>
      </c>
      <c r="I3914" s="6">
        <f>TabJogos[[#This Row],[PontosTime1]]-TabJogos[[#This Row],[PontosTime2]]</f>
        <v>3</v>
      </c>
    </row>
    <row r="3915" spans="1:9" ht="15" customHeight="1" x14ac:dyDescent="0.25">
      <c r="A3915" s="7">
        <v>3914</v>
      </c>
      <c r="B3915" s="1">
        <v>43658</v>
      </c>
      <c r="C3915" s="6" t="s">
        <v>11</v>
      </c>
      <c r="D3915" s="6" t="s">
        <v>17</v>
      </c>
      <c r="E3915" s="6">
        <v>0</v>
      </c>
      <c r="F3915" s="6">
        <v>3</v>
      </c>
      <c r="G3915" s="6" t="s">
        <v>9</v>
      </c>
      <c r="H3915" s="6" t="s">
        <v>18</v>
      </c>
      <c r="I3915" s="6">
        <f>TabJogos[[#This Row],[PontosTime1]]-TabJogos[[#This Row],[PontosTime2]]</f>
        <v>-3</v>
      </c>
    </row>
    <row r="3916" spans="1:9" ht="15" customHeight="1" x14ac:dyDescent="0.25">
      <c r="A3916" s="7">
        <v>3915</v>
      </c>
      <c r="B3916" s="1">
        <v>43658</v>
      </c>
      <c r="C3916" s="6" t="s">
        <v>17</v>
      </c>
      <c r="D3916" s="6" t="s">
        <v>18</v>
      </c>
      <c r="E3916" s="6">
        <v>2</v>
      </c>
      <c r="F3916" s="6">
        <v>3</v>
      </c>
      <c r="G3916" s="6" t="s">
        <v>11</v>
      </c>
      <c r="H3916" s="6" t="s">
        <v>9</v>
      </c>
      <c r="I3916" s="6">
        <f>TabJogos[[#This Row],[PontosTime1]]-TabJogos[[#This Row],[PontosTime2]]</f>
        <v>-1</v>
      </c>
    </row>
    <row r="3917" spans="1:9" ht="15" customHeight="1" x14ac:dyDescent="0.25">
      <c r="A3917" s="7">
        <v>3916</v>
      </c>
      <c r="B3917" s="1">
        <v>43658</v>
      </c>
      <c r="C3917" s="6" t="s">
        <v>11</v>
      </c>
      <c r="D3917" s="6" t="s">
        <v>18</v>
      </c>
      <c r="E3917" s="6">
        <v>0</v>
      </c>
      <c r="F3917" s="6">
        <v>4</v>
      </c>
      <c r="G3917" s="6" t="s">
        <v>17</v>
      </c>
      <c r="H3917" s="6" t="s">
        <v>9</v>
      </c>
      <c r="I3917" s="6">
        <f>TabJogos[[#This Row],[PontosTime1]]-TabJogos[[#This Row],[PontosTime2]]</f>
        <v>-4</v>
      </c>
    </row>
    <row r="3918" spans="1:9" ht="15" customHeight="1" x14ac:dyDescent="0.25">
      <c r="A3918" s="7">
        <v>3917</v>
      </c>
      <c r="B3918" s="1">
        <v>43658</v>
      </c>
      <c r="C3918" s="6" t="s">
        <v>18</v>
      </c>
      <c r="D3918" s="6" t="s">
        <v>9</v>
      </c>
      <c r="E3918" s="6">
        <v>1</v>
      </c>
      <c r="F3918" s="6">
        <v>3</v>
      </c>
      <c r="G3918" s="6" t="s">
        <v>11</v>
      </c>
      <c r="H3918" s="6" t="s">
        <v>17</v>
      </c>
      <c r="I3918" s="6">
        <f>TabJogos[[#This Row],[PontosTime1]]-TabJogos[[#This Row],[PontosTime2]]</f>
        <v>-2</v>
      </c>
    </row>
    <row r="3919" spans="1:9" ht="15" customHeight="1" x14ac:dyDescent="0.25">
      <c r="A3919" s="7">
        <v>3918</v>
      </c>
      <c r="B3919" s="1">
        <v>43658</v>
      </c>
      <c r="C3919" s="6" t="s">
        <v>17</v>
      </c>
      <c r="D3919" s="6" t="s">
        <v>18</v>
      </c>
      <c r="E3919" s="6">
        <v>4</v>
      </c>
      <c r="F3919" s="6">
        <v>1</v>
      </c>
      <c r="G3919" s="6" t="s">
        <v>11</v>
      </c>
      <c r="H3919" s="6" t="s">
        <v>9</v>
      </c>
      <c r="I3919" s="6">
        <f>TabJogos[[#This Row],[PontosTime1]]-TabJogos[[#This Row],[PontosTime2]]</f>
        <v>3</v>
      </c>
    </row>
    <row r="3920" spans="1:9" ht="15" customHeight="1" x14ac:dyDescent="0.25">
      <c r="A3920" s="7">
        <v>3919</v>
      </c>
      <c r="B3920" s="1">
        <v>43658</v>
      </c>
      <c r="C3920" s="6" t="s">
        <v>11</v>
      </c>
      <c r="D3920" s="6" t="s">
        <v>18</v>
      </c>
      <c r="E3920" s="6">
        <v>3</v>
      </c>
      <c r="F3920" s="6">
        <v>1</v>
      </c>
      <c r="G3920" s="6" t="s">
        <v>17</v>
      </c>
      <c r="H3920" s="6" t="s">
        <v>9</v>
      </c>
      <c r="I3920" s="6">
        <f>TabJogos[[#This Row],[PontosTime1]]-TabJogos[[#This Row],[PontosTime2]]</f>
        <v>2</v>
      </c>
    </row>
    <row r="3921" spans="1:9" ht="15" customHeight="1" x14ac:dyDescent="0.25">
      <c r="A3921" s="7">
        <v>3920</v>
      </c>
      <c r="B3921" s="1">
        <v>43658</v>
      </c>
      <c r="C3921" s="6" t="s">
        <v>11</v>
      </c>
      <c r="D3921" s="6" t="s">
        <v>17</v>
      </c>
      <c r="E3921" s="6">
        <v>3</v>
      </c>
      <c r="F3921" s="6">
        <v>0</v>
      </c>
      <c r="G3921" s="6" t="s">
        <v>18</v>
      </c>
      <c r="H3921" s="6" t="s">
        <v>9</v>
      </c>
      <c r="I3921" s="6">
        <f>TabJogos[[#This Row],[PontosTime1]]-TabJogos[[#This Row],[PontosTime2]]</f>
        <v>3</v>
      </c>
    </row>
    <row r="3922" spans="1:9" ht="15" customHeight="1" x14ac:dyDescent="0.25">
      <c r="A3922" s="7">
        <v>3921</v>
      </c>
      <c r="B3922" s="1">
        <v>43658</v>
      </c>
      <c r="C3922" s="6" t="s">
        <v>11</v>
      </c>
      <c r="D3922" s="6" t="s">
        <v>9</v>
      </c>
      <c r="E3922" s="6">
        <v>3</v>
      </c>
      <c r="F3922" s="6">
        <v>1</v>
      </c>
      <c r="G3922" s="6" t="s">
        <v>17</v>
      </c>
      <c r="H3922" s="6" t="s">
        <v>18</v>
      </c>
      <c r="I3922" s="6">
        <f>TabJogos[[#This Row],[PontosTime1]]-TabJogos[[#This Row],[PontosTime2]]</f>
        <v>2</v>
      </c>
    </row>
    <row r="3923" spans="1:9" ht="15" customHeight="1" x14ac:dyDescent="0.25">
      <c r="A3923" s="7">
        <v>3922</v>
      </c>
      <c r="B3923" s="1">
        <v>43658</v>
      </c>
      <c r="C3923" s="6" t="s">
        <v>9</v>
      </c>
      <c r="D3923" s="6" t="s">
        <v>17</v>
      </c>
      <c r="E3923" s="6">
        <v>3</v>
      </c>
      <c r="F3923" s="6">
        <v>0</v>
      </c>
      <c r="G3923" s="6" t="s">
        <v>11</v>
      </c>
      <c r="H3923" s="6" t="s">
        <v>18</v>
      </c>
      <c r="I3923" s="6">
        <f>TabJogos[[#This Row],[PontosTime1]]-TabJogos[[#This Row],[PontosTime2]]</f>
        <v>3</v>
      </c>
    </row>
    <row r="3924" spans="1:9" ht="15" customHeight="1" x14ac:dyDescent="0.25">
      <c r="A3924" s="7">
        <v>3923</v>
      </c>
      <c r="B3924" s="1">
        <v>43658</v>
      </c>
      <c r="C3924" s="6" t="s">
        <v>11</v>
      </c>
      <c r="D3924" s="6" t="s">
        <v>17</v>
      </c>
      <c r="E3924" s="6">
        <v>4</v>
      </c>
      <c r="F3924" s="6">
        <v>1</v>
      </c>
      <c r="G3924" s="6" t="s">
        <v>9</v>
      </c>
      <c r="H3924" s="6" t="s">
        <v>18</v>
      </c>
      <c r="I3924" s="6">
        <f>TabJogos[[#This Row],[PontosTime1]]-TabJogos[[#This Row],[PontosTime2]]</f>
        <v>3</v>
      </c>
    </row>
    <row r="3925" spans="1:9" ht="15" customHeight="1" x14ac:dyDescent="0.25">
      <c r="A3925" s="7">
        <v>3924</v>
      </c>
      <c r="B3925" s="1">
        <v>43658</v>
      </c>
      <c r="C3925" s="6" t="s">
        <v>11</v>
      </c>
      <c r="D3925" s="6" t="s">
        <v>9</v>
      </c>
      <c r="E3925" s="6">
        <v>2</v>
      </c>
      <c r="F3925" s="6">
        <v>3</v>
      </c>
      <c r="G3925" s="6" t="s">
        <v>17</v>
      </c>
      <c r="H3925" s="6" t="s">
        <v>18</v>
      </c>
      <c r="I3925" s="6">
        <f>TabJogos[[#This Row],[PontosTime1]]-TabJogos[[#This Row],[PontosTime2]]</f>
        <v>-1</v>
      </c>
    </row>
    <row r="3926" spans="1:9" ht="15" customHeight="1" x14ac:dyDescent="0.25">
      <c r="A3926" s="7">
        <v>3925</v>
      </c>
      <c r="B3926" s="1">
        <v>43658</v>
      </c>
      <c r="C3926" s="6" t="s">
        <v>11</v>
      </c>
      <c r="D3926" s="6" t="s">
        <v>18</v>
      </c>
      <c r="E3926" s="6">
        <v>0</v>
      </c>
      <c r="F3926" s="6">
        <v>3</v>
      </c>
      <c r="G3926" s="6" t="s">
        <v>17</v>
      </c>
      <c r="H3926" s="6" t="s">
        <v>9</v>
      </c>
      <c r="I3926" s="6">
        <f>TabJogos[[#This Row],[PontosTime1]]-TabJogos[[#This Row],[PontosTime2]]</f>
        <v>-3</v>
      </c>
    </row>
    <row r="3927" spans="1:9" ht="15" customHeight="1" x14ac:dyDescent="0.25">
      <c r="A3927" s="7">
        <v>3926</v>
      </c>
      <c r="B3927" s="1">
        <v>43658</v>
      </c>
      <c r="C3927" s="6" t="s">
        <v>9</v>
      </c>
      <c r="D3927" s="6" t="s">
        <v>18</v>
      </c>
      <c r="E3927" s="6">
        <v>3</v>
      </c>
      <c r="F3927" s="6">
        <v>2</v>
      </c>
      <c r="G3927" s="6" t="s">
        <v>17</v>
      </c>
      <c r="H3927" s="6" t="s">
        <v>11</v>
      </c>
      <c r="I3927" s="6">
        <f>TabJogos[[#This Row],[PontosTime1]]-TabJogos[[#This Row],[PontosTime2]]</f>
        <v>1</v>
      </c>
    </row>
    <row r="3928" spans="1:9" ht="15" customHeight="1" x14ac:dyDescent="0.25">
      <c r="A3928" s="7">
        <v>3927</v>
      </c>
      <c r="B3928" s="1">
        <v>43658</v>
      </c>
      <c r="C3928" s="6" t="s">
        <v>9</v>
      </c>
      <c r="D3928" s="6" t="s">
        <v>11</v>
      </c>
      <c r="E3928" s="6">
        <v>1</v>
      </c>
      <c r="F3928" s="6">
        <v>3</v>
      </c>
      <c r="G3928" s="6" t="s">
        <v>17</v>
      </c>
      <c r="H3928" s="6" t="s">
        <v>18</v>
      </c>
      <c r="I3928" s="6">
        <f>TabJogos[[#This Row],[PontosTime1]]-TabJogos[[#This Row],[PontosTime2]]</f>
        <v>-2</v>
      </c>
    </row>
    <row r="3929" spans="1:9" ht="15" customHeight="1" x14ac:dyDescent="0.25">
      <c r="A3929" s="7">
        <v>3928</v>
      </c>
      <c r="B3929" s="1">
        <v>43661</v>
      </c>
      <c r="C3929" s="6" t="s">
        <v>11</v>
      </c>
      <c r="D3929" s="6" t="s">
        <v>12</v>
      </c>
      <c r="E3929" s="6">
        <v>3</v>
      </c>
      <c r="F3929" s="6">
        <v>1</v>
      </c>
      <c r="G3929" s="6" t="s">
        <v>18</v>
      </c>
      <c r="H3929" s="6" t="s">
        <v>17</v>
      </c>
      <c r="I3929" s="6">
        <f>TabJogos[[#This Row],[PontosTime1]]-TabJogos[[#This Row],[PontosTime2]]</f>
        <v>2</v>
      </c>
    </row>
    <row r="3930" spans="1:9" ht="15" customHeight="1" x14ac:dyDescent="0.25">
      <c r="A3930" s="7">
        <v>3929</v>
      </c>
      <c r="B3930" s="1">
        <v>43661</v>
      </c>
      <c r="C3930" s="6" t="s">
        <v>11</v>
      </c>
      <c r="D3930" s="6" t="s">
        <v>18</v>
      </c>
      <c r="E3930" s="6">
        <v>0</v>
      </c>
      <c r="F3930" s="6">
        <v>3</v>
      </c>
      <c r="G3930" s="6" t="s">
        <v>12</v>
      </c>
      <c r="H3930" s="6" t="s">
        <v>17</v>
      </c>
      <c r="I3930" s="6">
        <f>TabJogos[[#This Row],[PontosTime1]]-TabJogos[[#This Row],[PontosTime2]]</f>
        <v>-3</v>
      </c>
    </row>
    <row r="3931" spans="1:9" ht="15" customHeight="1" x14ac:dyDescent="0.25">
      <c r="A3931" s="7">
        <v>3930</v>
      </c>
      <c r="B3931" s="1">
        <v>43661</v>
      </c>
      <c r="C3931" s="6" t="s">
        <v>11</v>
      </c>
      <c r="D3931" s="6" t="s">
        <v>17</v>
      </c>
      <c r="E3931" s="6">
        <v>3</v>
      </c>
      <c r="F3931" s="6">
        <v>0</v>
      </c>
      <c r="G3931" s="6" t="s">
        <v>12</v>
      </c>
      <c r="H3931" s="6" t="s">
        <v>18</v>
      </c>
      <c r="I3931" s="6">
        <f>TabJogos[[#This Row],[PontosTime1]]-TabJogos[[#This Row],[PontosTime2]]</f>
        <v>3</v>
      </c>
    </row>
    <row r="3932" spans="1:9" ht="15" customHeight="1" x14ac:dyDescent="0.25">
      <c r="A3932" s="7">
        <v>3931</v>
      </c>
      <c r="B3932" s="1">
        <v>43662</v>
      </c>
      <c r="C3932" s="6" t="s">
        <v>11</v>
      </c>
      <c r="D3932" s="6" t="s">
        <v>17</v>
      </c>
      <c r="E3932" s="6">
        <v>2</v>
      </c>
      <c r="F3932" s="6">
        <v>3</v>
      </c>
      <c r="G3932" s="6" t="s">
        <v>9</v>
      </c>
      <c r="H3932" s="6" t="s">
        <v>18</v>
      </c>
      <c r="I3932" s="6">
        <f>TabJogos[[#This Row],[PontosTime1]]-TabJogos[[#This Row],[PontosTime2]]</f>
        <v>-1</v>
      </c>
    </row>
    <row r="3933" spans="1:9" ht="15" customHeight="1" x14ac:dyDescent="0.25">
      <c r="A3933" s="7">
        <v>3932</v>
      </c>
      <c r="B3933" s="1">
        <v>43662</v>
      </c>
      <c r="C3933" s="6" t="s">
        <v>11</v>
      </c>
      <c r="D3933" s="6" t="s">
        <v>9</v>
      </c>
      <c r="E3933" s="6">
        <v>3</v>
      </c>
      <c r="F3933" s="6">
        <v>1</v>
      </c>
      <c r="G3933" s="6" t="s">
        <v>17</v>
      </c>
      <c r="H3933" s="6" t="s">
        <v>18</v>
      </c>
      <c r="I3933" s="6">
        <f>TabJogos[[#This Row],[PontosTime1]]-TabJogos[[#This Row],[PontosTime2]]</f>
        <v>2</v>
      </c>
    </row>
    <row r="3934" spans="1:9" ht="15" customHeight="1" x14ac:dyDescent="0.25">
      <c r="A3934" s="7">
        <v>3933</v>
      </c>
      <c r="B3934" s="1">
        <v>43662</v>
      </c>
      <c r="C3934" s="6" t="s">
        <v>11</v>
      </c>
      <c r="D3934" s="6" t="s">
        <v>18</v>
      </c>
      <c r="E3934" s="6">
        <v>3</v>
      </c>
      <c r="F3934" s="6">
        <v>0</v>
      </c>
      <c r="G3934" s="6" t="s">
        <v>9</v>
      </c>
      <c r="H3934" s="6" t="s">
        <v>17</v>
      </c>
      <c r="I3934" s="6">
        <f>TabJogos[[#This Row],[PontosTime1]]-TabJogos[[#This Row],[PontosTime2]]</f>
        <v>3</v>
      </c>
    </row>
    <row r="3935" spans="1:9" ht="15" customHeight="1" x14ac:dyDescent="0.25">
      <c r="A3935" s="7">
        <v>3934</v>
      </c>
      <c r="B3935" s="1">
        <v>43662</v>
      </c>
      <c r="C3935" s="6" t="s">
        <v>9</v>
      </c>
      <c r="D3935" s="6" t="s">
        <v>18</v>
      </c>
      <c r="E3935" s="6">
        <v>6</v>
      </c>
      <c r="F3935" s="6">
        <v>1</v>
      </c>
      <c r="G3935" s="6" t="s">
        <v>11</v>
      </c>
      <c r="H3935" s="6" t="s">
        <v>17</v>
      </c>
      <c r="I3935" s="6">
        <f>TabJogos[[#This Row],[PontosTime1]]-TabJogos[[#This Row],[PontosTime2]]</f>
        <v>5</v>
      </c>
    </row>
    <row r="3936" spans="1:9" ht="15" customHeight="1" x14ac:dyDescent="0.25">
      <c r="A3936" s="7">
        <v>3935</v>
      </c>
      <c r="B3936" s="1">
        <v>43662</v>
      </c>
      <c r="C3936" s="6" t="s">
        <v>9</v>
      </c>
      <c r="D3936" s="6" t="s">
        <v>11</v>
      </c>
      <c r="E3936" s="6">
        <v>3</v>
      </c>
      <c r="F3936" s="6">
        <v>1</v>
      </c>
      <c r="G3936" s="6" t="s">
        <v>18</v>
      </c>
      <c r="H3936" s="6" t="s">
        <v>17</v>
      </c>
      <c r="I3936" s="6">
        <f>TabJogos[[#This Row],[PontosTime1]]-TabJogos[[#This Row],[PontosTime2]]</f>
        <v>2</v>
      </c>
    </row>
    <row r="3937" spans="1:9" ht="15" customHeight="1" x14ac:dyDescent="0.25">
      <c r="A3937" s="7">
        <v>3936</v>
      </c>
      <c r="B3937" s="1">
        <v>43662</v>
      </c>
      <c r="C3937" s="6" t="s">
        <v>11</v>
      </c>
      <c r="D3937" s="6" t="s">
        <v>18</v>
      </c>
      <c r="E3937" s="6">
        <v>3</v>
      </c>
      <c r="F3937" s="6">
        <v>1</v>
      </c>
      <c r="G3937" s="6" t="s">
        <v>9</v>
      </c>
      <c r="H3937" s="6" t="s">
        <v>17</v>
      </c>
      <c r="I3937" s="6">
        <f>TabJogos[[#This Row],[PontosTime1]]-TabJogos[[#This Row],[PontosTime2]]</f>
        <v>2</v>
      </c>
    </row>
    <row r="3938" spans="1:9" ht="15" customHeight="1" x14ac:dyDescent="0.25">
      <c r="A3938" s="7">
        <v>3937</v>
      </c>
      <c r="B3938" s="1">
        <v>43662</v>
      </c>
      <c r="C3938" s="6" t="s">
        <v>11</v>
      </c>
      <c r="D3938" s="6" t="s">
        <v>17</v>
      </c>
      <c r="E3938" s="6">
        <v>3</v>
      </c>
      <c r="F3938" s="6">
        <v>0</v>
      </c>
      <c r="G3938" s="6" t="s">
        <v>18</v>
      </c>
      <c r="H3938" s="6" t="s">
        <v>9</v>
      </c>
      <c r="I3938" s="6">
        <f>TabJogos[[#This Row],[PontosTime1]]-TabJogos[[#This Row],[PontosTime2]]</f>
        <v>3</v>
      </c>
    </row>
    <row r="3939" spans="1:9" ht="15" customHeight="1" x14ac:dyDescent="0.25">
      <c r="A3939" s="7">
        <v>3938</v>
      </c>
      <c r="B3939" s="1">
        <v>43662</v>
      </c>
      <c r="C3939" s="6" t="s">
        <v>11</v>
      </c>
      <c r="D3939" s="6" t="s">
        <v>9</v>
      </c>
      <c r="E3939" s="6">
        <v>4</v>
      </c>
      <c r="F3939" s="6">
        <v>0</v>
      </c>
      <c r="G3939" s="6" t="s">
        <v>17</v>
      </c>
      <c r="H3939" s="6" t="s">
        <v>18</v>
      </c>
      <c r="I3939" s="6">
        <f>TabJogos[[#This Row],[PontosTime1]]-TabJogos[[#This Row],[PontosTime2]]</f>
        <v>4</v>
      </c>
    </row>
    <row r="3940" spans="1:9" ht="15" customHeight="1" x14ac:dyDescent="0.25">
      <c r="A3940" s="7">
        <v>3939</v>
      </c>
      <c r="B3940" s="1">
        <v>43662</v>
      </c>
      <c r="C3940" s="6" t="s">
        <v>11</v>
      </c>
      <c r="D3940" s="6" t="s">
        <v>18</v>
      </c>
      <c r="E3940" s="6">
        <v>3</v>
      </c>
      <c r="F3940" s="6">
        <v>0</v>
      </c>
      <c r="G3940" s="6" t="s">
        <v>9</v>
      </c>
      <c r="H3940" s="6" t="s">
        <v>17</v>
      </c>
      <c r="I3940" s="6">
        <f>TabJogos[[#This Row],[PontosTime1]]-TabJogos[[#This Row],[PontosTime2]]</f>
        <v>3</v>
      </c>
    </row>
    <row r="3941" spans="1:9" ht="15" customHeight="1" x14ac:dyDescent="0.25">
      <c r="A3941" s="7">
        <v>3940</v>
      </c>
      <c r="B3941" s="1">
        <v>43662</v>
      </c>
      <c r="C3941" s="6" t="s">
        <v>11</v>
      </c>
      <c r="D3941" s="6" t="s">
        <v>17</v>
      </c>
      <c r="E3941" s="6">
        <v>1</v>
      </c>
      <c r="F3941" s="6">
        <v>3</v>
      </c>
      <c r="G3941" s="6" t="s">
        <v>9</v>
      </c>
      <c r="H3941" s="6" t="s">
        <v>18</v>
      </c>
      <c r="I3941" s="6">
        <f>TabJogos[[#This Row],[PontosTime1]]-TabJogos[[#This Row],[PontosTime2]]</f>
        <v>-2</v>
      </c>
    </row>
    <row r="3942" spans="1:9" ht="15" customHeight="1" x14ac:dyDescent="0.25">
      <c r="A3942" s="7">
        <v>3941</v>
      </c>
      <c r="B3942" s="1">
        <v>43662</v>
      </c>
      <c r="C3942" s="6" t="s">
        <v>11</v>
      </c>
      <c r="D3942" s="6" t="s">
        <v>9</v>
      </c>
      <c r="E3942" s="6">
        <v>0</v>
      </c>
      <c r="F3942" s="6">
        <v>4</v>
      </c>
      <c r="G3942" s="6" t="s">
        <v>17</v>
      </c>
      <c r="H3942" s="6" t="s">
        <v>18</v>
      </c>
      <c r="I3942" s="6">
        <f>TabJogos[[#This Row],[PontosTime1]]-TabJogos[[#This Row],[PontosTime2]]</f>
        <v>-4</v>
      </c>
    </row>
    <row r="3943" spans="1:9" ht="15" customHeight="1" x14ac:dyDescent="0.25">
      <c r="A3943" s="7">
        <v>3942</v>
      </c>
      <c r="B3943" s="1">
        <v>43662</v>
      </c>
      <c r="C3943" s="6" t="s">
        <v>11</v>
      </c>
      <c r="D3943" s="6" t="s">
        <v>18</v>
      </c>
      <c r="E3943" s="6">
        <v>3</v>
      </c>
      <c r="F3943" s="6">
        <v>2</v>
      </c>
      <c r="G3943" s="6" t="s">
        <v>9</v>
      </c>
      <c r="H3943" s="6" t="s">
        <v>17</v>
      </c>
      <c r="I3943" s="6">
        <f>TabJogos[[#This Row],[PontosTime1]]-TabJogos[[#This Row],[PontosTime2]]</f>
        <v>1</v>
      </c>
    </row>
    <row r="3944" spans="1:9" ht="15" customHeight="1" x14ac:dyDescent="0.25">
      <c r="A3944" s="7">
        <v>3943</v>
      </c>
      <c r="B3944" s="1">
        <v>43662</v>
      </c>
      <c r="C3944" s="6" t="s">
        <v>11</v>
      </c>
      <c r="D3944" s="6" t="s">
        <v>17</v>
      </c>
      <c r="E3944" s="6">
        <v>3</v>
      </c>
      <c r="F3944" s="6">
        <v>2</v>
      </c>
      <c r="G3944" s="6" t="s">
        <v>9</v>
      </c>
      <c r="H3944" s="6" t="s">
        <v>18</v>
      </c>
      <c r="I3944" s="6">
        <f>TabJogos[[#This Row],[PontosTime1]]-TabJogos[[#This Row],[PontosTime2]]</f>
        <v>1</v>
      </c>
    </row>
    <row r="3945" spans="1:9" ht="15" customHeight="1" x14ac:dyDescent="0.25">
      <c r="A3945" s="7">
        <v>3944</v>
      </c>
      <c r="B3945" s="1">
        <v>43662</v>
      </c>
      <c r="C3945" s="6" t="s">
        <v>11</v>
      </c>
      <c r="D3945" s="6" t="s">
        <v>9</v>
      </c>
      <c r="E3945" s="6">
        <v>2</v>
      </c>
      <c r="F3945" s="6">
        <v>3</v>
      </c>
      <c r="G3945" s="6" t="s">
        <v>17</v>
      </c>
      <c r="H3945" s="6" t="s">
        <v>18</v>
      </c>
      <c r="I3945" s="6">
        <f>TabJogos[[#This Row],[PontosTime1]]-TabJogos[[#This Row],[PontosTime2]]</f>
        <v>-1</v>
      </c>
    </row>
    <row r="3946" spans="1:9" ht="15" customHeight="1" x14ac:dyDescent="0.25">
      <c r="A3946" s="7">
        <v>3945</v>
      </c>
      <c r="B3946" s="1">
        <v>43662</v>
      </c>
      <c r="C3946" s="6" t="s">
        <v>9</v>
      </c>
      <c r="D3946" s="6" t="s">
        <v>17</v>
      </c>
      <c r="E3946" s="6">
        <v>0</v>
      </c>
      <c r="F3946" s="6">
        <v>3</v>
      </c>
      <c r="G3946" s="6" t="s">
        <v>11</v>
      </c>
      <c r="H3946" s="6" t="s">
        <v>18</v>
      </c>
      <c r="I3946" s="6">
        <f>TabJogos[[#This Row],[PontosTime1]]-TabJogos[[#This Row],[PontosTime2]]</f>
        <v>-3</v>
      </c>
    </row>
    <row r="3947" spans="1:9" ht="15" customHeight="1" x14ac:dyDescent="0.25">
      <c r="A3947" s="7">
        <v>3946</v>
      </c>
      <c r="B3947" s="1">
        <v>43663</v>
      </c>
      <c r="C3947" s="6" t="s">
        <v>11</v>
      </c>
      <c r="D3947" s="6" t="s">
        <v>9</v>
      </c>
      <c r="E3947" s="6">
        <v>1</v>
      </c>
      <c r="F3947" s="6">
        <v>3</v>
      </c>
      <c r="G3947" s="6" t="s">
        <v>18</v>
      </c>
      <c r="H3947" s="6" t="s">
        <v>12</v>
      </c>
      <c r="I3947" s="6">
        <f>TabJogos[[#This Row],[PontosTime1]]-TabJogos[[#This Row],[PontosTime2]]</f>
        <v>-2</v>
      </c>
    </row>
    <row r="3948" spans="1:9" ht="15" customHeight="1" x14ac:dyDescent="0.25">
      <c r="A3948" s="7">
        <v>3947</v>
      </c>
      <c r="B3948" s="1">
        <v>43663</v>
      </c>
      <c r="C3948" s="6" t="s">
        <v>9</v>
      </c>
      <c r="D3948" s="6" t="s">
        <v>18</v>
      </c>
      <c r="E3948" s="6">
        <v>1</v>
      </c>
      <c r="F3948" s="6">
        <v>3</v>
      </c>
      <c r="G3948" s="6" t="s">
        <v>12</v>
      </c>
      <c r="H3948" s="6" t="s">
        <v>11</v>
      </c>
      <c r="I3948" s="6">
        <f>TabJogos[[#This Row],[PontosTime1]]-TabJogos[[#This Row],[PontosTime2]]</f>
        <v>-2</v>
      </c>
    </row>
    <row r="3949" spans="1:9" ht="15" customHeight="1" x14ac:dyDescent="0.25">
      <c r="A3949" s="7">
        <v>3948</v>
      </c>
      <c r="B3949" s="1">
        <v>43663</v>
      </c>
      <c r="C3949" s="6" t="s">
        <v>11</v>
      </c>
      <c r="D3949" s="6" t="s">
        <v>18</v>
      </c>
      <c r="E3949" s="6">
        <v>3</v>
      </c>
      <c r="F3949" s="6">
        <v>1</v>
      </c>
      <c r="G3949" s="6" t="s">
        <v>9</v>
      </c>
      <c r="H3949" s="6" t="s">
        <v>18</v>
      </c>
      <c r="I3949" s="6">
        <f>TabJogos[[#This Row],[PontosTime1]]-TabJogos[[#This Row],[PontosTime2]]</f>
        <v>2</v>
      </c>
    </row>
    <row r="3950" spans="1:9" ht="15" customHeight="1" x14ac:dyDescent="0.25">
      <c r="A3950" s="7">
        <v>3949</v>
      </c>
      <c r="B3950" s="1">
        <v>43663</v>
      </c>
      <c r="C3950" s="6" t="s">
        <v>11</v>
      </c>
      <c r="D3950" s="6" t="s">
        <v>9</v>
      </c>
      <c r="E3950" s="6">
        <v>3</v>
      </c>
      <c r="F3950" s="6">
        <v>2</v>
      </c>
      <c r="G3950" s="6" t="s">
        <v>18</v>
      </c>
      <c r="H3950" s="6" t="s">
        <v>12</v>
      </c>
      <c r="I3950" s="6">
        <f>TabJogos[[#This Row],[PontosTime1]]-TabJogos[[#This Row],[PontosTime2]]</f>
        <v>1</v>
      </c>
    </row>
    <row r="3951" spans="1:9" ht="15" customHeight="1" x14ac:dyDescent="0.25">
      <c r="A3951" s="7">
        <v>3950</v>
      </c>
      <c r="B3951" s="1">
        <v>43663</v>
      </c>
      <c r="C3951" s="6" t="s">
        <v>11</v>
      </c>
      <c r="D3951" s="6" t="s">
        <v>12</v>
      </c>
      <c r="E3951" s="6">
        <v>3</v>
      </c>
      <c r="F3951" s="6">
        <v>2</v>
      </c>
      <c r="G3951" s="6" t="s">
        <v>18</v>
      </c>
      <c r="H3951" s="6" t="s">
        <v>9</v>
      </c>
      <c r="I3951" s="6">
        <f>TabJogos[[#This Row],[PontosTime1]]-TabJogos[[#This Row],[PontosTime2]]</f>
        <v>1</v>
      </c>
    </row>
    <row r="3952" spans="1:9" ht="15" customHeight="1" x14ac:dyDescent="0.25">
      <c r="A3952" s="7">
        <v>3951</v>
      </c>
      <c r="B3952" s="1">
        <v>43663</v>
      </c>
      <c r="C3952" s="6" t="s">
        <v>11</v>
      </c>
      <c r="D3952" s="6" t="s">
        <v>18</v>
      </c>
      <c r="E3952" s="6">
        <v>5</v>
      </c>
      <c r="F3952" s="6">
        <v>1</v>
      </c>
      <c r="G3952" s="6" t="s">
        <v>9</v>
      </c>
      <c r="H3952" s="6" t="s">
        <v>12</v>
      </c>
      <c r="I3952" s="6">
        <f>TabJogos[[#This Row],[PontosTime1]]-TabJogos[[#This Row],[PontosTime2]]</f>
        <v>4</v>
      </c>
    </row>
    <row r="3953" spans="1:9" ht="15" customHeight="1" x14ac:dyDescent="0.25">
      <c r="A3953" s="7">
        <v>3952</v>
      </c>
      <c r="B3953" s="1">
        <v>43665</v>
      </c>
      <c r="C3953" s="6" t="s">
        <v>18</v>
      </c>
      <c r="D3953" s="6" t="s">
        <v>11</v>
      </c>
      <c r="E3953" s="6">
        <v>0</v>
      </c>
      <c r="F3953" s="6">
        <v>3</v>
      </c>
      <c r="G3953" s="6" t="s">
        <v>17</v>
      </c>
      <c r="H3953" s="6" t="s">
        <v>9</v>
      </c>
      <c r="I3953" s="6">
        <f>TabJogos[[#This Row],[PontosTime1]]-TabJogos[[#This Row],[PontosTime2]]</f>
        <v>-3</v>
      </c>
    </row>
    <row r="3954" spans="1:9" ht="15" customHeight="1" x14ac:dyDescent="0.25">
      <c r="A3954" s="7">
        <v>3953</v>
      </c>
      <c r="B3954" s="1">
        <v>43665</v>
      </c>
      <c r="C3954" s="6" t="s">
        <v>17</v>
      </c>
      <c r="D3954" s="6" t="s">
        <v>18</v>
      </c>
      <c r="E3954" s="6">
        <v>3</v>
      </c>
      <c r="F3954" s="6">
        <v>0</v>
      </c>
      <c r="G3954" s="6" t="s">
        <v>11</v>
      </c>
      <c r="H3954" s="6" t="s">
        <v>9</v>
      </c>
      <c r="I3954" s="6">
        <f>TabJogos[[#This Row],[PontosTime1]]-TabJogos[[#This Row],[PontosTime2]]</f>
        <v>3</v>
      </c>
    </row>
    <row r="3955" spans="1:9" ht="15" customHeight="1" x14ac:dyDescent="0.25">
      <c r="A3955" s="7">
        <v>3954</v>
      </c>
      <c r="B3955" s="1">
        <v>43665</v>
      </c>
      <c r="C3955" s="6" t="s">
        <v>11</v>
      </c>
      <c r="D3955" s="6" t="s">
        <v>17</v>
      </c>
      <c r="E3955" s="6">
        <v>2</v>
      </c>
      <c r="F3955" s="6">
        <v>4</v>
      </c>
      <c r="G3955" s="6" t="s">
        <v>18</v>
      </c>
      <c r="H3955" s="6" t="s">
        <v>9</v>
      </c>
      <c r="I3955" s="6">
        <f>TabJogos[[#This Row],[PontosTime1]]-TabJogos[[#This Row],[PontosTime2]]</f>
        <v>-2</v>
      </c>
    </row>
    <row r="3956" spans="1:9" ht="15" customHeight="1" x14ac:dyDescent="0.25">
      <c r="A3956" s="7">
        <v>3955</v>
      </c>
      <c r="B3956" s="1">
        <v>43665</v>
      </c>
      <c r="C3956" s="6" t="s">
        <v>11</v>
      </c>
      <c r="D3956" s="6" t="s">
        <v>18</v>
      </c>
      <c r="E3956" s="6">
        <v>0</v>
      </c>
      <c r="F3956" s="6">
        <v>3</v>
      </c>
      <c r="G3956" s="6" t="s">
        <v>9</v>
      </c>
      <c r="H3956" s="6" t="s">
        <v>17</v>
      </c>
      <c r="I3956" s="6">
        <f>TabJogos[[#This Row],[PontosTime1]]-TabJogos[[#This Row],[PontosTime2]]</f>
        <v>-3</v>
      </c>
    </row>
    <row r="3957" spans="1:9" ht="15" customHeight="1" x14ac:dyDescent="0.25">
      <c r="A3957" s="7">
        <v>3956</v>
      </c>
      <c r="B3957" s="1">
        <v>43665</v>
      </c>
      <c r="C3957" s="6" t="s">
        <v>11</v>
      </c>
      <c r="D3957" s="6" t="s">
        <v>9</v>
      </c>
      <c r="E3957" s="6">
        <v>2</v>
      </c>
      <c r="F3957" s="6">
        <v>3</v>
      </c>
      <c r="G3957" s="6" t="s">
        <v>18</v>
      </c>
      <c r="H3957" s="6" t="s">
        <v>17</v>
      </c>
      <c r="I3957" s="6">
        <f>TabJogos[[#This Row],[PontosTime1]]-TabJogos[[#This Row],[PontosTime2]]</f>
        <v>-1</v>
      </c>
    </row>
    <row r="3958" spans="1:9" ht="15" customHeight="1" x14ac:dyDescent="0.25">
      <c r="A3958" s="7">
        <v>3957</v>
      </c>
      <c r="B3958" s="1">
        <v>43668</v>
      </c>
      <c r="C3958" s="6" t="s">
        <v>11</v>
      </c>
      <c r="D3958" s="6" t="s">
        <v>15</v>
      </c>
      <c r="E3958" s="6">
        <v>1</v>
      </c>
      <c r="F3958" s="6">
        <v>3</v>
      </c>
      <c r="G3958" s="6" t="s">
        <v>9</v>
      </c>
      <c r="H3958" s="6" t="s">
        <v>32</v>
      </c>
      <c r="I3958" s="6">
        <f>TabJogos[[#This Row],[PontosTime1]]-TabJogos[[#This Row],[PontosTime2]]</f>
        <v>-2</v>
      </c>
    </row>
    <row r="3959" spans="1:9" ht="15" customHeight="1" x14ac:dyDescent="0.25">
      <c r="A3959" s="7">
        <v>3958</v>
      </c>
      <c r="B3959" s="1">
        <v>43668</v>
      </c>
      <c r="C3959" s="6" t="s">
        <v>11</v>
      </c>
      <c r="D3959" s="6" t="s">
        <v>9</v>
      </c>
      <c r="E3959" s="6">
        <v>3</v>
      </c>
      <c r="F3959" s="6">
        <v>1</v>
      </c>
      <c r="G3959" s="6" t="s">
        <v>32</v>
      </c>
      <c r="H3959" s="6" t="s">
        <v>15</v>
      </c>
      <c r="I3959" s="6">
        <f>TabJogos[[#This Row],[PontosTime1]]-TabJogos[[#This Row],[PontosTime2]]</f>
        <v>2</v>
      </c>
    </row>
    <row r="3960" spans="1:9" ht="15" customHeight="1" x14ac:dyDescent="0.25">
      <c r="A3960" s="7">
        <v>3959</v>
      </c>
      <c r="B3960" s="1">
        <v>43668</v>
      </c>
      <c r="C3960" s="6" t="s">
        <v>15</v>
      </c>
      <c r="D3960" s="6" t="s">
        <v>9</v>
      </c>
      <c r="E3960" s="6">
        <v>3</v>
      </c>
      <c r="F3960" s="6">
        <v>0</v>
      </c>
      <c r="G3960" s="6" t="s">
        <v>32</v>
      </c>
      <c r="H3960" s="6" t="s">
        <v>11</v>
      </c>
      <c r="I3960" s="6">
        <f>TabJogos[[#This Row],[PontosTime1]]-TabJogos[[#This Row],[PontosTime2]]</f>
        <v>3</v>
      </c>
    </row>
    <row r="3961" spans="1:9" ht="15" customHeight="1" x14ac:dyDescent="0.25">
      <c r="A3961" s="7">
        <v>3960</v>
      </c>
      <c r="B3961" s="1">
        <v>43668</v>
      </c>
      <c r="C3961" s="6" t="s">
        <v>15</v>
      </c>
      <c r="D3961" s="6" t="s">
        <v>11</v>
      </c>
      <c r="E3961" s="6">
        <v>3</v>
      </c>
      <c r="F3961" s="6">
        <v>0</v>
      </c>
      <c r="G3961" s="6" t="s">
        <v>9</v>
      </c>
      <c r="H3961" s="6" t="s">
        <v>18</v>
      </c>
      <c r="I3961" s="6">
        <f>TabJogos[[#This Row],[PontosTime1]]-TabJogos[[#This Row],[PontosTime2]]</f>
        <v>3</v>
      </c>
    </row>
    <row r="3962" spans="1:9" ht="15" customHeight="1" x14ac:dyDescent="0.25">
      <c r="A3962" s="7">
        <v>3961</v>
      </c>
      <c r="B3962" s="1">
        <v>43668</v>
      </c>
      <c r="C3962" s="6" t="s">
        <v>11</v>
      </c>
      <c r="D3962" s="6" t="s">
        <v>9</v>
      </c>
      <c r="E3962" s="6">
        <v>0</v>
      </c>
      <c r="F3962" s="6">
        <v>3</v>
      </c>
      <c r="G3962" s="6" t="s">
        <v>15</v>
      </c>
      <c r="H3962" s="6" t="s">
        <v>18</v>
      </c>
      <c r="I3962" s="6">
        <f>TabJogos[[#This Row],[PontosTime1]]-TabJogos[[#This Row],[PontosTime2]]</f>
        <v>-3</v>
      </c>
    </row>
    <row r="3963" spans="1:9" ht="15" customHeight="1" x14ac:dyDescent="0.25">
      <c r="A3963" s="7">
        <v>3962</v>
      </c>
      <c r="B3963" s="1">
        <v>43668</v>
      </c>
      <c r="C3963" s="6" t="s">
        <v>11</v>
      </c>
      <c r="D3963" s="6" t="s">
        <v>18</v>
      </c>
      <c r="E3963" s="6">
        <v>3</v>
      </c>
      <c r="F3963" s="6">
        <v>0</v>
      </c>
      <c r="G3963" s="6" t="s">
        <v>32</v>
      </c>
      <c r="H3963" s="6" t="s">
        <v>15</v>
      </c>
      <c r="I3963" s="6">
        <f>TabJogos[[#This Row],[PontosTime1]]-TabJogos[[#This Row],[PontosTime2]]</f>
        <v>3</v>
      </c>
    </row>
    <row r="3964" spans="1:9" ht="15" customHeight="1" x14ac:dyDescent="0.25">
      <c r="A3964" s="7">
        <v>3963</v>
      </c>
      <c r="B3964" s="1">
        <v>43668</v>
      </c>
      <c r="C3964" s="6" t="s">
        <v>11</v>
      </c>
      <c r="D3964" s="6" t="s">
        <v>32</v>
      </c>
      <c r="E3964" s="6">
        <v>3</v>
      </c>
      <c r="F3964" s="6">
        <v>1</v>
      </c>
      <c r="G3964" s="6" t="s">
        <v>9</v>
      </c>
      <c r="H3964" s="6" t="s">
        <v>18</v>
      </c>
      <c r="I3964" s="6">
        <f>TabJogos[[#This Row],[PontosTime1]]-TabJogos[[#This Row],[PontosTime2]]</f>
        <v>2</v>
      </c>
    </row>
    <row r="3965" spans="1:9" ht="15" customHeight="1" x14ac:dyDescent="0.25">
      <c r="A3965" s="7">
        <v>3964</v>
      </c>
      <c r="B3965" s="1">
        <v>43668</v>
      </c>
      <c r="C3965" s="6" t="s">
        <v>18</v>
      </c>
      <c r="D3965" s="6" t="s">
        <v>32</v>
      </c>
      <c r="E3965" s="6">
        <v>3</v>
      </c>
      <c r="F3965" s="6">
        <v>1</v>
      </c>
      <c r="G3965" s="6" t="s">
        <v>11</v>
      </c>
      <c r="H3965" s="6" t="s">
        <v>15</v>
      </c>
      <c r="I3965" s="6">
        <f>TabJogos[[#This Row],[PontosTime1]]-TabJogos[[#This Row],[PontosTime2]]</f>
        <v>2</v>
      </c>
    </row>
    <row r="3966" spans="1:9" ht="15" customHeight="1" x14ac:dyDescent="0.25">
      <c r="A3966" s="7">
        <v>3965</v>
      </c>
      <c r="B3966" s="1">
        <v>43668</v>
      </c>
      <c r="C3966" s="6" t="s">
        <v>15</v>
      </c>
      <c r="D3966" s="6" t="s">
        <v>18</v>
      </c>
      <c r="E3966" s="6">
        <v>3</v>
      </c>
      <c r="F3966" s="6">
        <v>2</v>
      </c>
      <c r="G3966" s="6" t="s">
        <v>32</v>
      </c>
      <c r="H3966" s="6" t="s">
        <v>9</v>
      </c>
      <c r="I3966" s="6">
        <f>TabJogos[[#This Row],[PontosTime1]]-TabJogos[[#This Row],[PontosTime2]]</f>
        <v>1</v>
      </c>
    </row>
    <row r="3967" spans="1:9" ht="15" customHeight="1" x14ac:dyDescent="0.25">
      <c r="A3967" s="7">
        <v>3966</v>
      </c>
      <c r="B3967" s="1">
        <v>43668</v>
      </c>
      <c r="C3967" s="6" t="s">
        <v>9</v>
      </c>
      <c r="D3967" s="6" t="s">
        <v>15</v>
      </c>
      <c r="E3967" s="6">
        <v>0</v>
      </c>
      <c r="F3967" s="6">
        <v>4</v>
      </c>
      <c r="G3967" s="6" t="s">
        <v>18</v>
      </c>
      <c r="H3967" s="6" t="s">
        <v>32</v>
      </c>
      <c r="I3967" s="6">
        <f>TabJogos[[#This Row],[PontosTime1]]-TabJogos[[#This Row],[PontosTime2]]</f>
        <v>-4</v>
      </c>
    </row>
    <row r="3968" spans="1:9" ht="15" customHeight="1" x14ac:dyDescent="0.25">
      <c r="A3968" s="7">
        <v>3967</v>
      </c>
      <c r="B3968" s="1">
        <v>43668</v>
      </c>
      <c r="C3968" s="6" t="s">
        <v>9</v>
      </c>
      <c r="D3968" s="6" t="s">
        <v>18</v>
      </c>
      <c r="E3968" s="6">
        <v>4</v>
      </c>
      <c r="F3968" s="6">
        <v>1</v>
      </c>
      <c r="G3968" s="6" t="s">
        <v>11</v>
      </c>
      <c r="H3968" s="6" t="s">
        <v>32</v>
      </c>
      <c r="I3968" s="6">
        <f>TabJogos[[#This Row],[PontosTime1]]-TabJogos[[#This Row],[PontosTime2]]</f>
        <v>3</v>
      </c>
    </row>
    <row r="3969" spans="1:9" ht="15" customHeight="1" x14ac:dyDescent="0.25">
      <c r="A3969" s="7">
        <v>3968</v>
      </c>
      <c r="B3969" s="1">
        <v>43668</v>
      </c>
      <c r="C3969" s="6" t="s">
        <v>11</v>
      </c>
      <c r="D3969" s="6" t="s">
        <v>18</v>
      </c>
      <c r="E3969" s="6">
        <v>3</v>
      </c>
      <c r="F3969" s="6">
        <v>2</v>
      </c>
      <c r="G3969" s="6" t="s">
        <v>9</v>
      </c>
      <c r="H3969" s="6" t="s">
        <v>15</v>
      </c>
      <c r="I3969" s="6">
        <f>TabJogos[[#This Row],[PontosTime1]]-TabJogos[[#This Row],[PontosTime2]]</f>
        <v>1</v>
      </c>
    </row>
    <row r="3970" spans="1:9" ht="15" customHeight="1" x14ac:dyDescent="0.25">
      <c r="A3970" s="7">
        <v>3969</v>
      </c>
      <c r="B3970" s="1">
        <v>43668</v>
      </c>
      <c r="C3970" s="6" t="s">
        <v>11</v>
      </c>
      <c r="D3970" s="6" t="s">
        <v>9</v>
      </c>
      <c r="E3970" s="6">
        <v>2</v>
      </c>
      <c r="F3970" s="6">
        <v>3</v>
      </c>
      <c r="G3970" s="6" t="s">
        <v>15</v>
      </c>
      <c r="H3970" s="6" t="s">
        <v>18</v>
      </c>
      <c r="I3970" s="6">
        <f>TabJogos[[#This Row],[PontosTime1]]-TabJogos[[#This Row],[PontosTime2]]</f>
        <v>-1</v>
      </c>
    </row>
    <row r="3971" spans="1:9" ht="15" customHeight="1" x14ac:dyDescent="0.25">
      <c r="A3971" s="7">
        <v>3970</v>
      </c>
      <c r="B3971" s="1">
        <v>43668</v>
      </c>
      <c r="C3971" s="6" t="s">
        <v>18</v>
      </c>
      <c r="D3971" s="6" t="s">
        <v>9</v>
      </c>
      <c r="E3971" s="6">
        <v>3</v>
      </c>
      <c r="F3971" s="6">
        <v>0</v>
      </c>
      <c r="G3971" s="6" t="s">
        <v>15</v>
      </c>
      <c r="H3971" s="6" t="s">
        <v>11</v>
      </c>
      <c r="I3971" s="6">
        <f>TabJogos[[#This Row],[PontosTime1]]-TabJogos[[#This Row],[PontosTime2]]</f>
        <v>3</v>
      </c>
    </row>
    <row r="3972" spans="1:9" ht="15" customHeight="1" x14ac:dyDescent="0.25">
      <c r="A3972" s="7">
        <v>3971</v>
      </c>
      <c r="B3972" s="1">
        <v>43668</v>
      </c>
      <c r="C3972" s="6" t="s">
        <v>15</v>
      </c>
      <c r="D3972" s="6" t="s">
        <v>9</v>
      </c>
      <c r="E3972" s="6">
        <v>3</v>
      </c>
      <c r="F3972" s="6">
        <v>0</v>
      </c>
      <c r="G3972" s="6" t="s">
        <v>11</v>
      </c>
      <c r="H3972" s="6" t="s">
        <v>18</v>
      </c>
      <c r="I3972" s="6">
        <f>TabJogos[[#This Row],[PontosTime1]]-TabJogos[[#This Row],[PontosTime2]]</f>
        <v>3</v>
      </c>
    </row>
    <row r="3973" spans="1:9" ht="15" customHeight="1" x14ac:dyDescent="0.25">
      <c r="A3973" s="7">
        <v>3972</v>
      </c>
      <c r="B3973" s="1">
        <v>43669</v>
      </c>
      <c r="C3973" s="6" t="s">
        <v>11</v>
      </c>
      <c r="D3973" s="6" t="s">
        <v>18</v>
      </c>
      <c r="E3973" s="6">
        <v>3</v>
      </c>
      <c r="F3973" s="6">
        <v>1</v>
      </c>
      <c r="G3973" s="6" t="s">
        <v>9</v>
      </c>
      <c r="H3973" s="6" t="s">
        <v>17</v>
      </c>
      <c r="I3973" s="6">
        <f>TabJogos[[#This Row],[PontosTime1]]-TabJogos[[#This Row],[PontosTime2]]</f>
        <v>2</v>
      </c>
    </row>
    <row r="3974" spans="1:9" ht="15" customHeight="1" x14ac:dyDescent="0.25">
      <c r="A3974" s="7">
        <v>3973</v>
      </c>
      <c r="B3974" s="1">
        <v>43669</v>
      </c>
      <c r="C3974" s="6" t="s">
        <v>11</v>
      </c>
      <c r="D3974" s="6" t="s">
        <v>15</v>
      </c>
      <c r="E3974" s="6">
        <v>4</v>
      </c>
      <c r="F3974" s="6">
        <v>1</v>
      </c>
      <c r="G3974" s="6" t="s">
        <v>18</v>
      </c>
      <c r="H3974" s="6" t="s">
        <v>9</v>
      </c>
      <c r="I3974" s="6">
        <f>TabJogos[[#This Row],[PontosTime1]]-TabJogos[[#This Row],[PontosTime2]]</f>
        <v>3</v>
      </c>
    </row>
    <row r="3975" spans="1:9" ht="15" customHeight="1" x14ac:dyDescent="0.25">
      <c r="A3975" s="7">
        <v>3974</v>
      </c>
      <c r="B3975" s="1">
        <v>43669</v>
      </c>
      <c r="C3975" s="6" t="s">
        <v>11</v>
      </c>
      <c r="D3975" s="6" t="s">
        <v>17</v>
      </c>
      <c r="E3975" s="6">
        <v>0</v>
      </c>
      <c r="F3975" s="6">
        <v>6</v>
      </c>
      <c r="G3975" s="6" t="s">
        <v>18</v>
      </c>
      <c r="H3975" s="6" t="s">
        <v>15</v>
      </c>
      <c r="I3975" s="6">
        <f>TabJogos[[#This Row],[PontosTime1]]-TabJogos[[#This Row],[PontosTime2]]</f>
        <v>-6</v>
      </c>
    </row>
    <row r="3976" spans="1:9" ht="15" customHeight="1" x14ac:dyDescent="0.25">
      <c r="A3976" s="7">
        <v>3975</v>
      </c>
      <c r="B3976" s="1">
        <v>43669</v>
      </c>
      <c r="C3976" s="6" t="s">
        <v>9</v>
      </c>
      <c r="D3976" s="6" t="s">
        <v>15</v>
      </c>
      <c r="E3976" s="6">
        <v>1</v>
      </c>
      <c r="F3976" s="6">
        <v>3</v>
      </c>
      <c r="G3976" s="6" t="s">
        <v>18</v>
      </c>
      <c r="H3976" s="6" t="s">
        <v>17</v>
      </c>
      <c r="I3976" s="6">
        <f>TabJogos[[#This Row],[PontosTime1]]-TabJogos[[#This Row],[PontosTime2]]</f>
        <v>-2</v>
      </c>
    </row>
    <row r="3977" spans="1:9" ht="15" customHeight="1" x14ac:dyDescent="0.25">
      <c r="A3977" s="7">
        <v>3976</v>
      </c>
      <c r="B3977" s="1">
        <v>43669</v>
      </c>
      <c r="C3977" s="6" t="s">
        <v>11</v>
      </c>
      <c r="D3977" s="6" t="s">
        <v>18</v>
      </c>
      <c r="E3977" s="6">
        <v>3</v>
      </c>
      <c r="F3977" s="6">
        <v>2</v>
      </c>
      <c r="G3977" s="6" t="s">
        <v>17</v>
      </c>
      <c r="H3977" s="6" t="s">
        <v>32</v>
      </c>
      <c r="I3977" s="6">
        <f>TabJogos[[#This Row],[PontosTime1]]-TabJogos[[#This Row],[PontosTime2]]</f>
        <v>1</v>
      </c>
    </row>
    <row r="3978" spans="1:9" ht="15" customHeight="1" x14ac:dyDescent="0.25">
      <c r="A3978" s="7">
        <v>3977</v>
      </c>
      <c r="B3978" s="1">
        <v>43669</v>
      </c>
      <c r="C3978" s="6" t="s">
        <v>11</v>
      </c>
      <c r="D3978" s="6" t="s">
        <v>9</v>
      </c>
      <c r="E3978" s="6">
        <v>0</v>
      </c>
      <c r="F3978" s="6">
        <v>3</v>
      </c>
      <c r="G3978" s="6" t="s">
        <v>18</v>
      </c>
      <c r="H3978" s="6" t="s">
        <v>15</v>
      </c>
      <c r="I3978" s="6">
        <f>TabJogos[[#This Row],[PontosTime1]]-TabJogos[[#This Row],[PontosTime2]]</f>
        <v>-3</v>
      </c>
    </row>
    <row r="3979" spans="1:9" ht="15" customHeight="1" x14ac:dyDescent="0.25">
      <c r="A3979" s="7">
        <v>3978</v>
      </c>
      <c r="B3979" s="1">
        <v>43669</v>
      </c>
      <c r="C3979" s="6" t="s">
        <v>17</v>
      </c>
      <c r="D3979" s="6" t="s">
        <v>15</v>
      </c>
      <c r="E3979" s="6">
        <v>2</v>
      </c>
      <c r="F3979" s="6">
        <v>5</v>
      </c>
      <c r="G3979" s="6" t="s">
        <v>18</v>
      </c>
      <c r="H3979" s="6" t="s">
        <v>32</v>
      </c>
      <c r="I3979" s="6">
        <f>TabJogos[[#This Row],[PontosTime1]]-TabJogos[[#This Row],[PontosTime2]]</f>
        <v>-3</v>
      </c>
    </row>
    <row r="3980" spans="1:9" ht="15" customHeight="1" x14ac:dyDescent="0.25">
      <c r="A3980" s="7">
        <v>3979</v>
      </c>
      <c r="B3980" s="1">
        <v>43669</v>
      </c>
      <c r="C3980" s="6" t="s">
        <v>11</v>
      </c>
      <c r="D3980" s="6" t="s">
        <v>32</v>
      </c>
      <c r="E3980" s="6">
        <v>3</v>
      </c>
      <c r="F3980" s="6">
        <v>0</v>
      </c>
      <c r="G3980" s="6" t="s">
        <v>18</v>
      </c>
      <c r="H3980" s="6" t="s">
        <v>9</v>
      </c>
      <c r="I3980" s="6">
        <f>TabJogos[[#This Row],[PontosTime1]]-TabJogos[[#This Row],[PontosTime2]]</f>
        <v>3</v>
      </c>
    </row>
    <row r="3981" spans="1:9" ht="15" customHeight="1" x14ac:dyDescent="0.25">
      <c r="A3981" s="7">
        <v>3980</v>
      </c>
      <c r="B3981" s="1">
        <v>43669</v>
      </c>
      <c r="C3981" s="6" t="s">
        <v>15</v>
      </c>
      <c r="D3981" s="6" t="s">
        <v>32</v>
      </c>
      <c r="E3981" s="6">
        <v>2</v>
      </c>
      <c r="F3981" s="6">
        <v>3</v>
      </c>
      <c r="G3981" s="6" t="s">
        <v>11</v>
      </c>
      <c r="H3981" s="6" t="s">
        <v>17</v>
      </c>
      <c r="I3981" s="6">
        <f>TabJogos[[#This Row],[PontosTime1]]-TabJogos[[#This Row],[PontosTime2]]</f>
        <v>-1</v>
      </c>
    </row>
    <row r="3982" spans="1:9" ht="15" customHeight="1" x14ac:dyDescent="0.25">
      <c r="A3982" s="7">
        <v>3981</v>
      </c>
      <c r="B3982" s="1">
        <v>43669</v>
      </c>
      <c r="C3982" s="6" t="s">
        <v>11</v>
      </c>
      <c r="D3982" s="6" t="s">
        <v>18</v>
      </c>
      <c r="E3982" s="6">
        <v>5</v>
      </c>
      <c r="F3982" s="6">
        <v>1</v>
      </c>
      <c r="G3982" s="6" t="s">
        <v>9</v>
      </c>
      <c r="H3982" s="6" t="s">
        <v>17</v>
      </c>
      <c r="I3982" s="6">
        <f>TabJogos[[#This Row],[PontosTime1]]-TabJogos[[#This Row],[PontosTime2]]</f>
        <v>4</v>
      </c>
    </row>
    <row r="3983" spans="1:9" ht="15" customHeight="1" x14ac:dyDescent="0.25">
      <c r="A3983" s="7">
        <v>3982</v>
      </c>
      <c r="B3983" s="1">
        <v>43669</v>
      </c>
      <c r="C3983" s="6" t="s">
        <v>11</v>
      </c>
      <c r="D3983" s="6" t="s">
        <v>15</v>
      </c>
      <c r="E3983" s="6">
        <v>2</v>
      </c>
      <c r="F3983" s="6">
        <v>3</v>
      </c>
      <c r="G3983" s="6" t="s">
        <v>32</v>
      </c>
      <c r="H3983" s="6" t="s">
        <v>18</v>
      </c>
      <c r="I3983" s="6">
        <f>TabJogos[[#This Row],[PontosTime1]]-TabJogos[[#This Row],[PontosTime2]]</f>
        <v>-1</v>
      </c>
    </row>
    <row r="3984" spans="1:9" ht="15" customHeight="1" x14ac:dyDescent="0.25">
      <c r="A3984" s="7">
        <v>3983</v>
      </c>
      <c r="B3984" s="1">
        <v>43669</v>
      </c>
      <c r="C3984" s="6" t="s">
        <v>17</v>
      </c>
      <c r="D3984" s="6" t="s">
        <v>18</v>
      </c>
      <c r="E3984" s="6">
        <v>4</v>
      </c>
      <c r="F3984" s="6">
        <v>1</v>
      </c>
      <c r="G3984" s="6" t="s">
        <v>9</v>
      </c>
      <c r="H3984" s="6" t="s">
        <v>32</v>
      </c>
      <c r="I3984" s="6">
        <f>TabJogos[[#This Row],[PontosTime1]]-TabJogos[[#This Row],[PontosTime2]]</f>
        <v>3</v>
      </c>
    </row>
    <row r="3985" spans="1:9" ht="15" customHeight="1" x14ac:dyDescent="0.25">
      <c r="A3985" s="7">
        <v>3984</v>
      </c>
      <c r="B3985" s="1">
        <v>43669</v>
      </c>
      <c r="C3985" s="6" t="s">
        <v>15</v>
      </c>
      <c r="D3985" s="6" t="s">
        <v>17</v>
      </c>
      <c r="E3985" s="6">
        <v>3</v>
      </c>
      <c r="F3985" s="6">
        <v>2</v>
      </c>
      <c r="G3985" s="6" t="s">
        <v>9</v>
      </c>
      <c r="H3985" s="6" t="s">
        <v>18</v>
      </c>
      <c r="I3985" s="6">
        <f>TabJogos[[#This Row],[PontosTime1]]-TabJogos[[#This Row],[PontosTime2]]</f>
        <v>1</v>
      </c>
    </row>
    <row r="3986" spans="1:9" ht="15" customHeight="1" x14ac:dyDescent="0.25">
      <c r="A3986" s="7">
        <v>3985</v>
      </c>
      <c r="B3986" s="1">
        <v>43669</v>
      </c>
      <c r="C3986" s="6" t="s">
        <v>11</v>
      </c>
      <c r="D3986" s="6" t="s">
        <v>17</v>
      </c>
      <c r="E3986" s="6">
        <v>4</v>
      </c>
      <c r="F3986" s="6">
        <v>0</v>
      </c>
      <c r="G3986" s="6" t="s">
        <v>9</v>
      </c>
      <c r="H3986" s="6" t="s">
        <v>15</v>
      </c>
      <c r="I3986" s="6">
        <f>TabJogos[[#This Row],[PontosTime1]]-TabJogos[[#This Row],[PontosTime2]]</f>
        <v>4</v>
      </c>
    </row>
    <row r="3987" spans="1:9" ht="15" customHeight="1" x14ac:dyDescent="0.25">
      <c r="A3987" s="7">
        <v>3986</v>
      </c>
      <c r="B3987" s="1">
        <v>43669</v>
      </c>
      <c r="C3987" s="6" t="s">
        <v>11</v>
      </c>
      <c r="D3987" s="6" t="s">
        <v>9</v>
      </c>
      <c r="E3987" s="6">
        <v>2</v>
      </c>
      <c r="F3987" s="6">
        <v>3</v>
      </c>
      <c r="G3987" s="6" t="s">
        <v>17</v>
      </c>
      <c r="H3987" s="6" t="s">
        <v>18</v>
      </c>
      <c r="I3987" s="6">
        <f>TabJogos[[#This Row],[PontosTime1]]-TabJogos[[#This Row],[PontosTime2]]</f>
        <v>-1</v>
      </c>
    </row>
    <row r="3988" spans="1:9" ht="15" customHeight="1" x14ac:dyDescent="0.25">
      <c r="A3988" s="7">
        <v>3987</v>
      </c>
      <c r="B3988" s="1">
        <v>43669</v>
      </c>
      <c r="C3988" s="6" t="s">
        <v>11</v>
      </c>
      <c r="D3988" s="6" t="s">
        <v>18</v>
      </c>
      <c r="E3988" s="6">
        <v>4</v>
      </c>
      <c r="F3988" s="6">
        <v>2</v>
      </c>
      <c r="G3988" s="6" t="s">
        <v>9</v>
      </c>
      <c r="H3988" s="6" t="s">
        <v>17</v>
      </c>
      <c r="I3988" s="6">
        <f>TabJogos[[#This Row],[PontosTime1]]-TabJogos[[#This Row],[PontosTime2]]</f>
        <v>2</v>
      </c>
    </row>
    <row r="3989" spans="1:9" ht="15" customHeight="1" x14ac:dyDescent="0.25">
      <c r="A3989" s="7">
        <v>3988</v>
      </c>
      <c r="B3989" s="1">
        <v>43669</v>
      </c>
      <c r="C3989" s="6" t="s">
        <v>11</v>
      </c>
      <c r="D3989" s="6" t="s">
        <v>17</v>
      </c>
      <c r="E3989" s="6">
        <v>4</v>
      </c>
      <c r="F3989" s="6">
        <v>0</v>
      </c>
      <c r="G3989" s="6" t="s">
        <v>9</v>
      </c>
      <c r="H3989" s="6" t="s">
        <v>18</v>
      </c>
      <c r="I3989" s="6">
        <f>TabJogos[[#This Row],[PontosTime1]]-TabJogos[[#This Row],[PontosTime2]]</f>
        <v>4</v>
      </c>
    </row>
    <row r="3990" spans="1:9" ht="15" customHeight="1" x14ac:dyDescent="0.25">
      <c r="A3990" s="7">
        <v>3989</v>
      </c>
      <c r="B3990" s="1">
        <v>43669</v>
      </c>
      <c r="C3990" s="6" t="s">
        <v>11</v>
      </c>
      <c r="D3990" s="6" t="s">
        <v>9</v>
      </c>
      <c r="E3990" s="6">
        <v>3</v>
      </c>
      <c r="F3990" s="6">
        <v>0</v>
      </c>
      <c r="G3990" s="6" t="s">
        <v>17</v>
      </c>
      <c r="H3990" s="6" t="s">
        <v>18</v>
      </c>
      <c r="I3990" s="6">
        <f>TabJogos[[#This Row],[PontosTime1]]-TabJogos[[#This Row],[PontosTime2]]</f>
        <v>3</v>
      </c>
    </row>
    <row r="3991" spans="1:9" ht="15" customHeight="1" x14ac:dyDescent="0.25">
      <c r="A3991" s="7">
        <v>3990</v>
      </c>
      <c r="B3991" s="1">
        <v>43670</v>
      </c>
      <c r="C3991" s="6" t="s">
        <v>17</v>
      </c>
      <c r="D3991" s="6" t="s">
        <v>32</v>
      </c>
      <c r="E3991" s="6">
        <v>4</v>
      </c>
      <c r="F3991" s="6">
        <v>2</v>
      </c>
      <c r="G3991" s="6" t="s">
        <v>9</v>
      </c>
      <c r="H3991" s="6" t="s">
        <v>11</v>
      </c>
      <c r="I3991" s="6">
        <f>TabJogos[[#This Row],[PontosTime1]]-TabJogos[[#This Row],[PontosTime2]]</f>
        <v>2</v>
      </c>
    </row>
    <row r="3992" spans="1:9" ht="15" customHeight="1" x14ac:dyDescent="0.25">
      <c r="A3992" s="7">
        <v>3991</v>
      </c>
      <c r="B3992" s="1">
        <v>43670</v>
      </c>
      <c r="C3992" s="6" t="s">
        <v>17</v>
      </c>
      <c r="D3992" s="6" t="s">
        <v>9</v>
      </c>
      <c r="E3992" s="6">
        <v>0</v>
      </c>
      <c r="F3992" s="6">
        <v>3</v>
      </c>
      <c r="G3992" s="6" t="s">
        <v>11</v>
      </c>
      <c r="H3992" s="6" t="s">
        <v>32</v>
      </c>
      <c r="I3992" s="6">
        <f>TabJogos[[#This Row],[PontosTime1]]-TabJogos[[#This Row],[PontosTime2]]</f>
        <v>-3</v>
      </c>
    </row>
    <row r="3993" spans="1:9" ht="15" customHeight="1" x14ac:dyDescent="0.25">
      <c r="A3993" s="7">
        <v>3992</v>
      </c>
      <c r="B3993" s="1">
        <v>43670</v>
      </c>
      <c r="C3993" s="6" t="s">
        <v>18</v>
      </c>
      <c r="D3993" s="6" t="s">
        <v>32</v>
      </c>
      <c r="E3993" s="6">
        <v>2</v>
      </c>
      <c r="F3993" s="6">
        <v>3</v>
      </c>
      <c r="G3993" s="6" t="s">
        <v>11</v>
      </c>
      <c r="H3993" s="6" t="s">
        <v>17</v>
      </c>
      <c r="I3993" s="6">
        <f>TabJogos[[#This Row],[PontosTime1]]-TabJogos[[#This Row],[PontosTime2]]</f>
        <v>-1</v>
      </c>
    </row>
    <row r="3994" spans="1:9" ht="15" customHeight="1" x14ac:dyDescent="0.25">
      <c r="A3994" s="7">
        <v>3993</v>
      </c>
      <c r="B3994" s="1">
        <v>43670</v>
      </c>
      <c r="C3994" s="6" t="s">
        <v>9</v>
      </c>
      <c r="D3994" s="6" t="s">
        <v>17</v>
      </c>
      <c r="E3994" s="6">
        <v>3</v>
      </c>
      <c r="F3994" s="6">
        <v>2</v>
      </c>
      <c r="G3994" s="6" t="s">
        <v>11</v>
      </c>
      <c r="H3994" s="6" t="s">
        <v>32</v>
      </c>
      <c r="I3994" s="6">
        <f>TabJogos[[#This Row],[PontosTime1]]-TabJogos[[#This Row],[PontosTime2]]</f>
        <v>1</v>
      </c>
    </row>
    <row r="3995" spans="1:9" ht="15" customHeight="1" x14ac:dyDescent="0.25">
      <c r="A3995" s="7">
        <v>3994</v>
      </c>
      <c r="B3995" s="1">
        <v>43670</v>
      </c>
      <c r="C3995" s="6" t="s">
        <v>32</v>
      </c>
      <c r="D3995" s="6" t="s">
        <v>9</v>
      </c>
      <c r="E3995" s="6">
        <v>3</v>
      </c>
      <c r="F3995" s="6">
        <v>0</v>
      </c>
      <c r="G3995" s="6" t="s">
        <v>17</v>
      </c>
      <c r="H3995" s="6" t="s">
        <v>18</v>
      </c>
      <c r="I3995" s="6">
        <f>TabJogos[[#This Row],[PontosTime1]]-TabJogos[[#This Row],[PontosTime2]]</f>
        <v>3</v>
      </c>
    </row>
    <row r="3996" spans="1:9" ht="15" customHeight="1" x14ac:dyDescent="0.25">
      <c r="A3996" s="7">
        <v>3995</v>
      </c>
      <c r="B3996" s="1">
        <v>43670</v>
      </c>
      <c r="C3996" s="6" t="s">
        <v>9</v>
      </c>
      <c r="D3996" s="6" t="s">
        <v>11</v>
      </c>
      <c r="E3996" s="6">
        <v>3</v>
      </c>
      <c r="F3996" s="6">
        <v>0</v>
      </c>
      <c r="G3996" s="6" t="s">
        <v>17</v>
      </c>
      <c r="H3996" s="6" t="s">
        <v>32</v>
      </c>
      <c r="I3996" s="6">
        <f>TabJogos[[#This Row],[PontosTime1]]-TabJogos[[#This Row],[PontosTime2]]</f>
        <v>3</v>
      </c>
    </row>
    <row r="3997" spans="1:9" ht="15" customHeight="1" x14ac:dyDescent="0.25">
      <c r="A3997" s="7">
        <v>3996</v>
      </c>
      <c r="B3997" s="1">
        <v>43670</v>
      </c>
      <c r="C3997" s="6" t="s">
        <v>9</v>
      </c>
      <c r="D3997" s="6" t="s">
        <v>18</v>
      </c>
      <c r="E3997" s="6">
        <v>3</v>
      </c>
      <c r="F3997" s="6">
        <v>1</v>
      </c>
      <c r="G3997" s="6" t="s">
        <v>11</v>
      </c>
      <c r="H3997" s="6" t="s">
        <v>17</v>
      </c>
      <c r="I3997" s="6">
        <f>TabJogos[[#This Row],[PontosTime1]]-TabJogos[[#This Row],[PontosTime2]]</f>
        <v>2</v>
      </c>
    </row>
    <row r="3998" spans="1:9" ht="15" customHeight="1" x14ac:dyDescent="0.25">
      <c r="A3998" s="7">
        <v>3997</v>
      </c>
      <c r="B3998" s="1">
        <v>43670</v>
      </c>
      <c r="C3998" s="6" t="s">
        <v>9</v>
      </c>
      <c r="D3998" s="6" t="s">
        <v>17</v>
      </c>
      <c r="E3998" s="6">
        <v>3</v>
      </c>
      <c r="F3998" s="6">
        <v>1</v>
      </c>
      <c r="G3998" s="6" t="s">
        <v>18</v>
      </c>
      <c r="H3998" s="6" t="s">
        <v>11</v>
      </c>
      <c r="I3998" s="6">
        <f>TabJogos[[#This Row],[PontosTime1]]-TabJogos[[#This Row],[PontosTime2]]</f>
        <v>2</v>
      </c>
    </row>
    <row r="3999" spans="1:9" ht="15" customHeight="1" x14ac:dyDescent="0.25">
      <c r="A3999" s="7">
        <v>3998</v>
      </c>
      <c r="B3999" s="1">
        <v>43670</v>
      </c>
      <c r="C3999" s="6" t="s">
        <v>9</v>
      </c>
      <c r="D3999" s="6" t="s">
        <v>11</v>
      </c>
      <c r="E3999" s="6">
        <v>3</v>
      </c>
      <c r="F3999" s="6">
        <v>0</v>
      </c>
      <c r="G3999" s="6" t="s">
        <v>17</v>
      </c>
      <c r="H3999" s="6" t="s">
        <v>18</v>
      </c>
      <c r="I3999" s="6">
        <f>TabJogos[[#This Row],[PontosTime1]]-TabJogos[[#This Row],[PontosTime2]]</f>
        <v>3</v>
      </c>
    </row>
    <row r="4000" spans="1:9" ht="15" customHeight="1" x14ac:dyDescent="0.25">
      <c r="A4000" s="7">
        <v>3999</v>
      </c>
      <c r="B4000" s="1">
        <v>43670</v>
      </c>
      <c r="C4000" s="6" t="s">
        <v>11</v>
      </c>
      <c r="D4000" s="6" t="s">
        <v>17</v>
      </c>
      <c r="E4000" s="6">
        <v>3</v>
      </c>
      <c r="F4000" s="6">
        <v>2</v>
      </c>
      <c r="G4000" s="6" t="s">
        <v>9</v>
      </c>
      <c r="H4000" s="6" t="s">
        <v>18</v>
      </c>
      <c r="I4000" s="6">
        <f>TabJogos[[#This Row],[PontosTime1]]-TabJogos[[#This Row],[PontosTime2]]</f>
        <v>1</v>
      </c>
    </row>
    <row r="4001" spans="1:9" ht="15" customHeight="1" x14ac:dyDescent="0.25">
      <c r="A4001" s="7">
        <v>4000</v>
      </c>
      <c r="B4001" s="1">
        <v>43670</v>
      </c>
      <c r="C4001" s="6" t="s">
        <v>11</v>
      </c>
      <c r="D4001" s="6" t="s">
        <v>18</v>
      </c>
      <c r="E4001" s="6">
        <v>4</v>
      </c>
      <c r="F4001" s="6">
        <v>0</v>
      </c>
      <c r="G4001" s="6" t="s">
        <v>9</v>
      </c>
      <c r="H4001" s="6" t="s">
        <v>17</v>
      </c>
      <c r="I4001" s="6">
        <f>TabJogos[[#This Row],[PontosTime1]]-TabJogos[[#This Row],[PontosTime2]]</f>
        <v>4</v>
      </c>
    </row>
    <row r="4002" spans="1:9" ht="15" customHeight="1" x14ac:dyDescent="0.25">
      <c r="A4002" s="7">
        <v>4001</v>
      </c>
      <c r="B4002" s="1">
        <v>43670</v>
      </c>
      <c r="C4002" s="6" t="s">
        <v>11</v>
      </c>
      <c r="D4002" s="6" t="s">
        <v>9</v>
      </c>
      <c r="E4002" s="6">
        <v>2</v>
      </c>
      <c r="F4002" s="6">
        <v>4</v>
      </c>
      <c r="G4002" s="6" t="s">
        <v>18</v>
      </c>
      <c r="H4002" s="6" t="s">
        <v>17</v>
      </c>
      <c r="I4002" s="6">
        <f>TabJogos[[#This Row],[PontosTime1]]-TabJogos[[#This Row],[PontosTime2]]</f>
        <v>-2</v>
      </c>
    </row>
    <row r="4003" spans="1:9" ht="15" customHeight="1" x14ac:dyDescent="0.25">
      <c r="A4003" s="7">
        <v>4002</v>
      </c>
      <c r="B4003" s="1">
        <v>43672</v>
      </c>
      <c r="C4003" s="6" t="s">
        <v>17</v>
      </c>
      <c r="D4003" s="6" t="s">
        <v>18</v>
      </c>
      <c r="E4003" s="6">
        <v>3</v>
      </c>
      <c r="F4003" s="6">
        <v>1</v>
      </c>
      <c r="G4003" s="6" t="s">
        <v>11</v>
      </c>
      <c r="H4003" s="6" t="s">
        <v>9</v>
      </c>
      <c r="I4003" s="6">
        <f>TabJogos[[#This Row],[PontosTime1]]-TabJogos[[#This Row],[PontosTime2]]</f>
        <v>2</v>
      </c>
    </row>
    <row r="4004" spans="1:9" ht="15" customHeight="1" x14ac:dyDescent="0.25">
      <c r="A4004" s="7">
        <v>4003</v>
      </c>
      <c r="B4004" s="1">
        <v>43672</v>
      </c>
      <c r="C4004" s="6" t="s">
        <v>11</v>
      </c>
      <c r="D4004" s="6" t="s">
        <v>17</v>
      </c>
      <c r="E4004" s="6">
        <v>3</v>
      </c>
      <c r="F4004" s="6">
        <v>2</v>
      </c>
      <c r="G4004" s="6" t="s">
        <v>9</v>
      </c>
      <c r="H4004" s="6" t="s">
        <v>18</v>
      </c>
      <c r="I4004" s="6">
        <f>TabJogos[[#This Row],[PontosTime1]]-TabJogos[[#This Row],[PontosTime2]]</f>
        <v>1</v>
      </c>
    </row>
    <row r="4005" spans="1:9" ht="15" customHeight="1" x14ac:dyDescent="0.25">
      <c r="A4005" s="7">
        <v>4004</v>
      </c>
      <c r="B4005" s="1">
        <v>43672</v>
      </c>
      <c r="C4005" s="6" t="s">
        <v>11</v>
      </c>
      <c r="D4005" s="6" t="s">
        <v>18</v>
      </c>
      <c r="E4005" s="6">
        <v>2</v>
      </c>
      <c r="F4005" s="6">
        <v>3</v>
      </c>
      <c r="G4005" s="6" t="s">
        <v>17</v>
      </c>
      <c r="H4005" s="6" t="s">
        <v>9</v>
      </c>
      <c r="I4005" s="6">
        <f>TabJogos[[#This Row],[PontosTime1]]-TabJogos[[#This Row],[PontosTime2]]</f>
        <v>-1</v>
      </c>
    </row>
    <row r="4006" spans="1:9" ht="15" customHeight="1" x14ac:dyDescent="0.25">
      <c r="A4006" s="7">
        <v>4005</v>
      </c>
      <c r="B4006" s="1">
        <v>43672</v>
      </c>
      <c r="C4006" s="6" t="s">
        <v>11</v>
      </c>
      <c r="D4006" s="6" t="s">
        <v>9</v>
      </c>
      <c r="E4006" s="6">
        <v>1</v>
      </c>
      <c r="F4006" s="6">
        <v>4</v>
      </c>
      <c r="G4006" s="6" t="s">
        <v>17</v>
      </c>
      <c r="H4006" s="6" t="s">
        <v>18</v>
      </c>
      <c r="I4006" s="6">
        <f>TabJogos[[#This Row],[PontosTime1]]-TabJogos[[#This Row],[PontosTime2]]</f>
        <v>-3</v>
      </c>
    </row>
    <row r="4007" spans="1:9" ht="15" customHeight="1" x14ac:dyDescent="0.25">
      <c r="A4007" s="7">
        <v>4006</v>
      </c>
      <c r="B4007" s="1">
        <v>43672</v>
      </c>
      <c r="C4007" s="6" t="s">
        <v>11</v>
      </c>
      <c r="D4007" s="6" t="s">
        <v>17</v>
      </c>
      <c r="E4007" s="6">
        <v>3</v>
      </c>
      <c r="F4007" s="6">
        <v>2</v>
      </c>
      <c r="G4007" s="6" t="s">
        <v>9</v>
      </c>
      <c r="H4007" s="6" t="s">
        <v>18</v>
      </c>
      <c r="I4007" s="6">
        <f>TabJogos[[#This Row],[PontosTime1]]-TabJogos[[#This Row],[PontosTime2]]</f>
        <v>1</v>
      </c>
    </row>
    <row r="4008" spans="1:9" ht="15" customHeight="1" x14ac:dyDescent="0.25">
      <c r="A4008" s="7">
        <v>4007</v>
      </c>
      <c r="B4008" s="1">
        <v>43672</v>
      </c>
      <c r="C4008" s="6" t="s">
        <v>11</v>
      </c>
      <c r="D4008" s="6" t="s">
        <v>18</v>
      </c>
      <c r="E4008" s="6">
        <v>1</v>
      </c>
      <c r="F4008" s="6">
        <v>3</v>
      </c>
      <c r="G4008" s="6" t="s">
        <v>17</v>
      </c>
      <c r="H4008" s="6" t="s">
        <v>9</v>
      </c>
      <c r="I4008" s="6">
        <f>TabJogos[[#This Row],[PontosTime1]]-TabJogos[[#This Row],[PontosTime2]]</f>
        <v>-2</v>
      </c>
    </row>
    <row r="4009" spans="1:9" ht="15" customHeight="1" x14ac:dyDescent="0.25">
      <c r="A4009" s="7">
        <v>4008</v>
      </c>
      <c r="B4009" s="1">
        <v>43672</v>
      </c>
      <c r="C4009" s="6" t="s">
        <v>9</v>
      </c>
      <c r="D4009" s="6" t="s">
        <v>11</v>
      </c>
      <c r="E4009" s="6">
        <v>3</v>
      </c>
      <c r="F4009" s="6">
        <v>1</v>
      </c>
      <c r="G4009" s="6" t="s">
        <v>17</v>
      </c>
      <c r="H4009" s="6" t="s">
        <v>18</v>
      </c>
      <c r="I4009" s="6">
        <f>TabJogos[[#This Row],[PontosTime1]]-TabJogos[[#This Row],[PontosTime2]]</f>
        <v>2</v>
      </c>
    </row>
    <row r="4010" spans="1:9" ht="15" customHeight="1" x14ac:dyDescent="0.25">
      <c r="A4010" s="7">
        <v>4009</v>
      </c>
      <c r="B4010" s="1">
        <v>43672</v>
      </c>
      <c r="C4010" s="6" t="s">
        <v>11</v>
      </c>
      <c r="D4010" s="6" t="s">
        <v>17</v>
      </c>
      <c r="E4010" s="6">
        <v>3</v>
      </c>
      <c r="F4010" s="6">
        <v>0</v>
      </c>
      <c r="G4010" s="6" t="s">
        <v>9</v>
      </c>
      <c r="H4010" s="6" t="s">
        <v>18</v>
      </c>
      <c r="I4010" s="6">
        <f>TabJogos[[#This Row],[PontosTime1]]-TabJogos[[#This Row],[PontosTime2]]</f>
        <v>3</v>
      </c>
    </row>
    <row r="4011" spans="1:9" ht="15" customHeight="1" x14ac:dyDescent="0.25">
      <c r="A4011" s="7">
        <v>4010</v>
      </c>
      <c r="B4011" s="1">
        <v>43672</v>
      </c>
      <c r="C4011" s="6" t="s">
        <v>11</v>
      </c>
      <c r="D4011" s="6" t="s">
        <v>18</v>
      </c>
      <c r="E4011" s="6">
        <v>0</v>
      </c>
      <c r="F4011" s="6">
        <v>3</v>
      </c>
      <c r="G4011" s="6" t="s">
        <v>17</v>
      </c>
      <c r="H4011" s="6" t="s">
        <v>9</v>
      </c>
      <c r="I4011" s="6">
        <f>TabJogos[[#This Row],[PontosTime1]]-TabJogos[[#This Row],[PontosTime2]]</f>
        <v>-3</v>
      </c>
    </row>
    <row r="4012" spans="1:9" ht="15" customHeight="1" x14ac:dyDescent="0.25">
      <c r="A4012" s="7">
        <v>4011</v>
      </c>
      <c r="B4012" s="1">
        <v>43672</v>
      </c>
      <c r="C4012" s="6" t="s">
        <v>11</v>
      </c>
      <c r="D4012" s="6" t="s">
        <v>9</v>
      </c>
      <c r="E4012" s="6">
        <v>2</v>
      </c>
      <c r="F4012" s="6">
        <v>3</v>
      </c>
      <c r="G4012" s="6" t="s">
        <v>17</v>
      </c>
      <c r="H4012" s="6" t="s">
        <v>18</v>
      </c>
      <c r="I4012" s="6">
        <f>TabJogos[[#This Row],[PontosTime1]]-TabJogos[[#This Row],[PontosTime2]]</f>
        <v>-1</v>
      </c>
    </row>
    <row r="4013" spans="1:9" ht="15" customHeight="1" x14ac:dyDescent="0.25">
      <c r="A4013" s="7">
        <v>4012</v>
      </c>
      <c r="B4013" s="1">
        <v>43672</v>
      </c>
      <c r="C4013" s="6" t="s">
        <v>11</v>
      </c>
      <c r="D4013" s="6" t="s">
        <v>17</v>
      </c>
      <c r="E4013" s="6">
        <v>2</v>
      </c>
      <c r="F4013" s="6">
        <v>3</v>
      </c>
      <c r="G4013" s="6" t="s">
        <v>18</v>
      </c>
      <c r="H4013" s="6" t="s">
        <v>9</v>
      </c>
      <c r="I4013" s="6">
        <f>TabJogos[[#This Row],[PontosTime1]]-TabJogos[[#This Row],[PontosTime2]]</f>
        <v>-1</v>
      </c>
    </row>
    <row r="4014" spans="1:9" ht="15" customHeight="1" x14ac:dyDescent="0.25">
      <c r="A4014" s="7">
        <v>4013</v>
      </c>
      <c r="B4014" s="1">
        <v>43672</v>
      </c>
      <c r="C4014" s="6" t="s">
        <v>11</v>
      </c>
      <c r="D4014" s="6" t="s">
        <v>18</v>
      </c>
      <c r="E4014" s="6">
        <v>3</v>
      </c>
      <c r="F4014" s="6">
        <v>2</v>
      </c>
      <c r="G4014" s="6" t="s">
        <v>17</v>
      </c>
      <c r="H4014" s="6" t="s">
        <v>9</v>
      </c>
      <c r="I4014" s="6">
        <f>TabJogos[[#This Row],[PontosTime1]]-TabJogos[[#This Row],[PontosTime2]]</f>
        <v>1</v>
      </c>
    </row>
    <row r="4015" spans="1:9" ht="15" customHeight="1" x14ac:dyDescent="0.25">
      <c r="A4015" s="7">
        <v>4014</v>
      </c>
      <c r="B4015" s="1">
        <v>43676</v>
      </c>
      <c r="C4015" s="6" t="s">
        <v>18</v>
      </c>
      <c r="D4015" s="6" t="s">
        <v>41</v>
      </c>
      <c r="E4015" s="6">
        <v>3</v>
      </c>
      <c r="F4015" s="6">
        <v>2</v>
      </c>
      <c r="G4015" s="6" t="s">
        <v>17</v>
      </c>
      <c r="H4015" s="6" t="s">
        <v>15</v>
      </c>
      <c r="I4015" s="6">
        <f>TabJogos[[#This Row],[PontosTime1]]-TabJogos[[#This Row],[PontosTime2]]</f>
        <v>1</v>
      </c>
    </row>
    <row r="4016" spans="1:9" ht="15" customHeight="1" x14ac:dyDescent="0.25">
      <c r="A4016" s="7">
        <v>4015</v>
      </c>
      <c r="B4016" s="1">
        <v>43676</v>
      </c>
      <c r="C4016" s="6" t="s">
        <v>18</v>
      </c>
      <c r="D4016" s="6" t="s">
        <v>27</v>
      </c>
      <c r="E4016" s="6">
        <v>3</v>
      </c>
      <c r="F4016" s="6">
        <v>2</v>
      </c>
      <c r="G4016" s="6" t="s">
        <v>41</v>
      </c>
      <c r="H4016" s="6" t="s">
        <v>32</v>
      </c>
      <c r="I4016" s="6">
        <f>TabJogos[[#This Row],[PontosTime1]]-TabJogos[[#This Row],[PontosTime2]]</f>
        <v>1</v>
      </c>
    </row>
    <row r="4017" spans="1:9" ht="15" customHeight="1" x14ac:dyDescent="0.25">
      <c r="A4017" s="7">
        <v>4016</v>
      </c>
      <c r="B4017" s="1">
        <v>43676</v>
      </c>
      <c r="C4017" s="6" t="s">
        <v>27</v>
      </c>
      <c r="D4017" s="6" t="s">
        <v>17</v>
      </c>
      <c r="E4017" s="6">
        <v>1</v>
      </c>
      <c r="F4017" s="6">
        <v>5</v>
      </c>
      <c r="G4017" s="6" t="s">
        <v>15</v>
      </c>
      <c r="H4017" s="6" t="s">
        <v>18</v>
      </c>
      <c r="I4017" s="6">
        <f>TabJogos[[#This Row],[PontosTime1]]-TabJogos[[#This Row],[PontosTime2]]</f>
        <v>-4</v>
      </c>
    </row>
    <row r="4018" spans="1:9" ht="15" customHeight="1" x14ac:dyDescent="0.25">
      <c r="A4018" s="7">
        <v>4017</v>
      </c>
      <c r="B4018" s="1">
        <v>43676</v>
      </c>
      <c r="C4018" s="6" t="s">
        <v>11</v>
      </c>
      <c r="D4018" s="6" t="s">
        <v>15</v>
      </c>
      <c r="E4018" s="6">
        <v>2</v>
      </c>
      <c r="F4018" s="6">
        <v>3</v>
      </c>
      <c r="G4018" s="6" t="s">
        <v>18</v>
      </c>
      <c r="H4018" s="6" t="s">
        <v>9</v>
      </c>
      <c r="I4018" s="6">
        <f>TabJogos[[#This Row],[PontosTime1]]-TabJogos[[#This Row],[PontosTime2]]</f>
        <v>-1</v>
      </c>
    </row>
    <row r="4019" spans="1:9" ht="15" customHeight="1" x14ac:dyDescent="0.25">
      <c r="A4019" s="7">
        <v>4018</v>
      </c>
      <c r="B4019" s="1">
        <v>43676</v>
      </c>
      <c r="C4019" s="6" t="s">
        <v>27</v>
      </c>
      <c r="D4019" s="6" t="s">
        <v>9</v>
      </c>
      <c r="E4019" s="6">
        <v>1</v>
      </c>
      <c r="F4019" s="6">
        <v>3</v>
      </c>
      <c r="G4019" s="6" t="s">
        <v>18</v>
      </c>
      <c r="H4019" s="6" t="s">
        <v>41</v>
      </c>
      <c r="I4019" s="6">
        <f>TabJogos[[#This Row],[PontosTime1]]-TabJogos[[#This Row],[PontosTime2]]</f>
        <v>-2</v>
      </c>
    </row>
    <row r="4020" spans="1:9" ht="15" customHeight="1" x14ac:dyDescent="0.25">
      <c r="A4020" s="7">
        <v>4019</v>
      </c>
      <c r="B4020" s="1">
        <v>43676</v>
      </c>
      <c r="C4020" s="6" t="s">
        <v>17</v>
      </c>
      <c r="D4020" s="6" t="s">
        <v>18</v>
      </c>
      <c r="E4020" s="6">
        <v>3</v>
      </c>
      <c r="F4020" s="6">
        <v>0</v>
      </c>
      <c r="G4020" s="6" t="s">
        <v>15</v>
      </c>
      <c r="H4020" s="6" t="s">
        <v>41</v>
      </c>
      <c r="I4020" s="6">
        <f>TabJogos[[#This Row],[PontosTime1]]-TabJogos[[#This Row],[PontosTime2]]</f>
        <v>3</v>
      </c>
    </row>
    <row r="4021" spans="1:9" ht="15" customHeight="1" x14ac:dyDescent="0.25">
      <c r="A4021" s="7">
        <v>4020</v>
      </c>
      <c r="B4021" s="1">
        <v>43676</v>
      </c>
      <c r="C4021" s="6" t="s">
        <v>13</v>
      </c>
      <c r="D4021" s="6" t="s">
        <v>18</v>
      </c>
      <c r="E4021" s="6">
        <v>3</v>
      </c>
      <c r="F4021" s="6">
        <v>0</v>
      </c>
      <c r="G4021" s="6" t="s">
        <v>11</v>
      </c>
      <c r="H4021" s="6" t="s">
        <v>17</v>
      </c>
      <c r="I4021" s="6">
        <f>TabJogos[[#This Row],[PontosTime1]]-TabJogos[[#This Row],[PontosTime2]]</f>
        <v>3</v>
      </c>
    </row>
    <row r="4022" spans="1:9" ht="15" customHeight="1" x14ac:dyDescent="0.25">
      <c r="A4022" s="7">
        <v>4021</v>
      </c>
      <c r="B4022" s="1">
        <v>43676</v>
      </c>
      <c r="C4022" s="6" t="s">
        <v>13</v>
      </c>
      <c r="D4022" s="6" t="s">
        <v>41</v>
      </c>
      <c r="E4022" s="6">
        <v>0</v>
      </c>
      <c r="F4022" s="6">
        <v>4</v>
      </c>
      <c r="G4022" s="6" t="s">
        <v>18</v>
      </c>
      <c r="H4022" s="6" t="s">
        <v>15</v>
      </c>
      <c r="I4022" s="6">
        <f>TabJogos[[#This Row],[PontosTime1]]-TabJogos[[#This Row],[PontosTime2]]</f>
        <v>-4</v>
      </c>
    </row>
    <row r="4023" spans="1:9" ht="15" customHeight="1" x14ac:dyDescent="0.25">
      <c r="A4023" s="7">
        <v>4022</v>
      </c>
      <c r="B4023" s="1">
        <v>43676</v>
      </c>
      <c r="C4023" s="6" t="s">
        <v>11</v>
      </c>
      <c r="D4023" s="6" t="s">
        <v>18</v>
      </c>
      <c r="E4023" s="6">
        <v>5</v>
      </c>
      <c r="F4023" s="6">
        <v>0</v>
      </c>
      <c r="G4023" s="6" t="s">
        <v>17</v>
      </c>
      <c r="H4023" s="6" t="s">
        <v>15</v>
      </c>
      <c r="I4023" s="6">
        <f>TabJogos[[#This Row],[PontosTime1]]-TabJogos[[#This Row],[PontosTime2]]</f>
        <v>5</v>
      </c>
    </row>
    <row r="4024" spans="1:9" ht="15" customHeight="1" x14ac:dyDescent="0.25">
      <c r="A4024" s="7">
        <v>4023</v>
      </c>
      <c r="B4024" s="1">
        <v>43676</v>
      </c>
      <c r="C4024" s="6" t="s">
        <v>11</v>
      </c>
      <c r="D4024" s="6" t="s">
        <v>13</v>
      </c>
      <c r="E4024" s="6">
        <v>3</v>
      </c>
      <c r="F4024" s="6">
        <v>1</v>
      </c>
      <c r="G4024" s="6" t="s">
        <v>41</v>
      </c>
      <c r="H4024" s="6" t="s">
        <v>18</v>
      </c>
      <c r="I4024" s="6">
        <f>TabJogos[[#This Row],[PontosTime1]]-TabJogos[[#This Row],[PontosTime2]]</f>
        <v>2</v>
      </c>
    </row>
    <row r="4025" spans="1:9" ht="15" customHeight="1" x14ac:dyDescent="0.25">
      <c r="A4025" s="7">
        <v>4024</v>
      </c>
      <c r="B4025" s="1">
        <v>43676</v>
      </c>
      <c r="C4025" s="6" t="s">
        <v>17</v>
      </c>
      <c r="D4025" s="6" t="s">
        <v>13</v>
      </c>
      <c r="E4025" s="6">
        <v>0</v>
      </c>
      <c r="F4025" s="6">
        <v>4</v>
      </c>
      <c r="G4025" s="6" t="s">
        <v>11</v>
      </c>
      <c r="H4025" s="6" t="s">
        <v>18</v>
      </c>
      <c r="I4025" s="6">
        <f>TabJogos[[#This Row],[PontosTime1]]-TabJogos[[#This Row],[PontosTime2]]</f>
        <v>-4</v>
      </c>
    </row>
    <row r="4026" spans="1:9" ht="15" customHeight="1" x14ac:dyDescent="0.25">
      <c r="A4026" s="7">
        <v>4025</v>
      </c>
      <c r="B4026" s="1">
        <v>43676</v>
      </c>
      <c r="C4026" s="6" t="s">
        <v>11</v>
      </c>
      <c r="D4026" s="6" t="s">
        <v>17</v>
      </c>
      <c r="E4026" s="6">
        <v>2</v>
      </c>
      <c r="F4026" s="6">
        <v>3</v>
      </c>
      <c r="G4026" s="6" t="s">
        <v>18</v>
      </c>
      <c r="H4026" s="6" t="s">
        <v>13</v>
      </c>
      <c r="I4026" s="6">
        <f>TabJogos[[#This Row],[PontosTime1]]-TabJogos[[#This Row],[PontosTime2]]</f>
        <v>-1</v>
      </c>
    </row>
    <row r="4027" spans="1:9" ht="15" customHeight="1" x14ac:dyDescent="0.25">
      <c r="A4027" s="7">
        <v>4026</v>
      </c>
      <c r="B4027" s="1">
        <v>43676</v>
      </c>
      <c r="C4027" s="6" t="s">
        <v>17</v>
      </c>
      <c r="D4027" s="6" t="s">
        <v>18</v>
      </c>
      <c r="E4027" s="6">
        <v>5</v>
      </c>
      <c r="F4027" s="6">
        <v>1</v>
      </c>
      <c r="G4027" s="6" t="s">
        <v>13</v>
      </c>
      <c r="H4027" s="6" t="s">
        <v>11</v>
      </c>
      <c r="I4027" s="6">
        <f>TabJogos[[#This Row],[PontosTime1]]-TabJogos[[#This Row],[PontosTime2]]</f>
        <v>4</v>
      </c>
    </row>
    <row r="4028" spans="1:9" ht="15" customHeight="1" x14ac:dyDescent="0.25">
      <c r="A4028" s="7">
        <v>4027</v>
      </c>
      <c r="B4028" s="1">
        <v>43676</v>
      </c>
      <c r="C4028" s="6" t="s">
        <v>11</v>
      </c>
      <c r="D4028" s="6" t="s">
        <v>18</v>
      </c>
      <c r="E4028" s="6">
        <v>2</v>
      </c>
      <c r="F4028" s="6">
        <v>4</v>
      </c>
      <c r="G4028" s="6" t="s">
        <v>17</v>
      </c>
      <c r="H4028" s="6" t="s">
        <v>13</v>
      </c>
      <c r="I4028" s="6">
        <f>TabJogos[[#This Row],[PontosTime1]]-TabJogos[[#This Row],[PontosTime2]]</f>
        <v>-2</v>
      </c>
    </row>
    <row r="4029" spans="1:9" ht="15" customHeight="1" x14ac:dyDescent="0.25">
      <c r="A4029" s="7">
        <v>4028</v>
      </c>
      <c r="B4029" s="1">
        <v>43676</v>
      </c>
      <c r="C4029" s="6" t="s">
        <v>11</v>
      </c>
      <c r="D4029" s="6" t="s">
        <v>17</v>
      </c>
      <c r="E4029" s="6">
        <v>2</v>
      </c>
      <c r="F4029" s="6">
        <v>3</v>
      </c>
      <c r="G4029" s="6" t="s">
        <v>13</v>
      </c>
      <c r="H4029" s="6" t="s">
        <v>18</v>
      </c>
      <c r="I4029" s="6">
        <f>TabJogos[[#This Row],[PontosTime1]]-TabJogos[[#This Row],[PontosTime2]]</f>
        <v>-1</v>
      </c>
    </row>
    <row r="4030" spans="1:9" ht="15" customHeight="1" x14ac:dyDescent="0.25">
      <c r="A4030" s="7">
        <v>4029</v>
      </c>
      <c r="B4030" s="1">
        <v>43676</v>
      </c>
      <c r="C4030" s="6" t="s">
        <v>11</v>
      </c>
      <c r="D4030" s="6" t="s">
        <v>13</v>
      </c>
      <c r="E4030" s="6">
        <v>3</v>
      </c>
      <c r="F4030" s="6">
        <v>1</v>
      </c>
      <c r="G4030" s="6" t="s">
        <v>18</v>
      </c>
      <c r="H4030" s="6" t="s">
        <v>17</v>
      </c>
      <c r="I4030" s="6">
        <f>TabJogos[[#This Row],[PontosTime1]]-TabJogos[[#This Row],[PontosTime2]]</f>
        <v>2</v>
      </c>
    </row>
    <row r="4031" spans="1:9" ht="15" customHeight="1" x14ac:dyDescent="0.25">
      <c r="A4031" s="7">
        <v>4030</v>
      </c>
      <c r="B4031" s="1">
        <v>43677</v>
      </c>
      <c r="C4031" s="6" t="s">
        <v>17</v>
      </c>
      <c r="D4031" s="6" t="s">
        <v>18</v>
      </c>
      <c r="E4031" s="6">
        <v>3</v>
      </c>
      <c r="F4031" s="6">
        <v>1</v>
      </c>
      <c r="G4031" s="6" t="s">
        <v>11</v>
      </c>
      <c r="H4031" s="6" t="s">
        <v>15</v>
      </c>
      <c r="I4031" s="6">
        <f>TabJogos[[#This Row],[PontosTime1]]-TabJogos[[#This Row],[PontosTime2]]</f>
        <v>2</v>
      </c>
    </row>
    <row r="4032" spans="1:9" ht="15" customHeight="1" x14ac:dyDescent="0.25">
      <c r="A4032" s="7">
        <v>4031</v>
      </c>
      <c r="B4032" s="1">
        <v>43677</v>
      </c>
      <c r="C4032" s="6" t="s">
        <v>9</v>
      </c>
      <c r="D4032" s="6" t="s">
        <v>17</v>
      </c>
      <c r="E4032" s="6">
        <v>4</v>
      </c>
      <c r="F4032" s="6">
        <v>0</v>
      </c>
      <c r="G4032" s="6" t="s">
        <v>11</v>
      </c>
      <c r="H4032" s="6" t="s">
        <v>18</v>
      </c>
      <c r="I4032" s="6">
        <f>TabJogos[[#This Row],[PontosTime1]]-TabJogos[[#This Row],[PontosTime2]]</f>
        <v>4</v>
      </c>
    </row>
    <row r="4033" spans="1:9" ht="15" customHeight="1" x14ac:dyDescent="0.25">
      <c r="A4033" s="7">
        <v>4032</v>
      </c>
      <c r="B4033" s="1">
        <v>43677</v>
      </c>
      <c r="C4033" s="6" t="s">
        <v>15</v>
      </c>
      <c r="D4033" s="6" t="s">
        <v>17</v>
      </c>
      <c r="E4033" s="6">
        <v>3</v>
      </c>
      <c r="F4033" s="6">
        <v>0</v>
      </c>
      <c r="G4033" s="6" t="s">
        <v>18</v>
      </c>
      <c r="H4033" s="6" t="s">
        <v>9</v>
      </c>
      <c r="I4033" s="6">
        <f>TabJogos[[#This Row],[PontosTime1]]-TabJogos[[#This Row],[PontosTime2]]</f>
        <v>3</v>
      </c>
    </row>
    <row r="4034" spans="1:9" ht="15" customHeight="1" x14ac:dyDescent="0.25">
      <c r="A4034" s="7">
        <v>4033</v>
      </c>
      <c r="B4034" s="1">
        <v>43677</v>
      </c>
      <c r="C4034" s="6" t="s">
        <v>17</v>
      </c>
      <c r="D4034" s="6" t="s">
        <v>11</v>
      </c>
      <c r="E4034" s="6">
        <v>2</v>
      </c>
      <c r="F4034" s="6">
        <v>3</v>
      </c>
      <c r="G4034" s="6" t="s">
        <v>15</v>
      </c>
      <c r="H4034" s="6" t="s">
        <v>18</v>
      </c>
      <c r="I4034" s="6">
        <f>TabJogos[[#This Row],[PontosTime1]]-TabJogos[[#This Row],[PontosTime2]]</f>
        <v>-1</v>
      </c>
    </row>
    <row r="4035" spans="1:9" ht="15" customHeight="1" x14ac:dyDescent="0.25">
      <c r="A4035" s="7">
        <v>4034</v>
      </c>
      <c r="B4035" s="1">
        <v>43677</v>
      </c>
      <c r="C4035" s="6" t="s">
        <v>11</v>
      </c>
      <c r="D4035" s="6" t="s">
        <v>18</v>
      </c>
      <c r="E4035" s="6">
        <v>3</v>
      </c>
      <c r="F4035" s="6">
        <v>2</v>
      </c>
      <c r="G4035" s="6" t="s">
        <v>15</v>
      </c>
      <c r="H4035" s="6" t="s">
        <v>9</v>
      </c>
      <c r="I4035" s="6">
        <f>TabJogos[[#This Row],[PontosTime1]]-TabJogos[[#This Row],[PontosTime2]]</f>
        <v>1</v>
      </c>
    </row>
    <row r="4036" spans="1:9" ht="15" customHeight="1" x14ac:dyDescent="0.25">
      <c r="A4036" s="7">
        <v>4035</v>
      </c>
      <c r="B4036" s="1">
        <v>43677</v>
      </c>
      <c r="C4036" s="6" t="s">
        <v>11</v>
      </c>
      <c r="D4036" s="6" t="s">
        <v>15</v>
      </c>
      <c r="E4036" s="6">
        <v>3</v>
      </c>
      <c r="F4036" s="6">
        <v>2</v>
      </c>
      <c r="G4036" s="6" t="s">
        <v>17</v>
      </c>
      <c r="H4036" s="6" t="s">
        <v>18</v>
      </c>
      <c r="I4036" s="6">
        <f>TabJogos[[#This Row],[PontosTime1]]-TabJogos[[#This Row],[PontosTime2]]</f>
        <v>1</v>
      </c>
    </row>
    <row r="4037" spans="1:9" ht="15" customHeight="1" x14ac:dyDescent="0.25">
      <c r="A4037" s="7">
        <v>4036</v>
      </c>
      <c r="B4037" s="1">
        <v>43677</v>
      </c>
      <c r="C4037" s="6" t="s">
        <v>15</v>
      </c>
      <c r="D4037" s="6" t="s">
        <v>17</v>
      </c>
      <c r="E4037" s="6">
        <v>1</v>
      </c>
      <c r="F4037" s="6">
        <v>3</v>
      </c>
      <c r="G4037" s="6" t="s">
        <v>11</v>
      </c>
      <c r="H4037" s="6" t="s">
        <v>18</v>
      </c>
      <c r="I4037" s="6">
        <f>TabJogos[[#This Row],[PontosTime1]]-TabJogos[[#This Row],[PontosTime2]]</f>
        <v>-2</v>
      </c>
    </row>
    <row r="4038" spans="1:9" ht="15" customHeight="1" x14ac:dyDescent="0.25">
      <c r="A4038" s="7">
        <v>4037</v>
      </c>
      <c r="B4038" s="1">
        <v>43677</v>
      </c>
      <c r="C4038" s="6" t="s">
        <v>11</v>
      </c>
      <c r="D4038" s="6" t="s">
        <v>17</v>
      </c>
      <c r="E4038" s="6">
        <v>3</v>
      </c>
      <c r="F4038" s="6">
        <v>2</v>
      </c>
      <c r="G4038" s="6" t="s">
        <v>18</v>
      </c>
      <c r="H4038" s="6" t="s">
        <v>15</v>
      </c>
      <c r="I4038" s="6">
        <f>TabJogos[[#This Row],[PontosTime1]]-TabJogos[[#This Row],[PontosTime2]]</f>
        <v>1</v>
      </c>
    </row>
    <row r="4039" spans="1:9" ht="15" customHeight="1" x14ac:dyDescent="0.25">
      <c r="A4039" s="7">
        <v>4038</v>
      </c>
      <c r="B4039" s="1">
        <v>43677</v>
      </c>
      <c r="C4039" s="6" t="s">
        <v>11</v>
      </c>
      <c r="D4039" s="6" t="s">
        <v>15</v>
      </c>
      <c r="E4039" s="6">
        <v>3</v>
      </c>
      <c r="F4039" s="6">
        <v>2</v>
      </c>
      <c r="G4039" s="6" t="s">
        <v>17</v>
      </c>
      <c r="H4039" s="6" t="s">
        <v>18</v>
      </c>
      <c r="I4039" s="6">
        <f>TabJogos[[#This Row],[PontosTime1]]-TabJogos[[#This Row],[PontosTime2]]</f>
        <v>1</v>
      </c>
    </row>
    <row r="4040" spans="1:9" ht="15" customHeight="1" x14ac:dyDescent="0.25">
      <c r="A4040" s="7">
        <v>4039</v>
      </c>
      <c r="B4040" s="1">
        <v>43678</v>
      </c>
      <c r="C4040" s="6" t="s">
        <v>11</v>
      </c>
      <c r="D4040" s="6" t="s">
        <v>12</v>
      </c>
      <c r="E4040" s="6">
        <v>4</v>
      </c>
      <c r="F4040" s="6">
        <v>0</v>
      </c>
      <c r="G4040" s="6" t="s">
        <v>13</v>
      </c>
      <c r="H4040" s="6" t="s">
        <v>17</v>
      </c>
      <c r="I4040" s="6">
        <f>TabJogos[[#This Row],[PontosTime1]]-TabJogos[[#This Row],[PontosTime2]]</f>
        <v>4</v>
      </c>
    </row>
    <row r="4041" spans="1:9" ht="15" customHeight="1" x14ac:dyDescent="0.25">
      <c r="A4041" s="7">
        <v>4040</v>
      </c>
      <c r="B4041" s="1">
        <v>43678</v>
      </c>
      <c r="C4041" s="6" t="s">
        <v>11</v>
      </c>
      <c r="D4041" s="6" t="s">
        <v>13</v>
      </c>
      <c r="E4041" s="6">
        <v>3</v>
      </c>
      <c r="F4041" s="6">
        <v>2</v>
      </c>
      <c r="G4041" s="6" t="s">
        <v>18</v>
      </c>
      <c r="H4041" s="6" t="s">
        <v>12</v>
      </c>
      <c r="I4041" s="6">
        <f>TabJogos[[#This Row],[PontosTime1]]-TabJogos[[#This Row],[PontosTime2]]</f>
        <v>1</v>
      </c>
    </row>
    <row r="4042" spans="1:9" ht="15" customHeight="1" x14ac:dyDescent="0.25">
      <c r="A4042" s="7">
        <v>4041</v>
      </c>
      <c r="B4042" s="1">
        <v>43678</v>
      </c>
      <c r="C4042" s="6" t="s">
        <v>41</v>
      </c>
      <c r="D4042" s="6" t="s">
        <v>13</v>
      </c>
      <c r="E4042" s="6">
        <v>3</v>
      </c>
      <c r="F4042" s="6">
        <v>1</v>
      </c>
      <c r="G4042" s="6" t="s">
        <v>11</v>
      </c>
      <c r="H4042" s="6" t="s">
        <v>17</v>
      </c>
      <c r="I4042" s="6">
        <f>TabJogos[[#This Row],[PontosTime1]]-TabJogos[[#This Row],[PontosTime2]]</f>
        <v>2</v>
      </c>
    </row>
    <row r="4043" spans="1:9" ht="15" customHeight="1" x14ac:dyDescent="0.25">
      <c r="A4043" s="7">
        <v>4042</v>
      </c>
      <c r="B4043" s="1">
        <v>43678</v>
      </c>
      <c r="C4043" s="6" t="s">
        <v>17</v>
      </c>
      <c r="D4043" s="6" t="s">
        <v>41</v>
      </c>
      <c r="E4043" s="6">
        <v>1</v>
      </c>
      <c r="F4043" s="6">
        <v>3</v>
      </c>
      <c r="G4043" s="6" t="s">
        <v>13</v>
      </c>
      <c r="H4043" s="6" t="s">
        <v>18</v>
      </c>
      <c r="I4043" s="6">
        <f>TabJogos[[#This Row],[PontosTime1]]-TabJogos[[#This Row],[PontosTime2]]</f>
        <v>-2</v>
      </c>
    </row>
    <row r="4044" spans="1:9" ht="15" customHeight="1" x14ac:dyDescent="0.25">
      <c r="A4044" s="7">
        <v>4043</v>
      </c>
      <c r="B4044" s="1">
        <v>43678</v>
      </c>
      <c r="C4044" s="6" t="s">
        <v>11</v>
      </c>
      <c r="D4044" s="6" t="s">
        <v>13</v>
      </c>
      <c r="E4044" s="6">
        <v>3</v>
      </c>
      <c r="F4044" s="6">
        <v>2</v>
      </c>
      <c r="G4044" s="6" t="s">
        <v>18</v>
      </c>
      <c r="H4044" s="6" t="s">
        <v>41</v>
      </c>
      <c r="I4044" s="6">
        <f>TabJogos[[#This Row],[PontosTime1]]-TabJogos[[#This Row],[PontosTime2]]</f>
        <v>1</v>
      </c>
    </row>
    <row r="4045" spans="1:9" ht="15" customHeight="1" x14ac:dyDescent="0.25">
      <c r="A4045" s="7">
        <v>4044</v>
      </c>
      <c r="B4045" s="1">
        <v>43678</v>
      </c>
      <c r="C4045" s="6" t="s">
        <v>11</v>
      </c>
      <c r="D4045" s="6" t="s">
        <v>16</v>
      </c>
      <c r="E4045" s="6">
        <v>3</v>
      </c>
      <c r="F4045" s="6">
        <v>0</v>
      </c>
      <c r="G4045" s="6" t="s">
        <v>17</v>
      </c>
      <c r="H4045" s="6" t="s">
        <v>13</v>
      </c>
      <c r="I4045" s="6">
        <f>TabJogos[[#This Row],[PontosTime1]]-TabJogos[[#This Row],[PontosTime2]]</f>
        <v>3</v>
      </c>
    </row>
    <row r="4046" spans="1:9" ht="15" customHeight="1" x14ac:dyDescent="0.25">
      <c r="A4046" s="7">
        <v>4045</v>
      </c>
      <c r="B4046" s="1">
        <v>43678</v>
      </c>
      <c r="C4046" s="6" t="s">
        <v>11</v>
      </c>
      <c r="D4046" s="6" t="s">
        <v>18</v>
      </c>
      <c r="E4046" s="6">
        <v>1</v>
      </c>
      <c r="F4046" s="6">
        <v>3</v>
      </c>
      <c r="G4046" s="6" t="s">
        <v>13</v>
      </c>
      <c r="H4046" s="6" t="s">
        <v>16</v>
      </c>
      <c r="I4046" s="6">
        <f>TabJogos[[#This Row],[PontosTime1]]-TabJogos[[#This Row],[PontosTime2]]</f>
        <v>-2</v>
      </c>
    </row>
    <row r="4047" spans="1:9" ht="15" customHeight="1" x14ac:dyDescent="0.25">
      <c r="A4047" s="7">
        <v>4046</v>
      </c>
      <c r="B4047" s="1">
        <v>43678</v>
      </c>
      <c r="C4047" s="6" t="s">
        <v>16</v>
      </c>
      <c r="D4047" s="6" t="s">
        <v>17</v>
      </c>
      <c r="E4047" s="6">
        <v>3</v>
      </c>
      <c r="F4047" s="6">
        <v>0</v>
      </c>
      <c r="G4047" s="6" t="s">
        <v>13</v>
      </c>
      <c r="H4047" s="6" t="s">
        <v>18</v>
      </c>
      <c r="I4047" s="6">
        <f>TabJogos[[#This Row],[PontosTime1]]-TabJogos[[#This Row],[PontosTime2]]</f>
        <v>3</v>
      </c>
    </row>
    <row r="4048" spans="1:9" ht="15" customHeight="1" x14ac:dyDescent="0.25">
      <c r="A4048" s="7">
        <v>4047</v>
      </c>
      <c r="B4048" s="1">
        <v>43678</v>
      </c>
      <c r="C4048" s="6" t="s">
        <v>11</v>
      </c>
      <c r="D4048" s="6" t="s">
        <v>17</v>
      </c>
      <c r="E4048" s="6">
        <v>3</v>
      </c>
      <c r="F4048" s="6">
        <v>1</v>
      </c>
      <c r="G4048" s="6" t="s">
        <v>41</v>
      </c>
      <c r="H4048" s="6" t="s">
        <v>16</v>
      </c>
      <c r="I4048" s="6">
        <f>TabJogos[[#This Row],[PontosTime1]]-TabJogos[[#This Row],[PontosTime2]]</f>
        <v>2</v>
      </c>
    </row>
    <row r="4049" spans="1:9" ht="15" customHeight="1" x14ac:dyDescent="0.25">
      <c r="A4049" s="7">
        <v>4048</v>
      </c>
      <c r="B4049" s="1">
        <v>43678</v>
      </c>
      <c r="C4049" s="6" t="s">
        <v>11</v>
      </c>
      <c r="D4049" s="6" t="s">
        <v>9</v>
      </c>
      <c r="E4049" s="6">
        <v>3</v>
      </c>
      <c r="F4049" s="6">
        <v>2</v>
      </c>
      <c r="G4049" s="6" t="s">
        <v>18</v>
      </c>
      <c r="H4049" s="6" t="s">
        <v>17</v>
      </c>
      <c r="I4049" s="6">
        <f>TabJogos[[#This Row],[PontosTime1]]-TabJogos[[#This Row],[PontosTime2]]</f>
        <v>1</v>
      </c>
    </row>
    <row r="4050" spans="1:9" ht="15" customHeight="1" x14ac:dyDescent="0.25">
      <c r="A4050" s="7">
        <v>4049</v>
      </c>
      <c r="B4050" s="1">
        <v>43678</v>
      </c>
      <c r="C4050" s="6" t="s">
        <v>16</v>
      </c>
      <c r="D4050" s="6" t="s">
        <v>9</v>
      </c>
      <c r="E4050" s="6">
        <v>4</v>
      </c>
      <c r="F4050" s="6">
        <v>0</v>
      </c>
      <c r="G4050" s="6" t="s">
        <v>41</v>
      </c>
      <c r="H4050" s="6" t="s">
        <v>11</v>
      </c>
      <c r="I4050" s="6">
        <f>TabJogos[[#This Row],[PontosTime1]]-TabJogos[[#This Row],[PontosTime2]]</f>
        <v>4</v>
      </c>
    </row>
    <row r="4051" spans="1:9" ht="15" customHeight="1" x14ac:dyDescent="0.25">
      <c r="A4051" s="7">
        <v>4050</v>
      </c>
      <c r="B4051" s="1">
        <v>43678</v>
      </c>
      <c r="C4051" s="6" t="s">
        <v>17</v>
      </c>
      <c r="D4051" s="6" t="s">
        <v>9</v>
      </c>
      <c r="E4051" s="6">
        <v>3</v>
      </c>
      <c r="F4051" s="6">
        <v>0</v>
      </c>
      <c r="G4051" s="6" t="s">
        <v>16</v>
      </c>
      <c r="H4051" s="6" t="s">
        <v>13</v>
      </c>
      <c r="I4051" s="6">
        <f>TabJogos[[#This Row],[PontosTime1]]-TabJogos[[#This Row],[PontosTime2]]</f>
        <v>3</v>
      </c>
    </row>
    <row r="4052" spans="1:9" ht="15" customHeight="1" x14ac:dyDescent="0.25">
      <c r="A4052" s="7">
        <v>4051</v>
      </c>
      <c r="B4052" s="1">
        <v>43678</v>
      </c>
      <c r="C4052" s="6" t="s">
        <v>41</v>
      </c>
      <c r="D4052" s="6" t="s">
        <v>9</v>
      </c>
      <c r="E4052" s="6">
        <v>0</v>
      </c>
      <c r="F4052" s="6">
        <v>3</v>
      </c>
      <c r="G4052" s="6" t="s">
        <v>18</v>
      </c>
      <c r="H4052" s="6" t="s">
        <v>17</v>
      </c>
      <c r="I4052" s="6">
        <f>TabJogos[[#This Row],[PontosTime1]]-TabJogos[[#This Row],[PontosTime2]]</f>
        <v>-3</v>
      </c>
    </row>
    <row r="4053" spans="1:9" ht="15" customHeight="1" x14ac:dyDescent="0.25">
      <c r="A4053" s="7">
        <v>4052</v>
      </c>
      <c r="B4053" s="1">
        <v>43678</v>
      </c>
      <c r="C4053" s="6" t="s">
        <v>18</v>
      </c>
      <c r="D4053" s="6" t="s">
        <v>11</v>
      </c>
      <c r="E4053" s="6">
        <v>4</v>
      </c>
      <c r="F4053" s="6">
        <v>0</v>
      </c>
      <c r="G4053" s="6" t="s">
        <v>17</v>
      </c>
      <c r="H4053" s="6" t="s">
        <v>13</v>
      </c>
      <c r="I4053" s="6">
        <f>TabJogos[[#This Row],[PontosTime1]]-TabJogos[[#This Row],[PontosTime2]]</f>
        <v>4</v>
      </c>
    </row>
    <row r="4054" spans="1:9" ht="15" customHeight="1" x14ac:dyDescent="0.25">
      <c r="A4054" s="7">
        <v>4053</v>
      </c>
      <c r="B4054" s="1">
        <v>43678</v>
      </c>
      <c r="C4054" s="6" t="s">
        <v>18</v>
      </c>
      <c r="D4054" s="6" t="s">
        <v>13</v>
      </c>
      <c r="E4054" s="6">
        <v>3</v>
      </c>
      <c r="F4054" s="6">
        <v>2</v>
      </c>
      <c r="G4054" s="6" t="s">
        <v>11</v>
      </c>
      <c r="H4054" s="6" t="s">
        <v>17</v>
      </c>
      <c r="I4054" s="6">
        <f>TabJogos[[#This Row],[PontosTime1]]-TabJogos[[#This Row],[PontosTime2]]</f>
        <v>1</v>
      </c>
    </row>
    <row r="4055" spans="1:9" ht="15" customHeight="1" x14ac:dyDescent="0.25">
      <c r="A4055" s="7">
        <v>4054</v>
      </c>
      <c r="B4055" s="1">
        <v>43678</v>
      </c>
      <c r="C4055" s="6" t="s">
        <v>18</v>
      </c>
      <c r="D4055" s="6" t="s">
        <v>17</v>
      </c>
      <c r="E4055" s="6">
        <v>3</v>
      </c>
      <c r="F4055" s="6">
        <v>0</v>
      </c>
      <c r="G4055" s="6" t="s">
        <v>11</v>
      </c>
      <c r="H4055" s="6" t="s">
        <v>13</v>
      </c>
      <c r="I4055" s="6">
        <f>TabJogos[[#This Row],[PontosTime1]]-TabJogos[[#This Row],[PontosTime2]]</f>
        <v>3</v>
      </c>
    </row>
    <row r="4056" spans="1:9" ht="15" customHeight="1" x14ac:dyDescent="0.25">
      <c r="A4056" s="7">
        <v>4055</v>
      </c>
      <c r="B4056" s="1">
        <v>43678</v>
      </c>
      <c r="C4056" s="6" t="s">
        <v>13</v>
      </c>
      <c r="D4056" s="6" t="s">
        <v>17</v>
      </c>
      <c r="E4056" s="6">
        <v>4</v>
      </c>
      <c r="F4056" s="6">
        <v>2</v>
      </c>
      <c r="G4056" s="6" t="s">
        <v>11</v>
      </c>
      <c r="H4056" s="6" t="s">
        <v>18</v>
      </c>
      <c r="I4056" s="6">
        <f>TabJogos[[#This Row],[PontosTime1]]-TabJogos[[#This Row],[PontosTime2]]</f>
        <v>2</v>
      </c>
    </row>
    <row r="4057" spans="1:9" ht="15" customHeight="1" x14ac:dyDescent="0.25">
      <c r="A4057" s="7">
        <v>4056</v>
      </c>
      <c r="B4057" s="1">
        <v>43679</v>
      </c>
      <c r="C4057" s="6" t="s">
        <v>13</v>
      </c>
      <c r="D4057" s="6" t="s">
        <v>12</v>
      </c>
      <c r="E4057" s="6">
        <v>3</v>
      </c>
      <c r="F4057" s="6">
        <v>2</v>
      </c>
      <c r="G4057" s="6" t="s">
        <v>11</v>
      </c>
      <c r="H4057" s="6" t="s">
        <v>18</v>
      </c>
      <c r="I4057" s="6">
        <f>TabJogos[[#This Row],[PontosTime1]]-TabJogos[[#This Row],[PontosTime2]]</f>
        <v>1</v>
      </c>
    </row>
    <row r="4058" spans="1:9" ht="15" customHeight="1" x14ac:dyDescent="0.25">
      <c r="A4058" s="7">
        <v>4057</v>
      </c>
      <c r="B4058" s="1">
        <v>43679</v>
      </c>
      <c r="C4058" s="6" t="s">
        <v>13</v>
      </c>
      <c r="D4058" s="6" t="s">
        <v>11</v>
      </c>
      <c r="E4058" s="6">
        <v>0</v>
      </c>
      <c r="F4058" s="6">
        <v>3</v>
      </c>
      <c r="G4058" s="6" t="s">
        <v>12</v>
      </c>
      <c r="H4058" s="6" t="s">
        <v>18</v>
      </c>
      <c r="I4058" s="6">
        <f>TabJogos[[#This Row],[PontosTime1]]-TabJogos[[#This Row],[PontosTime2]]</f>
        <v>-3</v>
      </c>
    </row>
    <row r="4059" spans="1:9" ht="15" customHeight="1" x14ac:dyDescent="0.25">
      <c r="A4059" s="7">
        <v>4058</v>
      </c>
      <c r="B4059" s="1">
        <v>43679</v>
      </c>
      <c r="C4059" s="6" t="s">
        <v>12</v>
      </c>
      <c r="D4059" s="6" t="s">
        <v>32</v>
      </c>
      <c r="E4059" s="6">
        <v>0</v>
      </c>
      <c r="F4059" s="6">
        <v>3</v>
      </c>
      <c r="G4059" s="6" t="s">
        <v>15</v>
      </c>
      <c r="H4059" s="6" t="s">
        <v>18</v>
      </c>
      <c r="I4059" s="6">
        <f>TabJogos[[#This Row],[PontosTime1]]-TabJogos[[#This Row],[PontosTime2]]</f>
        <v>-3</v>
      </c>
    </row>
    <row r="4060" spans="1:9" ht="15" customHeight="1" x14ac:dyDescent="0.25">
      <c r="A4060" s="7">
        <v>4059</v>
      </c>
      <c r="B4060" s="1">
        <v>43679</v>
      </c>
      <c r="C4060" s="6" t="s">
        <v>18</v>
      </c>
      <c r="D4060" s="6" t="s">
        <v>41</v>
      </c>
      <c r="E4060" s="6">
        <v>3</v>
      </c>
      <c r="F4060" s="6">
        <v>0</v>
      </c>
      <c r="G4060" s="6" t="s">
        <v>15</v>
      </c>
      <c r="H4060" s="6" t="s">
        <v>11</v>
      </c>
      <c r="I4060" s="6">
        <f>TabJogos[[#This Row],[PontosTime1]]-TabJogos[[#This Row],[PontosTime2]]</f>
        <v>3</v>
      </c>
    </row>
    <row r="4061" spans="1:9" ht="15" customHeight="1" x14ac:dyDescent="0.25">
      <c r="A4061" s="7">
        <v>4060</v>
      </c>
      <c r="B4061" s="1">
        <v>43679</v>
      </c>
      <c r="C4061" s="6" t="s">
        <v>12</v>
      </c>
      <c r="D4061" s="6" t="s">
        <v>41</v>
      </c>
      <c r="E4061" s="6">
        <v>0</v>
      </c>
      <c r="F4061" s="6">
        <v>3</v>
      </c>
      <c r="G4061" s="6" t="s">
        <v>13</v>
      </c>
      <c r="H4061" s="6" t="s">
        <v>18</v>
      </c>
      <c r="I4061" s="6">
        <f>TabJogos[[#This Row],[PontosTime1]]-TabJogos[[#This Row],[PontosTime2]]</f>
        <v>-3</v>
      </c>
    </row>
    <row r="4062" spans="1:9" ht="15" customHeight="1" x14ac:dyDescent="0.25">
      <c r="A4062" s="7">
        <v>4061</v>
      </c>
      <c r="B4062" s="1">
        <v>43679</v>
      </c>
      <c r="C4062" s="6" t="s">
        <v>32</v>
      </c>
      <c r="D4062" s="6" t="s">
        <v>18</v>
      </c>
      <c r="E4062" s="6">
        <v>1</v>
      </c>
      <c r="F4062" s="6">
        <v>3</v>
      </c>
      <c r="G4062" s="6" t="s">
        <v>13</v>
      </c>
      <c r="H4062" s="6" t="s">
        <v>11</v>
      </c>
      <c r="I4062" s="6">
        <f>TabJogos[[#This Row],[PontosTime1]]-TabJogos[[#This Row],[PontosTime2]]</f>
        <v>-2</v>
      </c>
    </row>
    <row r="4063" spans="1:9" ht="15" customHeight="1" x14ac:dyDescent="0.25">
      <c r="A4063" s="7">
        <v>4062</v>
      </c>
      <c r="B4063" s="1">
        <v>43679</v>
      </c>
      <c r="C4063" s="6" t="s">
        <v>11</v>
      </c>
      <c r="D4063" s="6" t="s">
        <v>41</v>
      </c>
      <c r="E4063" s="6">
        <v>3</v>
      </c>
      <c r="F4063" s="6">
        <v>1</v>
      </c>
      <c r="G4063" s="6" t="s">
        <v>15</v>
      </c>
      <c r="H4063" s="6" t="s">
        <v>13</v>
      </c>
      <c r="I4063" s="6">
        <f>TabJogos[[#This Row],[PontosTime1]]-TabJogos[[#This Row],[PontosTime2]]</f>
        <v>2</v>
      </c>
    </row>
    <row r="4064" spans="1:9" ht="15" customHeight="1" x14ac:dyDescent="0.25">
      <c r="A4064" s="7">
        <v>4063</v>
      </c>
      <c r="B4064" s="1">
        <v>43679</v>
      </c>
      <c r="C4064" s="6" t="s">
        <v>32</v>
      </c>
      <c r="D4064" s="6" t="s">
        <v>41</v>
      </c>
      <c r="E4064" s="6">
        <v>3</v>
      </c>
      <c r="F4064" s="6">
        <v>2</v>
      </c>
      <c r="G4064" s="6" t="s">
        <v>18</v>
      </c>
      <c r="H4064" s="6" t="s">
        <v>11</v>
      </c>
      <c r="I4064" s="6">
        <f>TabJogos[[#This Row],[PontosTime1]]-TabJogos[[#This Row],[PontosTime2]]</f>
        <v>1</v>
      </c>
    </row>
    <row r="4065" spans="1:9" ht="15" customHeight="1" x14ac:dyDescent="0.25">
      <c r="A4065" s="7">
        <v>4064</v>
      </c>
      <c r="B4065" s="1">
        <v>43679</v>
      </c>
      <c r="C4065" s="6" t="s">
        <v>11</v>
      </c>
      <c r="D4065" s="6" t="s">
        <v>17</v>
      </c>
      <c r="E4065" s="6">
        <v>0</v>
      </c>
      <c r="F4065" s="6">
        <v>3</v>
      </c>
      <c r="G4065" s="6" t="s">
        <v>18</v>
      </c>
      <c r="H4065" s="6" t="s">
        <v>13</v>
      </c>
      <c r="I4065" s="6">
        <f>TabJogos[[#This Row],[PontosTime1]]-TabJogos[[#This Row],[PontosTime2]]</f>
        <v>-3</v>
      </c>
    </row>
    <row r="4066" spans="1:9" ht="15" customHeight="1" x14ac:dyDescent="0.25">
      <c r="A4066" s="7">
        <v>4065</v>
      </c>
      <c r="B4066" s="1">
        <v>43679</v>
      </c>
      <c r="C4066" s="6" t="s">
        <v>18</v>
      </c>
      <c r="D4066" s="6" t="s">
        <v>41</v>
      </c>
      <c r="E4066" s="6">
        <v>3</v>
      </c>
      <c r="F4066" s="6">
        <v>0</v>
      </c>
      <c r="G4066" s="6" t="s">
        <v>13</v>
      </c>
      <c r="H4066" s="6" t="s">
        <v>11</v>
      </c>
      <c r="I4066" s="6">
        <f>TabJogos[[#This Row],[PontosTime1]]-TabJogos[[#This Row],[PontosTime2]]</f>
        <v>3</v>
      </c>
    </row>
    <row r="4067" spans="1:9" ht="15" customHeight="1" x14ac:dyDescent="0.25">
      <c r="A4067" s="7">
        <v>4066</v>
      </c>
      <c r="B4067" s="1">
        <v>43679</v>
      </c>
      <c r="C4067" s="6" t="s">
        <v>13</v>
      </c>
      <c r="D4067" s="6" t="s">
        <v>41</v>
      </c>
      <c r="E4067" s="6">
        <v>3</v>
      </c>
      <c r="F4067" s="6">
        <v>1</v>
      </c>
      <c r="G4067" s="6" t="s">
        <v>17</v>
      </c>
      <c r="H4067" s="6" t="s">
        <v>18</v>
      </c>
      <c r="I4067" s="6">
        <f>TabJogos[[#This Row],[PontosTime1]]-TabJogos[[#This Row],[PontosTime2]]</f>
        <v>2</v>
      </c>
    </row>
    <row r="4068" spans="1:9" ht="15" customHeight="1" x14ac:dyDescent="0.25">
      <c r="A4068" s="7">
        <v>4067</v>
      </c>
      <c r="B4068" s="1">
        <v>43679</v>
      </c>
      <c r="C4068" s="6" t="s">
        <v>18</v>
      </c>
      <c r="D4068" s="6" t="s">
        <v>13</v>
      </c>
      <c r="E4068" s="6">
        <v>3</v>
      </c>
      <c r="F4068" s="6">
        <v>0</v>
      </c>
      <c r="G4068" s="6" t="s">
        <v>41</v>
      </c>
      <c r="H4068" s="6" t="s">
        <v>17</v>
      </c>
      <c r="I4068" s="6">
        <f>TabJogos[[#This Row],[PontosTime1]]-TabJogos[[#This Row],[PontosTime2]]</f>
        <v>3</v>
      </c>
    </row>
    <row r="4069" spans="1:9" ht="15" customHeight="1" x14ac:dyDescent="0.25">
      <c r="A4069" s="7">
        <v>4068</v>
      </c>
      <c r="B4069" s="1">
        <v>43679</v>
      </c>
      <c r="C4069" s="6" t="s">
        <v>11</v>
      </c>
      <c r="D4069" s="6" t="s">
        <v>18</v>
      </c>
      <c r="E4069" s="6">
        <v>4</v>
      </c>
      <c r="F4069" s="6">
        <v>1</v>
      </c>
      <c r="G4069" s="6" t="s">
        <v>17</v>
      </c>
      <c r="H4069" s="6" t="s">
        <v>13</v>
      </c>
      <c r="I4069" s="6">
        <f>TabJogos[[#This Row],[PontosTime1]]-TabJogos[[#This Row],[PontosTime2]]</f>
        <v>3</v>
      </c>
    </row>
    <row r="4070" spans="1:9" ht="15" customHeight="1" x14ac:dyDescent="0.25">
      <c r="A4070" s="7">
        <v>4069</v>
      </c>
      <c r="B4070" s="1">
        <v>43679</v>
      </c>
      <c r="C4070" s="6" t="s">
        <v>11</v>
      </c>
      <c r="D4070" s="6" t="s">
        <v>13</v>
      </c>
      <c r="E4070" s="6">
        <v>1</v>
      </c>
      <c r="F4070" s="6">
        <v>4</v>
      </c>
      <c r="G4070" s="6" t="s">
        <v>17</v>
      </c>
      <c r="H4070" s="6" t="s">
        <v>18</v>
      </c>
      <c r="I4070" s="6">
        <f>TabJogos[[#This Row],[PontosTime1]]-TabJogos[[#This Row],[PontosTime2]]</f>
        <v>-3</v>
      </c>
    </row>
    <row r="4071" spans="1:9" ht="15" customHeight="1" x14ac:dyDescent="0.25">
      <c r="A4071" s="7">
        <v>4070</v>
      </c>
      <c r="B4071" s="1">
        <v>43679</v>
      </c>
      <c r="C4071" s="6" t="s">
        <v>11</v>
      </c>
      <c r="D4071" s="6" t="s">
        <v>17</v>
      </c>
      <c r="E4071" s="6">
        <v>3</v>
      </c>
      <c r="F4071" s="6">
        <v>1</v>
      </c>
      <c r="G4071" s="6" t="s">
        <v>13</v>
      </c>
      <c r="H4071" s="6" t="s">
        <v>18</v>
      </c>
      <c r="I4071" s="6">
        <f>TabJogos[[#This Row],[PontosTime1]]-TabJogos[[#This Row],[PontosTime2]]</f>
        <v>2</v>
      </c>
    </row>
    <row r="4072" spans="1:9" ht="15" customHeight="1" x14ac:dyDescent="0.25">
      <c r="A4072" s="7">
        <v>4071</v>
      </c>
      <c r="B4072" s="1">
        <v>43679</v>
      </c>
      <c r="C4072" s="6" t="s">
        <v>11</v>
      </c>
      <c r="D4072" s="6" t="s">
        <v>18</v>
      </c>
      <c r="E4072" s="6">
        <v>5</v>
      </c>
      <c r="F4072" s="6">
        <v>0</v>
      </c>
      <c r="G4072" s="6" t="s">
        <v>13</v>
      </c>
      <c r="H4072" s="6" t="s">
        <v>17</v>
      </c>
      <c r="I4072" s="6">
        <f>TabJogos[[#This Row],[PontosTime1]]-TabJogos[[#This Row],[PontosTime2]]</f>
        <v>5</v>
      </c>
    </row>
    <row r="4073" spans="1:9" ht="15" customHeight="1" x14ac:dyDescent="0.25">
      <c r="A4073" s="7">
        <v>4072</v>
      </c>
      <c r="B4073" s="1">
        <v>43682</v>
      </c>
      <c r="C4073" s="6" t="s">
        <v>41</v>
      </c>
      <c r="D4073" s="6" t="s">
        <v>13</v>
      </c>
      <c r="E4073" s="6">
        <v>2</v>
      </c>
      <c r="F4073" s="6">
        <v>3</v>
      </c>
      <c r="G4073" s="6" t="s">
        <v>17</v>
      </c>
      <c r="H4073" s="6" t="s">
        <v>32</v>
      </c>
      <c r="I4073" s="6">
        <f>TabJogos[[#This Row],[PontosTime1]]-TabJogos[[#This Row],[PontosTime2]]</f>
        <v>-1</v>
      </c>
    </row>
    <row r="4074" spans="1:9" ht="15" customHeight="1" x14ac:dyDescent="0.25">
      <c r="A4074" s="7">
        <v>4073</v>
      </c>
      <c r="B4074" s="1">
        <v>43682</v>
      </c>
      <c r="C4074" s="6" t="s">
        <v>17</v>
      </c>
      <c r="D4074" s="6" t="s">
        <v>13</v>
      </c>
      <c r="E4074" s="6">
        <v>0</v>
      </c>
      <c r="F4074" s="6">
        <v>3</v>
      </c>
      <c r="G4074" s="6" t="s">
        <v>41</v>
      </c>
      <c r="H4074" s="6" t="s">
        <v>32</v>
      </c>
      <c r="I4074" s="6">
        <f>TabJogos[[#This Row],[PontosTime1]]-TabJogos[[#This Row],[PontosTime2]]</f>
        <v>-3</v>
      </c>
    </row>
    <row r="4075" spans="1:9" ht="15" customHeight="1" x14ac:dyDescent="0.25">
      <c r="A4075" s="7">
        <v>4074</v>
      </c>
      <c r="B4075" s="1">
        <v>43682</v>
      </c>
      <c r="C4075" s="6" t="s">
        <v>17</v>
      </c>
      <c r="D4075" s="6" t="s">
        <v>41</v>
      </c>
      <c r="E4075" s="6">
        <v>3</v>
      </c>
      <c r="F4075" s="6">
        <v>2</v>
      </c>
      <c r="G4075" s="6" t="s">
        <v>15</v>
      </c>
      <c r="H4075" s="6" t="s">
        <v>32</v>
      </c>
      <c r="I4075" s="6">
        <f>TabJogos[[#This Row],[PontosTime1]]-TabJogos[[#This Row],[PontosTime2]]</f>
        <v>1</v>
      </c>
    </row>
    <row r="4076" spans="1:9" ht="15" customHeight="1" x14ac:dyDescent="0.25">
      <c r="A4076" s="7">
        <v>4075</v>
      </c>
      <c r="B4076" s="1">
        <v>43682</v>
      </c>
      <c r="C4076" s="6" t="s">
        <v>41</v>
      </c>
      <c r="D4076" s="6" t="s">
        <v>13</v>
      </c>
      <c r="E4076" s="6">
        <v>2</v>
      </c>
      <c r="F4076" s="6">
        <v>3</v>
      </c>
      <c r="G4076" s="6" t="s">
        <v>15</v>
      </c>
      <c r="H4076" s="6" t="s">
        <v>17</v>
      </c>
      <c r="I4076" s="6">
        <f>TabJogos[[#This Row],[PontosTime1]]-TabJogos[[#This Row],[PontosTime2]]</f>
        <v>-1</v>
      </c>
    </row>
    <row r="4077" spans="1:9" ht="15" customHeight="1" x14ac:dyDescent="0.25">
      <c r="A4077" s="7">
        <v>4076</v>
      </c>
      <c r="B4077" s="1">
        <v>43682</v>
      </c>
      <c r="C4077" s="6" t="s">
        <v>17</v>
      </c>
      <c r="D4077" s="6" t="s">
        <v>13</v>
      </c>
      <c r="E4077" s="6">
        <v>3</v>
      </c>
      <c r="F4077" s="6">
        <v>0</v>
      </c>
      <c r="G4077" s="6" t="s">
        <v>15</v>
      </c>
      <c r="H4077" s="6" t="s">
        <v>41</v>
      </c>
      <c r="I4077" s="6">
        <f>TabJogos[[#This Row],[PontosTime1]]-TabJogos[[#This Row],[PontosTime2]]</f>
        <v>3</v>
      </c>
    </row>
    <row r="4078" spans="1:9" ht="15" customHeight="1" x14ac:dyDescent="0.25">
      <c r="A4078" s="7">
        <v>4077</v>
      </c>
      <c r="B4078" s="1">
        <v>43682</v>
      </c>
      <c r="C4078" s="6" t="s">
        <v>17</v>
      </c>
      <c r="D4078" s="6" t="s">
        <v>41</v>
      </c>
      <c r="E4078" s="6">
        <v>1</v>
      </c>
      <c r="F4078" s="6">
        <v>4</v>
      </c>
      <c r="G4078" s="6" t="s">
        <v>15</v>
      </c>
      <c r="H4078" s="6" t="s">
        <v>13</v>
      </c>
      <c r="I4078" s="6">
        <f>TabJogos[[#This Row],[PontosTime1]]-TabJogos[[#This Row],[PontosTime2]]</f>
        <v>-3</v>
      </c>
    </row>
    <row r="4079" spans="1:9" ht="15" customHeight="1" x14ac:dyDescent="0.25">
      <c r="A4079" s="7">
        <v>4078</v>
      </c>
      <c r="B4079" s="1">
        <v>43682</v>
      </c>
      <c r="C4079" s="6" t="s">
        <v>17</v>
      </c>
      <c r="D4079" s="6" t="s">
        <v>15</v>
      </c>
      <c r="E4079" s="6">
        <v>3</v>
      </c>
      <c r="F4079" s="6">
        <v>0</v>
      </c>
      <c r="G4079" s="6" t="s">
        <v>13</v>
      </c>
      <c r="H4079" s="6" t="s">
        <v>41</v>
      </c>
      <c r="I4079" s="6">
        <f>TabJogos[[#This Row],[PontosTime1]]-TabJogos[[#This Row],[PontosTime2]]</f>
        <v>3</v>
      </c>
    </row>
    <row r="4080" spans="1:9" ht="15" customHeight="1" x14ac:dyDescent="0.25">
      <c r="A4080" s="7">
        <v>4079</v>
      </c>
      <c r="B4080" s="1">
        <v>43682</v>
      </c>
      <c r="C4080" s="6" t="s">
        <v>17</v>
      </c>
      <c r="D4080" s="6" t="s">
        <v>13</v>
      </c>
      <c r="E4080" s="6">
        <v>4</v>
      </c>
      <c r="F4080" s="6">
        <v>2</v>
      </c>
      <c r="G4080" s="6" t="s">
        <v>41</v>
      </c>
      <c r="H4080" s="6" t="s">
        <v>15</v>
      </c>
      <c r="I4080" s="6">
        <f>TabJogos[[#This Row],[PontosTime1]]-TabJogos[[#This Row],[PontosTime2]]</f>
        <v>2</v>
      </c>
    </row>
    <row r="4081" spans="1:9" ht="15" customHeight="1" x14ac:dyDescent="0.25">
      <c r="A4081" s="7">
        <v>4080</v>
      </c>
      <c r="B4081" s="1">
        <v>43682</v>
      </c>
      <c r="C4081" s="6" t="s">
        <v>17</v>
      </c>
      <c r="D4081" s="6" t="s">
        <v>41</v>
      </c>
      <c r="E4081" s="6">
        <v>0</v>
      </c>
      <c r="F4081" s="6">
        <v>4</v>
      </c>
      <c r="G4081" s="6" t="s">
        <v>15</v>
      </c>
      <c r="H4081" s="6" t="s">
        <v>13</v>
      </c>
      <c r="I4081" s="6">
        <f>TabJogos[[#This Row],[PontosTime1]]-TabJogos[[#This Row],[PontosTime2]]</f>
        <v>-4</v>
      </c>
    </row>
    <row r="4082" spans="1:9" ht="15" customHeight="1" x14ac:dyDescent="0.25">
      <c r="A4082" s="7">
        <v>4081</v>
      </c>
      <c r="B4082" s="1">
        <v>43682</v>
      </c>
      <c r="C4082" s="6" t="s">
        <v>17</v>
      </c>
      <c r="D4082" s="6" t="s">
        <v>15</v>
      </c>
      <c r="E4082" s="6">
        <v>2</v>
      </c>
      <c r="F4082" s="6">
        <v>3</v>
      </c>
      <c r="G4082" s="6" t="s">
        <v>18</v>
      </c>
      <c r="H4082" s="6" t="s">
        <v>13</v>
      </c>
      <c r="I4082" s="6">
        <f>TabJogos[[#This Row],[PontosTime1]]-TabJogos[[#This Row],[PontosTime2]]</f>
        <v>-1</v>
      </c>
    </row>
    <row r="4083" spans="1:9" ht="15" customHeight="1" x14ac:dyDescent="0.25">
      <c r="A4083" s="7">
        <v>4082</v>
      </c>
      <c r="B4083" s="1">
        <v>43684</v>
      </c>
      <c r="C4083" s="6" t="s">
        <v>13</v>
      </c>
      <c r="D4083" s="6" t="s">
        <v>12</v>
      </c>
      <c r="E4083" s="6">
        <v>3</v>
      </c>
      <c r="F4083" s="6">
        <v>0</v>
      </c>
      <c r="G4083" s="6" t="s">
        <v>10</v>
      </c>
      <c r="H4083" s="6" t="s">
        <v>18</v>
      </c>
      <c r="I4083" s="6">
        <f>TabJogos[[#This Row],[PontosTime1]]-TabJogos[[#This Row],[PontosTime2]]</f>
        <v>3</v>
      </c>
    </row>
    <row r="4084" spans="1:9" ht="15" customHeight="1" x14ac:dyDescent="0.25">
      <c r="A4084" s="7">
        <v>4083</v>
      </c>
      <c r="B4084" s="1">
        <v>43684</v>
      </c>
      <c r="C4084" s="6" t="s">
        <v>13</v>
      </c>
      <c r="D4084" s="6" t="s">
        <v>18</v>
      </c>
      <c r="E4084" s="6">
        <v>3</v>
      </c>
      <c r="F4084" s="6">
        <v>2</v>
      </c>
      <c r="G4084" s="6" t="s">
        <v>10</v>
      </c>
      <c r="H4084" s="6" t="s">
        <v>12</v>
      </c>
      <c r="I4084" s="6">
        <f>TabJogos[[#This Row],[PontosTime1]]-TabJogos[[#This Row],[PontosTime2]]</f>
        <v>1</v>
      </c>
    </row>
    <row r="4085" spans="1:9" ht="15" customHeight="1" x14ac:dyDescent="0.25">
      <c r="A4085" s="7">
        <v>4084</v>
      </c>
      <c r="B4085" s="1">
        <v>43684</v>
      </c>
      <c r="C4085" s="6" t="s">
        <v>13</v>
      </c>
      <c r="D4085" s="6" t="s">
        <v>10</v>
      </c>
      <c r="E4085" s="6">
        <v>3</v>
      </c>
      <c r="F4085" s="6">
        <v>2</v>
      </c>
      <c r="G4085" s="6" t="s">
        <v>18</v>
      </c>
      <c r="H4085" s="6" t="s">
        <v>12</v>
      </c>
      <c r="I4085" s="6">
        <f>TabJogos[[#This Row],[PontosTime1]]-TabJogos[[#This Row],[PontosTime2]]</f>
        <v>1</v>
      </c>
    </row>
    <row r="4086" spans="1:9" ht="15" customHeight="1" x14ac:dyDescent="0.25">
      <c r="A4086" s="7">
        <v>4085</v>
      </c>
      <c r="B4086" s="1">
        <v>43684</v>
      </c>
      <c r="C4086" s="6" t="s">
        <v>10</v>
      </c>
      <c r="D4086" s="6" t="s">
        <v>41</v>
      </c>
      <c r="E4086" s="6">
        <v>3</v>
      </c>
      <c r="F4086" s="6">
        <v>2</v>
      </c>
      <c r="G4086" s="6" t="s">
        <v>13</v>
      </c>
      <c r="H4086" s="6" t="s">
        <v>18</v>
      </c>
      <c r="I4086" s="6">
        <f>TabJogos[[#This Row],[PontosTime1]]-TabJogos[[#This Row],[PontosTime2]]</f>
        <v>1</v>
      </c>
    </row>
    <row r="4087" spans="1:9" ht="15" customHeight="1" x14ac:dyDescent="0.25">
      <c r="A4087" s="7">
        <v>4086</v>
      </c>
      <c r="B4087" s="1">
        <v>43684</v>
      </c>
      <c r="C4087" s="6" t="s">
        <v>18</v>
      </c>
      <c r="D4087" s="6" t="s">
        <v>10</v>
      </c>
      <c r="E4087" s="6">
        <v>2</v>
      </c>
      <c r="F4087" s="6">
        <v>6</v>
      </c>
      <c r="G4087" s="6" t="s">
        <v>41</v>
      </c>
      <c r="H4087" s="6" t="s">
        <v>13</v>
      </c>
      <c r="I4087" s="6">
        <f>TabJogos[[#This Row],[PontosTime1]]-TabJogos[[#This Row],[PontosTime2]]</f>
        <v>-4</v>
      </c>
    </row>
    <row r="4088" spans="1:9" ht="15" customHeight="1" x14ac:dyDescent="0.25">
      <c r="A4088" s="7">
        <v>4087</v>
      </c>
      <c r="B4088" s="1">
        <v>43684</v>
      </c>
      <c r="C4088" s="6" t="s">
        <v>18</v>
      </c>
      <c r="D4088" s="6" t="s">
        <v>41</v>
      </c>
      <c r="E4088" s="6">
        <v>6</v>
      </c>
      <c r="F4088" s="6">
        <v>0</v>
      </c>
      <c r="G4088" s="6" t="s">
        <v>10</v>
      </c>
      <c r="H4088" s="6" t="s">
        <v>13</v>
      </c>
      <c r="I4088" s="6">
        <f>TabJogos[[#This Row],[PontosTime1]]-TabJogos[[#This Row],[PontosTime2]]</f>
        <v>6</v>
      </c>
    </row>
    <row r="4089" spans="1:9" ht="15" customHeight="1" x14ac:dyDescent="0.25">
      <c r="A4089" s="7">
        <v>4088</v>
      </c>
      <c r="B4089" s="1">
        <v>43684</v>
      </c>
      <c r="C4089" s="6" t="s">
        <v>18</v>
      </c>
      <c r="D4089" s="6" t="s">
        <v>13</v>
      </c>
      <c r="E4089" s="6">
        <v>3</v>
      </c>
      <c r="F4089" s="6">
        <v>2</v>
      </c>
      <c r="G4089" s="6" t="s">
        <v>32</v>
      </c>
      <c r="H4089" s="6" t="s">
        <v>41</v>
      </c>
      <c r="I4089" s="6">
        <f>TabJogos[[#This Row],[PontosTime1]]-TabJogos[[#This Row],[PontosTime2]]</f>
        <v>1</v>
      </c>
    </row>
    <row r="4090" spans="1:9" ht="15" customHeight="1" x14ac:dyDescent="0.25">
      <c r="A4090" s="7">
        <v>4089</v>
      </c>
      <c r="B4090" s="1">
        <v>43684</v>
      </c>
      <c r="C4090" s="6" t="s">
        <v>13</v>
      </c>
      <c r="D4090" s="6" t="s">
        <v>41</v>
      </c>
      <c r="E4090" s="6">
        <v>2</v>
      </c>
      <c r="F4090" s="6">
        <v>3</v>
      </c>
      <c r="G4090" s="6" t="s">
        <v>18</v>
      </c>
      <c r="H4090" s="6" t="s">
        <v>17</v>
      </c>
      <c r="I4090" s="6">
        <f>TabJogos[[#This Row],[PontosTime1]]-TabJogos[[#This Row],[PontosTime2]]</f>
        <v>-1</v>
      </c>
    </row>
    <row r="4091" spans="1:9" ht="15" customHeight="1" x14ac:dyDescent="0.25">
      <c r="A4091" s="7">
        <v>4090</v>
      </c>
      <c r="B4091" s="1">
        <v>43684</v>
      </c>
      <c r="C4091" s="6" t="s">
        <v>13</v>
      </c>
      <c r="D4091" s="6" t="s">
        <v>18</v>
      </c>
      <c r="E4091" s="6">
        <v>3</v>
      </c>
      <c r="F4091" s="6">
        <v>2</v>
      </c>
      <c r="G4091" s="6" t="s">
        <v>17</v>
      </c>
      <c r="H4091" s="6" t="s">
        <v>41</v>
      </c>
      <c r="I4091" s="6">
        <f>TabJogos[[#This Row],[PontosTime1]]-TabJogos[[#This Row],[PontosTime2]]</f>
        <v>1</v>
      </c>
    </row>
    <row r="4092" spans="1:9" ht="15" customHeight="1" x14ac:dyDescent="0.25">
      <c r="A4092" s="7">
        <v>4091</v>
      </c>
      <c r="B4092" s="1">
        <v>43685</v>
      </c>
      <c r="C4092" s="6" t="s">
        <v>18</v>
      </c>
      <c r="D4092" s="6" t="s">
        <v>10</v>
      </c>
      <c r="E4092" s="6">
        <v>1</v>
      </c>
      <c r="F4092" s="6">
        <v>4</v>
      </c>
      <c r="G4092" s="6" t="s">
        <v>12</v>
      </c>
      <c r="H4092" s="6" t="s">
        <v>13</v>
      </c>
      <c r="I4092" s="6">
        <f>TabJogos[[#This Row],[PontosTime1]]-TabJogos[[#This Row],[PontosTime2]]</f>
        <v>-3</v>
      </c>
    </row>
    <row r="4093" spans="1:9" ht="15" customHeight="1" x14ac:dyDescent="0.25">
      <c r="A4093" s="7">
        <v>4092</v>
      </c>
      <c r="B4093" s="1">
        <v>43685</v>
      </c>
      <c r="C4093" s="6" t="s">
        <v>18</v>
      </c>
      <c r="D4093" s="6" t="s">
        <v>12</v>
      </c>
      <c r="E4093" s="6">
        <v>1</v>
      </c>
      <c r="F4093" s="6">
        <v>3</v>
      </c>
      <c r="G4093" s="6" t="s">
        <v>13</v>
      </c>
      <c r="H4093" s="6" t="s">
        <v>41</v>
      </c>
      <c r="I4093" s="6">
        <f>TabJogos[[#This Row],[PontosTime1]]-TabJogos[[#This Row],[PontosTime2]]</f>
        <v>-2</v>
      </c>
    </row>
    <row r="4094" spans="1:9" ht="15" customHeight="1" x14ac:dyDescent="0.25">
      <c r="A4094" s="7">
        <v>4093</v>
      </c>
      <c r="B4094" s="1">
        <v>43685</v>
      </c>
      <c r="C4094" s="6" t="s">
        <v>13</v>
      </c>
      <c r="D4094" s="6" t="s">
        <v>10</v>
      </c>
      <c r="E4094" s="6">
        <v>2</v>
      </c>
      <c r="F4094" s="6">
        <v>3</v>
      </c>
      <c r="G4094" s="6" t="s">
        <v>41</v>
      </c>
      <c r="H4094" s="6" t="s">
        <v>12</v>
      </c>
      <c r="I4094" s="6">
        <f>TabJogos[[#This Row],[PontosTime1]]-TabJogos[[#This Row],[PontosTime2]]</f>
        <v>-1</v>
      </c>
    </row>
    <row r="4095" spans="1:9" ht="15" customHeight="1" x14ac:dyDescent="0.25">
      <c r="A4095" s="7">
        <v>4094</v>
      </c>
      <c r="B4095" s="1">
        <v>43685</v>
      </c>
      <c r="C4095" s="6" t="s">
        <v>41</v>
      </c>
      <c r="D4095" s="6" t="s">
        <v>18</v>
      </c>
      <c r="E4095" s="6">
        <v>3</v>
      </c>
      <c r="F4095" s="6">
        <v>2</v>
      </c>
      <c r="G4095" s="6" t="s">
        <v>13</v>
      </c>
      <c r="H4095" s="6" t="s">
        <v>12</v>
      </c>
      <c r="I4095" s="6">
        <f>TabJogos[[#This Row],[PontosTime1]]-TabJogos[[#This Row],[PontosTime2]]</f>
        <v>1</v>
      </c>
    </row>
    <row r="4096" spans="1:9" ht="15" customHeight="1" x14ac:dyDescent="0.25">
      <c r="A4096" s="7">
        <v>4095</v>
      </c>
      <c r="B4096" s="1">
        <v>43685</v>
      </c>
      <c r="C4096" s="6" t="s">
        <v>13</v>
      </c>
      <c r="D4096" s="6" t="s">
        <v>18</v>
      </c>
      <c r="E4096" s="6">
        <v>4</v>
      </c>
      <c r="F4096" s="6">
        <v>0</v>
      </c>
      <c r="G4096" s="6" t="s">
        <v>41</v>
      </c>
      <c r="H4096" s="6" t="s">
        <v>10</v>
      </c>
      <c r="I4096" s="6">
        <f>TabJogos[[#This Row],[PontosTime1]]-TabJogos[[#This Row],[PontosTime2]]</f>
        <v>4</v>
      </c>
    </row>
    <row r="4097" spans="1:9" ht="15" customHeight="1" x14ac:dyDescent="0.25">
      <c r="A4097" s="7">
        <v>4096</v>
      </c>
      <c r="B4097" s="1">
        <v>43685</v>
      </c>
      <c r="C4097" s="6" t="s">
        <v>32</v>
      </c>
      <c r="D4097" s="6" t="s">
        <v>18</v>
      </c>
      <c r="E4097" s="6">
        <v>3</v>
      </c>
      <c r="F4097" s="6">
        <v>0</v>
      </c>
      <c r="G4097" s="6" t="s">
        <v>13</v>
      </c>
      <c r="H4097" s="6" t="s">
        <v>41</v>
      </c>
      <c r="I4097" s="6">
        <f>TabJogos[[#This Row],[PontosTime1]]-TabJogos[[#This Row],[PontosTime2]]</f>
        <v>3</v>
      </c>
    </row>
    <row r="4098" spans="1:9" ht="15" customHeight="1" x14ac:dyDescent="0.25">
      <c r="A4098" s="7">
        <v>4097</v>
      </c>
      <c r="B4098" s="1">
        <v>43685</v>
      </c>
      <c r="C4098" s="6" t="s">
        <v>13</v>
      </c>
      <c r="D4098" s="6" t="s">
        <v>32</v>
      </c>
      <c r="E4098" s="6">
        <v>3</v>
      </c>
      <c r="F4098" s="6">
        <v>1</v>
      </c>
      <c r="G4098" s="6" t="s">
        <v>41</v>
      </c>
      <c r="H4098" s="6" t="s">
        <v>18</v>
      </c>
      <c r="I4098" s="6">
        <f>TabJogos[[#This Row],[PontosTime1]]-TabJogos[[#This Row],[PontosTime2]]</f>
        <v>2</v>
      </c>
    </row>
    <row r="4099" spans="1:9" ht="15" customHeight="1" x14ac:dyDescent="0.25">
      <c r="A4099" s="7">
        <v>4098</v>
      </c>
      <c r="B4099" s="1">
        <v>43685</v>
      </c>
      <c r="C4099" s="6" t="s">
        <v>13</v>
      </c>
      <c r="D4099" s="6" t="s">
        <v>18</v>
      </c>
      <c r="E4099" s="6">
        <v>0</v>
      </c>
      <c r="F4099" s="6">
        <v>4</v>
      </c>
      <c r="G4099" s="6" t="s">
        <v>32</v>
      </c>
      <c r="H4099" s="6" t="s">
        <v>41</v>
      </c>
      <c r="I4099" s="6">
        <f>TabJogos[[#This Row],[PontosTime1]]-TabJogos[[#This Row],[PontosTime2]]</f>
        <v>-4</v>
      </c>
    </row>
    <row r="4100" spans="1:9" ht="15" customHeight="1" x14ac:dyDescent="0.25">
      <c r="A4100" s="7">
        <v>4099</v>
      </c>
      <c r="B4100" s="1">
        <v>43685</v>
      </c>
      <c r="C4100" s="6" t="s">
        <v>18</v>
      </c>
      <c r="D4100" s="6" t="s">
        <v>17</v>
      </c>
      <c r="E4100" s="6">
        <v>3</v>
      </c>
      <c r="F4100" s="6">
        <v>2</v>
      </c>
      <c r="G4100" s="6" t="s">
        <v>13</v>
      </c>
      <c r="H4100" s="6" t="s">
        <v>41</v>
      </c>
      <c r="I4100" s="6">
        <f>TabJogos[[#This Row],[PontosTime1]]-TabJogos[[#This Row],[PontosTime2]]</f>
        <v>1</v>
      </c>
    </row>
    <row r="4101" spans="1:9" ht="15" customHeight="1" x14ac:dyDescent="0.25">
      <c r="A4101" s="7">
        <v>4100</v>
      </c>
      <c r="B4101" s="1">
        <v>43685</v>
      </c>
      <c r="C4101" s="6" t="s">
        <v>13</v>
      </c>
      <c r="D4101" s="6" t="s">
        <v>18</v>
      </c>
      <c r="E4101" s="6">
        <v>3</v>
      </c>
      <c r="F4101" s="6">
        <v>0</v>
      </c>
      <c r="G4101" s="6" t="s">
        <v>41</v>
      </c>
      <c r="H4101" s="6" t="s">
        <v>17</v>
      </c>
      <c r="I4101" s="6">
        <f>TabJogos[[#This Row],[PontosTime1]]-TabJogos[[#This Row],[PontosTime2]]</f>
        <v>3</v>
      </c>
    </row>
    <row r="4102" spans="1:9" ht="15" customHeight="1" x14ac:dyDescent="0.25">
      <c r="A4102" s="7">
        <v>4101</v>
      </c>
      <c r="B4102" s="1">
        <v>43685</v>
      </c>
      <c r="C4102" s="6" t="s">
        <v>13</v>
      </c>
      <c r="D4102" s="6" t="s">
        <v>17</v>
      </c>
      <c r="E4102" s="6">
        <v>2</v>
      </c>
      <c r="F4102" s="6">
        <v>4</v>
      </c>
      <c r="G4102" s="6" t="s">
        <v>18</v>
      </c>
      <c r="H4102" s="6" t="s">
        <v>41</v>
      </c>
      <c r="I4102" s="6">
        <f>TabJogos[[#This Row],[PontosTime1]]-TabJogos[[#This Row],[PontosTime2]]</f>
        <v>-2</v>
      </c>
    </row>
    <row r="4103" spans="1:9" ht="15" customHeight="1" x14ac:dyDescent="0.25">
      <c r="A4103" s="7">
        <v>4102</v>
      </c>
      <c r="B4103" s="1">
        <v>43685</v>
      </c>
      <c r="C4103" s="6" t="s">
        <v>13</v>
      </c>
      <c r="D4103" s="6" t="s">
        <v>41</v>
      </c>
      <c r="E4103" s="6">
        <v>1</v>
      </c>
      <c r="F4103" s="6">
        <v>3</v>
      </c>
      <c r="G4103" s="6" t="s">
        <v>18</v>
      </c>
      <c r="H4103" s="6" t="s">
        <v>17</v>
      </c>
      <c r="I4103" s="6">
        <f>TabJogos[[#This Row],[PontosTime1]]-TabJogos[[#This Row],[PontosTime2]]</f>
        <v>-2</v>
      </c>
    </row>
    <row r="4104" spans="1:9" ht="15" customHeight="1" x14ac:dyDescent="0.25">
      <c r="A4104" s="7">
        <v>4103</v>
      </c>
      <c r="B4104" s="1">
        <v>43686</v>
      </c>
      <c r="C4104" s="6" t="s">
        <v>13</v>
      </c>
      <c r="D4104" s="6" t="s">
        <v>17</v>
      </c>
      <c r="E4104" s="6">
        <v>3</v>
      </c>
      <c r="F4104" s="6">
        <v>0</v>
      </c>
      <c r="G4104" s="6" t="s">
        <v>11</v>
      </c>
      <c r="H4104" s="6" t="s">
        <v>12</v>
      </c>
      <c r="I4104" s="6">
        <f>TabJogos[[#This Row],[PontosTime1]]-TabJogos[[#This Row],[PontosTime2]]</f>
        <v>3</v>
      </c>
    </row>
    <row r="4105" spans="1:9" ht="15" customHeight="1" x14ac:dyDescent="0.25">
      <c r="A4105" s="7">
        <v>4104</v>
      </c>
      <c r="B4105" s="1">
        <v>43686</v>
      </c>
      <c r="C4105" s="6" t="s">
        <v>13</v>
      </c>
      <c r="D4105" s="6" t="s">
        <v>12</v>
      </c>
      <c r="E4105" s="6">
        <v>1</v>
      </c>
      <c r="F4105" s="6">
        <v>3</v>
      </c>
      <c r="G4105" s="6" t="s">
        <v>11</v>
      </c>
      <c r="H4105" s="6" t="s">
        <v>17</v>
      </c>
      <c r="I4105" s="6">
        <f>TabJogos[[#This Row],[PontosTime1]]-TabJogos[[#This Row],[PontosTime2]]</f>
        <v>-2</v>
      </c>
    </row>
    <row r="4106" spans="1:9" ht="15" customHeight="1" x14ac:dyDescent="0.25">
      <c r="A4106" s="7">
        <v>4105</v>
      </c>
      <c r="B4106" s="1">
        <v>43686</v>
      </c>
      <c r="C4106" s="6" t="s">
        <v>11</v>
      </c>
      <c r="D4106" s="6" t="s">
        <v>18</v>
      </c>
      <c r="E4106" s="6">
        <v>1</v>
      </c>
      <c r="F4106" s="6">
        <v>4</v>
      </c>
      <c r="G4106" s="6" t="s">
        <v>12</v>
      </c>
      <c r="H4106" s="6" t="s">
        <v>17</v>
      </c>
      <c r="I4106" s="6">
        <f>TabJogos[[#This Row],[PontosTime1]]-TabJogos[[#This Row],[PontosTime2]]</f>
        <v>-3</v>
      </c>
    </row>
    <row r="4107" spans="1:9" ht="15" customHeight="1" x14ac:dyDescent="0.25">
      <c r="A4107" s="7">
        <v>4106</v>
      </c>
      <c r="B4107" s="1">
        <v>43686</v>
      </c>
      <c r="C4107" s="6" t="s">
        <v>17</v>
      </c>
      <c r="D4107" s="6" t="s">
        <v>13</v>
      </c>
      <c r="E4107" s="6">
        <v>3</v>
      </c>
      <c r="F4107" s="6">
        <v>2</v>
      </c>
      <c r="G4107" s="6" t="s">
        <v>12</v>
      </c>
      <c r="H4107" s="6" t="s">
        <v>41</v>
      </c>
      <c r="I4107" s="6">
        <f>TabJogos[[#This Row],[PontosTime1]]-TabJogos[[#This Row],[PontosTime2]]</f>
        <v>1</v>
      </c>
    </row>
    <row r="4108" spans="1:9" ht="15" customHeight="1" x14ac:dyDescent="0.25">
      <c r="A4108" s="7">
        <v>4107</v>
      </c>
      <c r="B4108" s="1">
        <v>43686</v>
      </c>
      <c r="C4108" s="6" t="s">
        <v>38</v>
      </c>
      <c r="D4108" s="6" t="s">
        <v>17</v>
      </c>
      <c r="E4108" s="6">
        <v>3</v>
      </c>
      <c r="F4108" s="6">
        <v>2</v>
      </c>
      <c r="G4108" s="6" t="s">
        <v>11</v>
      </c>
      <c r="H4108" s="6" t="s">
        <v>13</v>
      </c>
      <c r="I4108" s="6">
        <f>TabJogos[[#This Row],[PontosTime1]]-TabJogos[[#This Row],[PontosTime2]]</f>
        <v>1</v>
      </c>
    </row>
    <row r="4109" spans="1:9" ht="15" customHeight="1" x14ac:dyDescent="0.25">
      <c r="A4109" s="7">
        <v>4108</v>
      </c>
      <c r="B4109" s="1">
        <v>43686</v>
      </c>
      <c r="C4109" s="6" t="s">
        <v>13</v>
      </c>
      <c r="D4109" s="6" t="s">
        <v>18</v>
      </c>
      <c r="E4109" s="6">
        <v>3</v>
      </c>
      <c r="F4109" s="6">
        <v>0</v>
      </c>
      <c r="G4109" s="6" t="s">
        <v>11</v>
      </c>
      <c r="H4109" s="6" t="s">
        <v>17</v>
      </c>
      <c r="I4109" s="6">
        <f>TabJogos[[#This Row],[PontosTime1]]-TabJogos[[#This Row],[PontosTime2]]</f>
        <v>3</v>
      </c>
    </row>
    <row r="4110" spans="1:9" ht="15" customHeight="1" x14ac:dyDescent="0.25">
      <c r="A4110" s="7">
        <v>4109</v>
      </c>
      <c r="B4110" s="1">
        <v>43686</v>
      </c>
      <c r="C4110" s="6" t="s">
        <v>11</v>
      </c>
      <c r="D4110" s="6" t="s">
        <v>18</v>
      </c>
      <c r="E4110" s="6">
        <v>4</v>
      </c>
      <c r="F4110" s="6">
        <v>2</v>
      </c>
      <c r="G4110" s="6" t="s">
        <v>13</v>
      </c>
      <c r="H4110" s="6" t="s">
        <v>41</v>
      </c>
      <c r="I4110" s="6">
        <f>TabJogos[[#This Row],[PontosTime1]]-TabJogos[[#This Row],[PontosTime2]]</f>
        <v>2</v>
      </c>
    </row>
    <row r="4111" spans="1:9" ht="15" customHeight="1" x14ac:dyDescent="0.25">
      <c r="A4111" s="7">
        <v>4110</v>
      </c>
      <c r="B4111" s="1">
        <v>43686</v>
      </c>
      <c r="C4111" s="6" t="s">
        <v>11</v>
      </c>
      <c r="D4111" s="6" t="s">
        <v>41</v>
      </c>
      <c r="E4111" s="6">
        <v>0</v>
      </c>
      <c r="F4111" s="6">
        <v>3</v>
      </c>
      <c r="G4111" s="6" t="s">
        <v>13</v>
      </c>
      <c r="H4111" s="6" t="s">
        <v>18</v>
      </c>
      <c r="I4111" s="6">
        <f>TabJogos[[#This Row],[PontosTime1]]-TabJogos[[#This Row],[PontosTime2]]</f>
        <v>-3</v>
      </c>
    </row>
    <row r="4112" spans="1:9" ht="15" customHeight="1" x14ac:dyDescent="0.25">
      <c r="A4112" s="7">
        <v>4111</v>
      </c>
      <c r="B4112" s="1">
        <v>43686</v>
      </c>
      <c r="C4112" s="6" t="s">
        <v>11</v>
      </c>
      <c r="D4112" s="6" t="s">
        <v>13</v>
      </c>
      <c r="E4112" s="6">
        <v>1</v>
      </c>
      <c r="F4112" s="6">
        <v>3</v>
      </c>
      <c r="G4112" s="6" t="s">
        <v>18</v>
      </c>
      <c r="H4112" s="6" t="s">
        <v>41</v>
      </c>
      <c r="I4112" s="6">
        <f>TabJogos[[#This Row],[PontosTime1]]-TabJogos[[#This Row],[PontosTime2]]</f>
        <v>-2</v>
      </c>
    </row>
    <row r="4113" spans="1:9" ht="15" customHeight="1" x14ac:dyDescent="0.25">
      <c r="A4113" s="7">
        <v>4112</v>
      </c>
      <c r="B4113" s="1">
        <v>43686</v>
      </c>
      <c r="C4113" s="6" t="s">
        <v>11</v>
      </c>
      <c r="D4113" s="6" t="s">
        <v>18</v>
      </c>
      <c r="E4113" s="6">
        <v>3</v>
      </c>
      <c r="F4113" s="6">
        <v>0</v>
      </c>
      <c r="G4113" s="6" t="s">
        <v>13</v>
      </c>
      <c r="H4113" s="6" t="s">
        <v>41</v>
      </c>
      <c r="I4113" s="6">
        <f>TabJogos[[#This Row],[PontosTime1]]-TabJogos[[#This Row],[PontosTime2]]</f>
        <v>3</v>
      </c>
    </row>
    <row r="4114" spans="1:9" ht="15" customHeight="1" x14ac:dyDescent="0.25">
      <c r="A4114" s="7">
        <v>4113</v>
      </c>
      <c r="B4114" s="1">
        <v>43689</v>
      </c>
      <c r="C4114" s="6" t="s">
        <v>32</v>
      </c>
      <c r="D4114" s="6" t="s">
        <v>41</v>
      </c>
      <c r="E4114" s="6">
        <v>3</v>
      </c>
      <c r="F4114" s="6">
        <v>1</v>
      </c>
      <c r="G4114" s="6" t="s">
        <v>17</v>
      </c>
      <c r="H4114" s="6" t="s">
        <v>11</v>
      </c>
      <c r="I4114" s="6">
        <f>TabJogos[[#This Row],[PontosTime1]]-TabJogos[[#This Row],[PontosTime2]]</f>
        <v>2</v>
      </c>
    </row>
    <row r="4115" spans="1:9" ht="15" customHeight="1" x14ac:dyDescent="0.25">
      <c r="A4115" s="7">
        <v>4114</v>
      </c>
      <c r="B4115" s="1">
        <v>43689</v>
      </c>
      <c r="C4115" s="6" t="s">
        <v>41</v>
      </c>
      <c r="D4115" s="6" t="s">
        <v>18</v>
      </c>
      <c r="E4115" s="6">
        <v>3</v>
      </c>
      <c r="F4115" s="6">
        <v>0</v>
      </c>
      <c r="G4115" s="6" t="s">
        <v>17</v>
      </c>
      <c r="H4115" s="6" t="s">
        <v>32</v>
      </c>
      <c r="I4115" s="6">
        <f>TabJogos[[#This Row],[PontosTime1]]-TabJogos[[#This Row],[PontosTime2]]</f>
        <v>3</v>
      </c>
    </row>
    <row r="4116" spans="1:9" ht="15" customHeight="1" x14ac:dyDescent="0.25">
      <c r="A4116" s="7">
        <v>4115</v>
      </c>
      <c r="B4116" s="1">
        <v>43689</v>
      </c>
      <c r="C4116" s="6" t="s">
        <v>11</v>
      </c>
      <c r="D4116" s="6" t="s">
        <v>41</v>
      </c>
      <c r="E4116" s="6">
        <v>1</v>
      </c>
      <c r="F4116" s="6">
        <v>5</v>
      </c>
      <c r="G4116" s="6" t="s">
        <v>32</v>
      </c>
      <c r="H4116" s="6" t="s">
        <v>18</v>
      </c>
      <c r="I4116" s="6">
        <f>TabJogos[[#This Row],[PontosTime1]]-TabJogos[[#This Row],[PontosTime2]]</f>
        <v>-4</v>
      </c>
    </row>
    <row r="4117" spans="1:9" ht="15" customHeight="1" x14ac:dyDescent="0.25">
      <c r="A4117" s="7">
        <v>4116</v>
      </c>
      <c r="B4117" s="1">
        <v>43689</v>
      </c>
      <c r="C4117" s="6" t="s">
        <v>41</v>
      </c>
      <c r="D4117" s="6" t="s">
        <v>32</v>
      </c>
      <c r="E4117" s="6">
        <v>3</v>
      </c>
      <c r="F4117" s="6">
        <v>1</v>
      </c>
      <c r="G4117" s="6" t="s">
        <v>18</v>
      </c>
      <c r="H4117" s="6" t="s">
        <v>17</v>
      </c>
      <c r="I4117" s="6">
        <f>TabJogos[[#This Row],[PontosTime1]]-TabJogos[[#This Row],[PontosTime2]]</f>
        <v>2</v>
      </c>
    </row>
    <row r="4118" spans="1:9" ht="15" customHeight="1" x14ac:dyDescent="0.25">
      <c r="A4118" s="7">
        <v>4117</v>
      </c>
      <c r="B4118" s="1">
        <v>43689</v>
      </c>
      <c r="C4118" s="6" t="s">
        <v>17</v>
      </c>
      <c r="D4118" s="6" t="s">
        <v>41</v>
      </c>
      <c r="E4118" s="6">
        <v>3</v>
      </c>
      <c r="F4118" s="6">
        <v>0</v>
      </c>
      <c r="G4118" s="6" t="s">
        <v>11</v>
      </c>
      <c r="H4118" s="6" t="s">
        <v>32</v>
      </c>
      <c r="I4118" s="6">
        <f>TabJogos[[#This Row],[PontosTime1]]-TabJogos[[#This Row],[PontosTime2]]</f>
        <v>3</v>
      </c>
    </row>
    <row r="4119" spans="1:9" ht="15" customHeight="1" x14ac:dyDescent="0.25">
      <c r="A4119" s="7">
        <v>4118</v>
      </c>
      <c r="B4119" s="1">
        <v>43689</v>
      </c>
      <c r="C4119" s="6" t="s">
        <v>18</v>
      </c>
      <c r="D4119" s="6" t="s">
        <v>41</v>
      </c>
      <c r="E4119" s="6">
        <v>3</v>
      </c>
      <c r="F4119" s="6">
        <v>0</v>
      </c>
      <c r="G4119" s="6" t="s">
        <v>11</v>
      </c>
      <c r="H4119" s="6" t="s">
        <v>17</v>
      </c>
      <c r="I4119" s="6">
        <f>TabJogos[[#This Row],[PontosTime1]]-TabJogos[[#This Row],[PontosTime2]]</f>
        <v>3</v>
      </c>
    </row>
    <row r="4120" spans="1:9" ht="15" customHeight="1" x14ac:dyDescent="0.25">
      <c r="A4120" s="7">
        <v>4119</v>
      </c>
      <c r="B4120" s="1">
        <v>43689</v>
      </c>
      <c r="C4120" s="6" t="s">
        <v>11</v>
      </c>
      <c r="D4120" s="6" t="s">
        <v>41</v>
      </c>
      <c r="E4120" s="6">
        <v>2</v>
      </c>
      <c r="F4120" s="6">
        <v>3</v>
      </c>
      <c r="G4120" s="6" t="s">
        <v>18</v>
      </c>
      <c r="H4120" s="6" t="s">
        <v>17</v>
      </c>
      <c r="I4120" s="6">
        <f>TabJogos[[#This Row],[PontosTime1]]-TabJogos[[#This Row],[PontosTime2]]</f>
        <v>-1</v>
      </c>
    </row>
    <row r="4121" spans="1:9" ht="15" customHeight="1" x14ac:dyDescent="0.25">
      <c r="A4121" s="7">
        <v>4120</v>
      </c>
      <c r="B4121" s="1">
        <v>43690</v>
      </c>
      <c r="C4121" s="6" t="s">
        <v>17</v>
      </c>
      <c r="D4121" s="6" t="s">
        <v>10</v>
      </c>
      <c r="E4121" s="6">
        <v>3</v>
      </c>
      <c r="F4121" s="6">
        <v>2</v>
      </c>
      <c r="G4121" s="6" t="s">
        <v>41</v>
      </c>
      <c r="H4121" s="6" t="s">
        <v>11</v>
      </c>
      <c r="I4121" s="6">
        <f>TabJogos[[#This Row],[PontosTime1]]-TabJogos[[#This Row],[PontosTime2]]</f>
        <v>1</v>
      </c>
    </row>
    <row r="4122" spans="1:9" ht="15" customHeight="1" x14ac:dyDescent="0.25">
      <c r="A4122" s="7">
        <v>4121</v>
      </c>
      <c r="B4122" s="1">
        <v>43690</v>
      </c>
      <c r="C4122" s="6" t="s">
        <v>10</v>
      </c>
      <c r="D4122" s="6" t="s">
        <v>11</v>
      </c>
      <c r="E4122" s="6">
        <v>3</v>
      </c>
      <c r="F4122" s="6">
        <v>0</v>
      </c>
      <c r="G4122" s="6" t="s">
        <v>17</v>
      </c>
      <c r="H4122" s="6" t="s">
        <v>12</v>
      </c>
      <c r="I4122" s="6">
        <f>TabJogos[[#This Row],[PontosTime1]]-TabJogos[[#This Row],[PontosTime2]]</f>
        <v>3</v>
      </c>
    </row>
    <row r="4123" spans="1:9" ht="15" customHeight="1" x14ac:dyDescent="0.25">
      <c r="A4123" s="7">
        <v>4122</v>
      </c>
      <c r="B4123" s="1">
        <v>43690</v>
      </c>
      <c r="C4123" s="6" t="s">
        <v>41</v>
      </c>
      <c r="D4123" s="6" t="s">
        <v>10</v>
      </c>
      <c r="E4123" s="6">
        <v>4</v>
      </c>
      <c r="F4123" s="6">
        <v>0</v>
      </c>
      <c r="G4123" s="6" t="s">
        <v>17</v>
      </c>
      <c r="H4123" s="6" t="s">
        <v>11</v>
      </c>
      <c r="I4123" s="6">
        <f>TabJogos[[#This Row],[PontosTime1]]-TabJogos[[#This Row],[PontosTime2]]</f>
        <v>4</v>
      </c>
    </row>
    <row r="4124" spans="1:9" ht="15" customHeight="1" x14ac:dyDescent="0.25">
      <c r="A4124" s="7">
        <v>4123</v>
      </c>
      <c r="B4124" s="1">
        <v>43690</v>
      </c>
      <c r="C4124" s="6" t="s">
        <v>17</v>
      </c>
      <c r="D4124" s="6" t="s">
        <v>41</v>
      </c>
      <c r="E4124" s="6">
        <v>1</v>
      </c>
      <c r="F4124" s="6">
        <v>3</v>
      </c>
      <c r="G4124" s="6" t="s">
        <v>12</v>
      </c>
      <c r="H4124" s="6" t="s">
        <v>10</v>
      </c>
      <c r="I4124" s="6">
        <f>TabJogos[[#This Row],[PontosTime1]]-TabJogos[[#This Row],[PontosTime2]]</f>
        <v>-2</v>
      </c>
    </row>
    <row r="4125" spans="1:9" ht="15" customHeight="1" x14ac:dyDescent="0.25">
      <c r="A4125" s="7">
        <v>4124</v>
      </c>
      <c r="B4125" s="1">
        <v>43690</v>
      </c>
      <c r="C4125" s="6" t="s">
        <v>27</v>
      </c>
      <c r="D4125" s="6" t="s">
        <v>10</v>
      </c>
      <c r="E4125" s="6">
        <v>3</v>
      </c>
      <c r="F4125" s="6">
        <v>0</v>
      </c>
      <c r="G4125" s="6" t="s">
        <v>12</v>
      </c>
      <c r="H4125" s="6" t="s">
        <v>11</v>
      </c>
      <c r="I4125" s="6">
        <f>TabJogos[[#This Row],[PontosTime1]]-TabJogos[[#This Row],[PontosTime2]]</f>
        <v>3</v>
      </c>
    </row>
    <row r="4126" spans="1:9" ht="15" customHeight="1" x14ac:dyDescent="0.25">
      <c r="A4126" s="7">
        <v>4125</v>
      </c>
      <c r="B4126" s="1">
        <v>43690</v>
      </c>
      <c r="C4126" s="6" t="s">
        <v>32</v>
      </c>
      <c r="D4126" s="6" t="s">
        <v>10</v>
      </c>
      <c r="E4126" s="6">
        <v>4</v>
      </c>
      <c r="F4126" s="6">
        <v>0</v>
      </c>
      <c r="G4126" s="6" t="s">
        <v>17</v>
      </c>
      <c r="H4126" s="6" t="s">
        <v>27</v>
      </c>
      <c r="I4126" s="6">
        <f>TabJogos[[#This Row],[PontosTime1]]-TabJogos[[#This Row],[PontosTime2]]</f>
        <v>4</v>
      </c>
    </row>
    <row r="4127" spans="1:9" ht="15" customHeight="1" x14ac:dyDescent="0.25">
      <c r="A4127" s="7">
        <v>4126</v>
      </c>
      <c r="B4127" s="1">
        <v>43690</v>
      </c>
      <c r="C4127" s="6" t="s">
        <v>10</v>
      </c>
      <c r="D4127" s="6" t="s">
        <v>9</v>
      </c>
      <c r="E4127" s="6">
        <v>3</v>
      </c>
      <c r="F4127" s="6">
        <v>1</v>
      </c>
      <c r="G4127" s="6" t="s">
        <v>41</v>
      </c>
      <c r="H4127" s="6" t="s">
        <v>32</v>
      </c>
      <c r="I4127" s="6">
        <f>TabJogos[[#This Row],[PontosTime1]]-TabJogos[[#This Row],[PontosTime2]]</f>
        <v>2</v>
      </c>
    </row>
    <row r="4128" spans="1:9" ht="15" customHeight="1" x14ac:dyDescent="0.25">
      <c r="A4128" s="7">
        <v>4127</v>
      </c>
      <c r="B4128" s="1">
        <v>43690</v>
      </c>
      <c r="C4128" s="6" t="s">
        <v>10</v>
      </c>
      <c r="D4128" s="6" t="s">
        <v>11</v>
      </c>
      <c r="E4128" s="6">
        <v>3</v>
      </c>
      <c r="F4128" s="6">
        <v>0</v>
      </c>
      <c r="G4128" s="6" t="s">
        <v>27</v>
      </c>
      <c r="H4128" s="6" t="s">
        <v>9</v>
      </c>
      <c r="I4128" s="6">
        <f>TabJogos[[#This Row],[PontosTime1]]-TabJogos[[#This Row],[PontosTime2]]</f>
        <v>3</v>
      </c>
    </row>
    <row r="4129" spans="1:9" ht="15" customHeight="1" x14ac:dyDescent="0.25">
      <c r="A4129" s="7">
        <v>4128</v>
      </c>
      <c r="B4129" s="1">
        <v>43690</v>
      </c>
      <c r="C4129" s="6" t="s">
        <v>17</v>
      </c>
      <c r="D4129" s="6" t="s">
        <v>11</v>
      </c>
      <c r="E4129" s="6">
        <v>1</v>
      </c>
      <c r="F4129" s="6">
        <v>3</v>
      </c>
      <c r="G4129" s="6" t="s">
        <v>41</v>
      </c>
      <c r="H4129" s="6" t="s">
        <v>9</v>
      </c>
      <c r="I4129" s="6">
        <f>TabJogos[[#This Row],[PontosTime1]]-TabJogos[[#This Row],[PontosTime2]]</f>
        <v>-2</v>
      </c>
    </row>
    <row r="4130" spans="1:9" ht="15" customHeight="1" x14ac:dyDescent="0.25">
      <c r="A4130" s="7">
        <v>4129</v>
      </c>
      <c r="B4130" s="1">
        <v>43690</v>
      </c>
      <c r="C4130" s="6" t="s">
        <v>11</v>
      </c>
      <c r="D4130" s="6" t="s">
        <v>9</v>
      </c>
      <c r="E4130" s="6">
        <v>3</v>
      </c>
      <c r="F4130" s="6">
        <v>0</v>
      </c>
      <c r="G4130" s="6" t="s">
        <v>17</v>
      </c>
      <c r="H4130" s="6" t="s">
        <v>41</v>
      </c>
      <c r="I4130" s="6">
        <f>TabJogos[[#This Row],[PontosTime1]]-TabJogos[[#This Row],[PontosTime2]]</f>
        <v>3</v>
      </c>
    </row>
    <row r="4131" spans="1:9" ht="15" customHeight="1" x14ac:dyDescent="0.25">
      <c r="A4131" s="7">
        <v>4130</v>
      </c>
      <c r="B4131" s="1">
        <v>43690</v>
      </c>
      <c r="C4131" s="6" t="s">
        <v>11</v>
      </c>
      <c r="D4131" s="6" t="s">
        <v>41</v>
      </c>
      <c r="E4131" s="6">
        <v>4</v>
      </c>
      <c r="F4131" s="6">
        <v>0</v>
      </c>
      <c r="G4131" s="6" t="s">
        <v>9</v>
      </c>
      <c r="H4131" s="6" t="s">
        <v>17</v>
      </c>
      <c r="I4131" s="6">
        <f>TabJogos[[#This Row],[PontosTime1]]-TabJogos[[#This Row],[PontosTime2]]</f>
        <v>4</v>
      </c>
    </row>
    <row r="4132" spans="1:9" ht="15" customHeight="1" x14ac:dyDescent="0.25">
      <c r="A4132" s="7">
        <v>4131</v>
      </c>
      <c r="B4132" s="1">
        <v>43691</v>
      </c>
      <c r="C4132" s="6" t="s">
        <v>10</v>
      </c>
      <c r="D4132" s="6" t="s">
        <v>9</v>
      </c>
      <c r="E4132" s="6">
        <v>3</v>
      </c>
      <c r="F4132" s="6">
        <v>2</v>
      </c>
      <c r="G4132" s="6" t="s">
        <v>11</v>
      </c>
      <c r="H4132" s="6" t="s">
        <v>12</v>
      </c>
      <c r="I4132" s="6">
        <f>TabJogos[[#This Row],[PontosTime1]]-TabJogos[[#This Row],[PontosTime2]]</f>
        <v>1</v>
      </c>
    </row>
    <row r="4133" spans="1:9" ht="15" customHeight="1" x14ac:dyDescent="0.25">
      <c r="A4133" s="7">
        <v>4132</v>
      </c>
      <c r="B4133" s="1">
        <v>43691</v>
      </c>
      <c r="C4133" s="6" t="s">
        <v>41</v>
      </c>
      <c r="D4133" s="6" t="s">
        <v>9</v>
      </c>
      <c r="E4133" s="6">
        <v>3</v>
      </c>
      <c r="F4133" s="6">
        <v>1</v>
      </c>
      <c r="G4133" s="6" t="s">
        <v>10</v>
      </c>
      <c r="H4133" s="6" t="s">
        <v>12</v>
      </c>
      <c r="I4133" s="6">
        <f>TabJogos[[#This Row],[PontosTime1]]-TabJogos[[#This Row],[PontosTime2]]</f>
        <v>2</v>
      </c>
    </row>
    <row r="4134" spans="1:9" ht="15" customHeight="1" x14ac:dyDescent="0.25">
      <c r="A4134" s="7">
        <v>4133</v>
      </c>
      <c r="B4134" s="1">
        <v>43691</v>
      </c>
      <c r="C4134" s="6" t="s">
        <v>41</v>
      </c>
      <c r="D4134" s="6" t="s">
        <v>11</v>
      </c>
      <c r="E4134" s="6">
        <v>2</v>
      </c>
      <c r="F4134" s="6">
        <v>3</v>
      </c>
      <c r="G4134" s="6" t="s">
        <v>12</v>
      </c>
      <c r="H4134" s="6" t="s">
        <v>9</v>
      </c>
      <c r="I4134" s="6">
        <f>TabJogos[[#This Row],[PontosTime1]]-TabJogos[[#This Row],[PontosTime2]]</f>
        <v>-1</v>
      </c>
    </row>
    <row r="4135" spans="1:9" ht="15" customHeight="1" x14ac:dyDescent="0.25">
      <c r="A4135" s="7">
        <v>4134</v>
      </c>
      <c r="B4135" s="1">
        <v>43691</v>
      </c>
      <c r="C4135" s="6" t="s">
        <v>18</v>
      </c>
      <c r="D4135" s="6" t="s">
        <v>9</v>
      </c>
      <c r="E4135" s="6">
        <v>3</v>
      </c>
      <c r="F4135" s="6">
        <v>1</v>
      </c>
      <c r="G4135" s="6" t="s">
        <v>12</v>
      </c>
      <c r="H4135" s="6" t="s">
        <v>10</v>
      </c>
      <c r="I4135" s="6">
        <f>TabJogos[[#This Row],[PontosTime1]]-TabJogos[[#This Row],[PontosTime2]]</f>
        <v>2</v>
      </c>
    </row>
    <row r="4136" spans="1:9" ht="15" customHeight="1" x14ac:dyDescent="0.25">
      <c r="A4136" s="7">
        <v>4135</v>
      </c>
      <c r="B4136" s="1">
        <v>43691</v>
      </c>
      <c r="C4136" s="6" t="s">
        <v>9</v>
      </c>
      <c r="D4136" s="6" t="s">
        <v>11</v>
      </c>
      <c r="E4136" s="6">
        <v>4</v>
      </c>
      <c r="F4136" s="6">
        <v>1</v>
      </c>
      <c r="G4136" s="6" t="s">
        <v>18</v>
      </c>
      <c r="H4136" s="6" t="s">
        <v>41</v>
      </c>
      <c r="I4136" s="6">
        <f>TabJogos[[#This Row],[PontosTime1]]-TabJogos[[#This Row],[PontosTime2]]</f>
        <v>3</v>
      </c>
    </row>
    <row r="4137" spans="1:9" ht="15" customHeight="1" x14ac:dyDescent="0.25">
      <c r="A4137" s="7">
        <v>4136</v>
      </c>
      <c r="B4137" s="1">
        <v>43691</v>
      </c>
      <c r="C4137" s="6" t="s">
        <v>41</v>
      </c>
      <c r="D4137" s="6" t="s">
        <v>9</v>
      </c>
      <c r="E4137" s="6">
        <v>3</v>
      </c>
      <c r="F4137" s="6">
        <v>1</v>
      </c>
      <c r="G4137" s="6" t="s">
        <v>18</v>
      </c>
      <c r="H4137" s="6" t="s">
        <v>11</v>
      </c>
      <c r="I4137" s="6">
        <f>TabJogos[[#This Row],[PontosTime1]]-TabJogos[[#This Row],[PontosTime2]]</f>
        <v>2</v>
      </c>
    </row>
    <row r="4138" spans="1:9" ht="15" customHeight="1" x14ac:dyDescent="0.25">
      <c r="A4138" s="7">
        <v>4137</v>
      </c>
      <c r="B4138" s="1">
        <v>43691</v>
      </c>
      <c r="C4138" s="6" t="s">
        <v>41</v>
      </c>
      <c r="D4138" s="6" t="s">
        <v>11</v>
      </c>
      <c r="E4138" s="6">
        <v>5</v>
      </c>
      <c r="F4138" s="6">
        <v>0</v>
      </c>
      <c r="G4138" s="6" t="s">
        <v>9</v>
      </c>
      <c r="H4138" s="6" t="s">
        <v>18</v>
      </c>
      <c r="I4138" s="6">
        <f>TabJogos[[#This Row],[PontosTime1]]-TabJogos[[#This Row],[PontosTime2]]</f>
        <v>5</v>
      </c>
    </row>
    <row r="4139" spans="1:9" ht="15" customHeight="1" x14ac:dyDescent="0.25">
      <c r="A4139" s="7">
        <v>4138</v>
      </c>
      <c r="B4139" s="1">
        <v>43691</v>
      </c>
      <c r="C4139" s="6" t="s">
        <v>11</v>
      </c>
      <c r="D4139" s="6" t="s">
        <v>9</v>
      </c>
      <c r="E4139" s="6">
        <v>3</v>
      </c>
      <c r="F4139" s="6">
        <v>1</v>
      </c>
      <c r="G4139" s="6" t="s">
        <v>41</v>
      </c>
      <c r="H4139" s="6" t="s">
        <v>17</v>
      </c>
      <c r="I4139" s="6">
        <f>TabJogos[[#This Row],[PontosTime1]]-TabJogos[[#This Row],[PontosTime2]]</f>
        <v>2</v>
      </c>
    </row>
    <row r="4140" spans="1:9" ht="15" customHeight="1" x14ac:dyDescent="0.25">
      <c r="A4140" s="7">
        <v>4139</v>
      </c>
      <c r="B4140" s="1">
        <v>43691</v>
      </c>
      <c r="C4140" s="6" t="s">
        <v>11</v>
      </c>
      <c r="D4140" s="6" t="s">
        <v>18</v>
      </c>
      <c r="E4140" s="6">
        <v>4</v>
      </c>
      <c r="F4140" s="6">
        <v>2</v>
      </c>
      <c r="G4140" s="6" t="s">
        <v>9</v>
      </c>
      <c r="H4140" s="6" t="s">
        <v>17</v>
      </c>
      <c r="I4140" s="6">
        <f>TabJogos[[#This Row],[PontosTime1]]-TabJogos[[#This Row],[PontosTime2]]</f>
        <v>2</v>
      </c>
    </row>
    <row r="4141" spans="1:9" ht="15" customHeight="1" x14ac:dyDescent="0.25">
      <c r="A4141" s="7">
        <v>4140</v>
      </c>
      <c r="B4141" s="1">
        <v>43691</v>
      </c>
      <c r="C4141" s="6" t="s">
        <v>9</v>
      </c>
      <c r="D4141" s="6" t="s">
        <v>18</v>
      </c>
      <c r="E4141" s="6">
        <v>4</v>
      </c>
      <c r="F4141" s="6">
        <v>0</v>
      </c>
      <c r="G4141" s="6" t="s">
        <v>11</v>
      </c>
      <c r="H4141" s="6" t="s">
        <v>17</v>
      </c>
      <c r="I4141" s="6">
        <f>TabJogos[[#This Row],[PontosTime1]]-TabJogos[[#This Row],[PontosTime2]]</f>
        <v>4</v>
      </c>
    </row>
    <row r="4142" spans="1:9" ht="15" customHeight="1" x14ac:dyDescent="0.25">
      <c r="A4142" s="7">
        <v>4141</v>
      </c>
      <c r="B4142" s="1">
        <v>43691</v>
      </c>
      <c r="C4142" s="6" t="s">
        <v>9</v>
      </c>
      <c r="D4142" s="6" t="s">
        <v>11</v>
      </c>
      <c r="E4142" s="6">
        <v>3</v>
      </c>
      <c r="F4142" s="6">
        <v>1</v>
      </c>
      <c r="G4142" s="6" t="s">
        <v>17</v>
      </c>
      <c r="H4142" s="6" t="s">
        <v>18</v>
      </c>
      <c r="I4142" s="6">
        <f>TabJogos[[#This Row],[PontosTime1]]-TabJogos[[#This Row],[PontosTime2]]</f>
        <v>2</v>
      </c>
    </row>
    <row r="4143" spans="1:9" ht="15" customHeight="1" x14ac:dyDescent="0.25">
      <c r="A4143" s="7">
        <v>4142</v>
      </c>
      <c r="B4143" s="1">
        <v>43692</v>
      </c>
      <c r="C4143" s="6" t="s">
        <v>27</v>
      </c>
      <c r="D4143" s="6" t="s">
        <v>32</v>
      </c>
      <c r="E4143" s="6">
        <v>3</v>
      </c>
      <c r="F4143" s="6">
        <v>0</v>
      </c>
      <c r="G4143" s="6" t="s">
        <v>18</v>
      </c>
      <c r="H4143" s="6" t="s">
        <v>41</v>
      </c>
      <c r="I4143" s="6">
        <f>TabJogos[[#This Row],[PontosTime1]]-TabJogos[[#This Row],[PontosTime2]]</f>
        <v>3</v>
      </c>
    </row>
    <row r="4144" spans="1:9" ht="15" customHeight="1" x14ac:dyDescent="0.25">
      <c r="A4144" s="7">
        <v>4143</v>
      </c>
      <c r="B4144" s="1">
        <v>43692</v>
      </c>
      <c r="C4144" s="6" t="s">
        <v>27</v>
      </c>
      <c r="D4144" s="6" t="s">
        <v>11</v>
      </c>
      <c r="E4144" s="6">
        <v>2</v>
      </c>
      <c r="F4144" s="6">
        <v>3</v>
      </c>
      <c r="G4144" s="6" t="s">
        <v>9</v>
      </c>
      <c r="H4144" s="6" t="s">
        <v>32</v>
      </c>
      <c r="I4144" s="6">
        <f>TabJogos[[#This Row],[PontosTime1]]-TabJogos[[#This Row],[PontosTime2]]</f>
        <v>-1</v>
      </c>
    </row>
    <row r="4145" spans="1:9" ht="15" customHeight="1" x14ac:dyDescent="0.25">
      <c r="A4145" s="7">
        <v>4144</v>
      </c>
      <c r="B4145" s="1">
        <v>43692</v>
      </c>
      <c r="C4145" s="6" t="s">
        <v>9</v>
      </c>
      <c r="D4145" s="6" t="s">
        <v>18</v>
      </c>
      <c r="E4145" s="6">
        <v>3</v>
      </c>
      <c r="F4145" s="6">
        <v>2</v>
      </c>
      <c r="G4145" s="6" t="s">
        <v>41</v>
      </c>
      <c r="H4145" s="6" t="s">
        <v>32</v>
      </c>
      <c r="I4145" s="6">
        <f>TabJogos[[#This Row],[PontosTime1]]-TabJogos[[#This Row],[PontosTime2]]</f>
        <v>1</v>
      </c>
    </row>
    <row r="4146" spans="1:9" ht="15" customHeight="1" x14ac:dyDescent="0.25">
      <c r="A4146" s="7">
        <v>4145</v>
      </c>
      <c r="B4146" s="1">
        <v>43692</v>
      </c>
      <c r="C4146" s="6" t="s">
        <v>11</v>
      </c>
      <c r="D4146" s="6" t="s">
        <v>9</v>
      </c>
      <c r="E4146" s="6">
        <v>5</v>
      </c>
      <c r="F4146" s="6">
        <v>1</v>
      </c>
      <c r="G4146" s="6" t="s">
        <v>27</v>
      </c>
      <c r="H4146" s="6" t="s">
        <v>18</v>
      </c>
      <c r="I4146" s="6">
        <f>TabJogos[[#This Row],[PontosTime1]]-TabJogos[[#This Row],[PontosTime2]]</f>
        <v>4</v>
      </c>
    </row>
    <row r="4147" spans="1:9" ht="15" customHeight="1" x14ac:dyDescent="0.25">
      <c r="A4147" s="7">
        <v>4146</v>
      </c>
      <c r="B4147" s="1">
        <v>43692</v>
      </c>
      <c r="C4147" s="6" t="s">
        <v>9</v>
      </c>
      <c r="D4147" s="6" t="s">
        <v>27</v>
      </c>
      <c r="E4147" s="6">
        <v>3</v>
      </c>
      <c r="F4147" s="6">
        <v>2</v>
      </c>
      <c r="G4147" s="6" t="s">
        <v>18</v>
      </c>
      <c r="H4147" s="6" t="s">
        <v>11</v>
      </c>
      <c r="I4147" s="6">
        <f>TabJogos[[#This Row],[PontosTime1]]-TabJogos[[#This Row],[PontosTime2]]</f>
        <v>1</v>
      </c>
    </row>
    <row r="4148" spans="1:9" ht="15" customHeight="1" x14ac:dyDescent="0.25">
      <c r="A4148" s="7">
        <v>4147</v>
      </c>
      <c r="B4148" s="1">
        <v>43692</v>
      </c>
      <c r="C4148" s="6" t="s">
        <v>9</v>
      </c>
      <c r="D4148" s="6" t="s">
        <v>18</v>
      </c>
      <c r="E4148" s="6">
        <v>4</v>
      </c>
      <c r="F4148" s="6">
        <v>1</v>
      </c>
      <c r="G4148" s="6" t="s">
        <v>11</v>
      </c>
      <c r="H4148" s="6" t="s">
        <v>27</v>
      </c>
      <c r="I4148" s="6">
        <f>TabJogos[[#This Row],[PontosTime1]]-TabJogos[[#This Row],[PontosTime2]]</f>
        <v>3</v>
      </c>
    </row>
    <row r="4149" spans="1:9" ht="15" customHeight="1" x14ac:dyDescent="0.25">
      <c r="A4149" s="7">
        <v>4148</v>
      </c>
      <c r="B4149" s="1">
        <v>43693</v>
      </c>
      <c r="C4149" s="6" t="s">
        <v>41</v>
      </c>
      <c r="D4149" s="6" t="s">
        <v>32</v>
      </c>
      <c r="E4149" s="6">
        <v>4</v>
      </c>
      <c r="F4149" s="6">
        <v>1</v>
      </c>
      <c r="G4149" s="6" t="s">
        <v>18</v>
      </c>
      <c r="H4149" s="6" t="s">
        <v>11</v>
      </c>
      <c r="I4149" s="6">
        <f>TabJogos[[#This Row],[PontosTime1]]-TabJogos[[#This Row],[PontosTime2]]</f>
        <v>3</v>
      </c>
    </row>
    <row r="4150" spans="1:9" ht="15" customHeight="1" x14ac:dyDescent="0.25">
      <c r="A4150" s="7">
        <v>4149</v>
      </c>
      <c r="B4150" s="1">
        <v>43693</v>
      </c>
      <c r="C4150" s="6" t="s">
        <v>41</v>
      </c>
      <c r="D4150" s="6" t="s">
        <v>11</v>
      </c>
      <c r="E4150" s="6">
        <v>3</v>
      </c>
      <c r="F4150" s="6">
        <v>2</v>
      </c>
      <c r="G4150" s="6" t="s">
        <v>18</v>
      </c>
      <c r="H4150" s="6" t="s">
        <v>32</v>
      </c>
      <c r="I4150" s="6">
        <f>TabJogos[[#This Row],[PontosTime1]]-TabJogos[[#This Row],[PontosTime2]]</f>
        <v>1</v>
      </c>
    </row>
    <row r="4151" spans="1:9" ht="15" customHeight="1" x14ac:dyDescent="0.25">
      <c r="A4151" s="7">
        <v>4150</v>
      </c>
      <c r="B4151" s="1">
        <v>43693</v>
      </c>
      <c r="C4151" s="6" t="s">
        <v>11</v>
      </c>
      <c r="D4151" s="6" t="s">
        <v>9</v>
      </c>
      <c r="E4151" s="6">
        <v>3</v>
      </c>
      <c r="F4151" s="6">
        <v>1</v>
      </c>
      <c r="G4151" s="6" t="s">
        <v>41</v>
      </c>
      <c r="H4151" s="6" t="s">
        <v>18</v>
      </c>
      <c r="I4151" s="6">
        <f>TabJogos[[#This Row],[PontosTime1]]-TabJogos[[#This Row],[PontosTime2]]</f>
        <v>2</v>
      </c>
    </row>
    <row r="4152" spans="1:9" ht="15" customHeight="1" x14ac:dyDescent="0.25">
      <c r="A4152" s="7">
        <v>4151</v>
      </c>
      <c r="B4152" s="1">
        <v>43693</v>
      </c>
      <c r="C4152" s="6" t="s">
        <v>11</v>
      </c>
      <c r="D4152" s="6" t="s">
        <v>17</v>
      </c>
      <c r="E4152" s="6">
        <v>3</v>
      </c>
      <c r="F4152" s="6">
        <v>1</v>
      </c>
      <c r="G4152" s="6" t="s">
        <v>41</v>
      </c>
      <c r="H4152" s="6" t="s">
        <v>9</v>
      </c>
      <c r="I4152" s="6">
        <f>TabJogos[[#This Row],[PontosTime1]]-TabJogos[[#This Row],[PontosTime2]]</f>
        <v>2</v>
      </c>
    </row>
    <row r="4153" spans="1:9" ht="15" customHeight="1" x14ac:dyDescent="0.25">
      <c r="A4153" s="7">
        <v>4152</v>
      </c>
      <c r="B4153" s="1">
        <v>43693</v>
      </c>
      <c r="C4153" s="6" t="s">
        <v>11</v>
      </c>
      <c r="D4153" s="6" t="s">
        <v>18</v>
      </c>
      <c r="E4153" s="6">
        <v>3</v>
      </c>
      <c r="F4153" s="6">
        <v>1</v>
      </c>
      <c r="G4153" s="6" t="s">
        <v>9</v>
      </c>
      <c r="H4153" s="6" t="s">
        <v>17</v>
      </c>
      <c r="I4153" s="6">
        <f>TabJogos[[#This Row],[PontosTime1]]-TabJogos[[#This Row],[PontosTime2]]</f>
        <v>2</v>
      </c>
    </row>
    <row r="4154" spans="1:9" ht="15" customHeight="1" x14ac:dyDescent="0.25">
      <c r="A4154" s="7">
        <v>4153</v>
      </c>
      <c r="B4154" s="1">
        <v>43693</v>
      </c>
      <c r="C4154" s="6" t="s">
        <v>11</v>
      </c>
      <c r="D4154" s="6" t="s">
        <v>9</v>
      </c>
      <c r="E4154" s="6">
        <v>1</v>
      </c>
      <c r="F4154" s="6">
        <v>3</v>
      </c>
      <c r="G4154" s="6" t="s">
        <v>18</v>
      </c>
      <c r="H4154" s="6" t="s">
        <v>17</v>
      </c>
      <c r="I4154" s="6">
        <f>TabJogos[[#This Row],[PontosTime1]]-TabJogos[[#This Row],[PontosTime2]]</f>
        <v>-2</v>
      </c>
    </row>
    <row r="4155" spans="1:9" ht="15" customHeight="1" x14ac:dyDescent="0.25">
      <c r="A4155" s="7">
        <v>4154</v>
      </c>
      <c r="B4155" s="1">
        <v>43693</v>
      </c>
      <c r="C4155" s="6" t="s">
        <v>11</v>
      </c>
      <c r="D4155" s="6" t="s">
        <v>17</v>
      </c>
      <c r="E4155" s="6">
        <v>1</v>
      </c>
      <c r="F4155" s="6">
        <v>3</v>
      </c>
      <c r="G4155" s="6" t="s">
        <v>18</v>
      </c>
      <c r="H4155" s="6" t="s">
        <v>9</v>
      </c>
      <c r="I4155" s="6">
        <f>TabJogos[[#This Row],[PontosTime1]]-TabJogos[[#This Row],[PontosTime2]]</f>
        <v>-2</v>
      </c>
    </row>
    <row r="4156" spans="1:9" ht="15" customHeight="1" x14ac:dyDescent="0.25">
      <c r="A4156" s="7">
        <v>4155</v>
      </c>
      <c r="B4156" s="1">
        <v>43693</v>
      </c>
      <c r="C4156" s="6" t="s">
        <v>11</v>
      </c>
      <c r="D4156" s="6" t="s">
        <v>18</v>
      </c>
      <c r="E4156" s="6">
        <v>3</v>
      </c>
      <c r="F4156" s="6">
        <v>2</v>
      </c>
      <c r="G4156" s="6" t="s">
        <v>17</v>
      </c>
      <c r="H4156" s="6" t="s">
        <v>9</v>
      </c>
      <c r="I4156" s="6">
        <f>TabJogos[[#This Row],[PontosTime1]]-TabJogos[[#This Row],[PontosTime2]]</f>
        <v>1</v>
      </c>
    </row>
    <row r="4157" spans="1:9" ht="15" customHeight="1" x14ac:dyDescent="0.25">
      <c r="A4157" s="7">
        <v>4156</v>
      </c>
      <c r="B4157" s="1">
        <v>43696</v>
      </c>
      <c r="C4157" s="6" t="s">
        <v>13</v>
      </c>
      <c r="D4157" s="6" t="s">
        <v>11</v>
      </c>
      <c r="E4157" s="6">
        <v>2</v>
      </c>
      <c r="F4157" s="6">
        <v>4</v>
      </c>
      <c r="G4157" s="6" t="s">
        <v>12</v>
      </c>
      <c r="H4157" s="6" t="s">
        <v>18</v>
      </c>
      <c r="I4157" s="6">
        <f>TabJogos[[#This Row],[PontosTime1]]-TabJogos[[#This Row],[PontosTime2]]</f>
        <v>-2</v>
      </c>
    </row>
    <row r="4158" spans="1:9" ht="15" customHeight="1" x14ac:dyDescent="0.25">
      <c r="A4158" s="7">
        <v>4157</v>
      </c>
      <c r="B4158" s="1">
        <v>43696</v>
      </c>
      <c r="C4158" s="6" t="s">
        <v>17</v>
      </c>
      <c r="D4158" s="6" t="s">
        <v>12</v>
      </c>
      <c r="E4158" s="6">
        <v>1</v>
      </c>
      <c r="F4158" s="6">
        <v>3</v>
      </c>
      <c r="G4158" s="6" t="s">
        <v>18</v>
      </c>
      <c r="H4158" s="6" t="s">
        <v>13</v>
      </c>
      <c r="I4158" s="6">
        <f>TabJogos[[#This Row],[PontosTime1]]-TabJogos[[#This Row],[PontosTime2]]</f>
        <v>-2</v>
      </c>
    </row>
    <row r="4159" spans="1:9" ht="15" customHeight="1" x14ac:dyDescent="0.25">
      <c r="A4159" s="7">
        <v>4158</v>
      </c>
      <c r="B4159" s="1">
        <v>43696</v>
      </c>
      <c r="C4159" s="6" t="s">
        <v>13</v>
      </c>
      <c r="D4159" s="6" t="s">
        <v>12</v>
      </c>
      <c r="E4159" s="6">
        <v>0</v>
      </c>
      <c r="F4159" s="6">
        <v>3</v>
      </c>
      <c r="G4159" s="6" t="s">
        <v>18</v>
      </c>
      <c r="H4159" s="6" t="s">
        <v>11</v>
      </c>
      <c r="I4159" s="6">
        <f>TabJogos[[#This Row],[PontosTime1]]-TabJogos[[#This Row],[PontosTime2]]</f>
        <v>-3</v>
      </c>
    </row>
    <row r="4160" spans="1:9" ht="15" customHeight="1" x14ac:dyDescent="0.25">
      <c r="A4160" s="7">
        <v>4159</v>
      </c>
      <c r="B4160" s="1">
        <v>43696</v>
      </c>
      <c r="C4160" s="6" t="s">
        <v>13</v>
      </c>
      <c r="D4160" s="6" t="s">
        <v>11</v>
      </c>
      <c r="E4160" s="6">
        <v>3</v>
      </c>
      <c r="F4160" s="6">
        <v>0</v>
      </c>
      <c r="G4160" s="6" t="s">
        <v>17</v>
      </c>
      <c r="H4160" s="6" t="s">
        <v>18</v>
      </c>
      <c r="I4160" s="6">
        <f>TabJogos[[#This Row],[PontosTime1]]-TabJogos[[#This Row],[PontosTime2]]</f>
        <v>3</v>
      </c>
    </row>
    <row r="4161" spans="1:9" ht="15" customHeight="1" x14ac:dyDescent="0.25">
      <c r="A4161" s="7">
        <v>4160</v>
      </c>
      <c r="B4161" s="1">
        <v>43696</v>
      </c>
      <c r="C4161" s="6" t="s">
        <v>11</v>
      </c>
      <c r="D4161" s="6" t="s">
        <v>17</v>
      </c>
      <c r="E4161" s="6">
        <v>3</v>
      </c>
      <c r="F4161" s="6">
        <v>2</v>
      </c>
      <c r="G4161" s="6" t="s">
        <v>18</v>
      </c>
      <c r="H4161" s="6" t="s">
        <v>13</v>
      </c>
      <c r="I4161" s="6">
        <f>TabJogos[[#This Row],[PontosTime1]]-TabJogos[[#This Row],[PontosTime2]]</f>
        <v>1</v>
      </c>
    </row>
    <row r="4162" spans="1:9" ht="15" customHeight="1" x14ac:dyDescent="0.25">
      <c r="A4162" s="7">
        <v>4161</v>
      </c>
      <c r="B4162" s="1">
        <v>43696</v>
      </c>
      <c r="C4162" s="6" t="s">
        <v>11</v>
      </c>
      <c r="D4162" s="6" t="s">
        <v>18</v>
      </c>
      <c r="E4162" s="6">
        <v>3</v>
      </c>
      <c r="F4162" s="6">
        <v>2</v>
      </c>
      <c r="G4162" s="6" t="s">
        <v>17</v>
      </c>
      <c r="H4162" s="6" t="s">
        <v>13</v>
      </c>
      <c r="I4162" s="6">
        <f>TabJogos[[#This Row],[PontosTime1]]-TabJogos[[#This Row],[PontosTime2]]</f>
        <v>1</v>
      </c>
    </row>
    <row r="4163" spans="1:9" ht="15" customHeight="1" x14ac:dyDescent="0.25">
      <c r="A4163" s="7">
        <v>4162</v>
      </c>
      <c r="B4163" s="1">
        <v>43696</v>
      </c>
      <c r="C4163" s="6" t="s">
        <v>11</v>
      </c>
      <c r="D4163" s="6" t="s">
        <v>13</v>
      </c>
      <c r="E4163" s="6">
        <v>0</v>
      </c>
      <c r="F4163" s="6">
        <v>3</v>
      </c>
      <c r="G4163" s="6" t="s">
        <v>41</v>
      </c>
      <c r="H4163" s="6" t="s">
        <v>18</v>
      </c>
      <c r="I4163" s="6">
        <f>TabJogos[[#This Row],[PontosTime1]]-TabJogos[[#This Row],[PontosTime2]]</f>
        <v>-3</v>
      </c>
    </row>
    <row r="4164" spans="1:9" ht="15" customHeight="1" x14ac:dyDescent="0.25">
      <c r="A4164" s="7">
        <v>4163</v>
      </c>
      <c r="B4164" s="1">
        <v>43696</v>
      </c>
      <c r="C4164" s="6" t="s">
        <v>41</v>
      </c>
      <c r="D4164" s="6" t="s">
        <v>13</v>
      </c>
      <c r="E4164" s="6">
        <v>1</v>
      </c>
      <c r="F4164" s="6">
        <v>3</v>
      </c>
      <c r="G4164" s="6" t="s">
        <v>17</v>
      </c>
      <c r="H4164" s="6" t="s">
        <v>18</v>
      </c>
      <c r="I4164" s="6">
        <f>TabJogos[[#This Row],[PontosTime1]]-TabJogos[[#This Row],[PontosTime2]]</f>
        <v>-2</v>
      </c>
    </row>
    <row r="4165" spans="1:9" ht="15" customHeight="1" x14ac:dyDescent="0.25">
      <c r="A4165" s="7">
        <v>4164</v>
      </c>
      <c r="B4165" s="1">
        <v>43696</v>
      </c>
      <c r="C4165" s="6" t="s">
        <v>17</v>
      </c>
      <c r="D4165" s="6" t="s">
        <v>32</v>
      </c>
      <c r="E4165" s="6">
        <v>3</v>
      </c>
      <c r="F4165" s="6">
        <v>2</v>
      </c>
      <c r="G4165" s="6" t="s">
        <v>18</v>
      </c>
      <c r="H4165" s="6" t="s">
        <v>11</v>
      </c>
      <c r="I4165" s="6">
        <f>TabJogos[[#This Row],[PontosTime1]]-TabJogos[[#This Row],[PontosTime2]]</f>
        <v>1</v>
      </c>
    </row>
    <row r="4166" spans="1:9" ht="15" customHeight="1" x14ac:dyDescent="0.25">
      <c r="A4166" s="7">
        <v>4165</v>
      </c>
      <c r="B4166" s="1">
        <v>43696</v>
      </c>
      <c r="C4166" s="6" t="s">
        <v>11</v>
      </c>
      <c r="D4166" s="6" t="s">
        <v>32</v>
      </c>
      <c r="E4166" s="6">
        <v>3</v>
      </c>
      <c r="F4166" s="6">
        <v>1</v>
      </c>
      <c r="G4166" s="6" t="s">
        <v>17</v>
      </c>
      <c r="H4166" s="6" t="s">
        <v>41</v>
      </c>
      <c r="I4166" s="6">
        <f>TabJogos[[#This Row],[PontosTime1]]-TabJogos[[#This Row],[PontosTime2]]</f>
        <v>2</v>
      </c>
    </row>
    <row r="4167" spans="1:9" ht="15" customHeight="1" x14ac:dyDescent="0.25">
      <c r="A4167" s="7">
        <v>4166</v>
      </c>
      <c r="B4167" s="1">
        <v>43696</v>
      </c>
      <c r="C4167" s="6" t="s">
        <v>11</v>
      </c>
      <c r="D4167" s="6" t="s">
        <v>41</v>
      </c>
      <c r="E4167" s="6">
        <v>3</v>
      </c>
      <c r="F4167" s="6">
        <v>2</v>
      </c>
      <c r="G4167" s="6" t="s">
        <v>18</v>
      </c>
      <c r="H4167" s="6" t="s">
        <v>17</v>
      </c>
      <c r="I4167" s="6">
        <f>TabJogos[[#This Row],[PontosTime1]]-TabJogos[[#This Row],[PontosTime2]]</f>
        <v>1</v>
      </c>
    </row>
    <row r="4168" spans="1:9" ht="15" customHeight="1" x14ac:dyDescent="0.25">
      <c r="A4168" s="7">
        <v>4167</v>
      </c>
      <c r="B4168" s="1">
        <v>43696</v>
      </c>
      <c r="C4168" s="6" t="s">
        <v>41</v>
      </c>
      <c r="D4168" s="6" t="s">
        <v>18</v>
      </c>
      <c r="E4168" s="6">
        <v>5</v>
      </c>
      <c r="F4168" s="6">
        <v>0</v>
      </c>
      <c r="G4168" s="6" t="s">
        <v>17</v>
      </c>
      <c r="H4168" s="6" t="s">
        <v>11</v>
      </c>
      <c r="I4168" s="6">
        <f>TabJogos[[#This Row],[PontosTime1]]-TabJogos[[#This Row],[PontosTime2]]</f>
        <v>5</v>
      </c>
    </row>
    <row r="4169" spans="1:9" ht="15" customHeight="1" x14ac:dyDescent="0.25">
      <c r="A4169" s="7">
        <v>4168</v>
      </c>
      <c r="B4169" s="1">
        <v>43696</v>
      </c>
      <c r="C4169" s="6" t="s">
        <v>11</v>
      </c>
      <c r="D4169" s="6" t="s">
        <v>18</v>
      </c>
      <c r="E4169" s="6">
        <v>3</v>
      </c>
      <c r="F4169" s="6">
        <v>1</v>
      </c>
      <c r="G4169" s="6" t="s">
        <v>17</v>
      </c>
      <c r="H4169" s="6" t="s">
        <v>41</v>
      </c>
      <c r="I4169" s="6">
        <f>TabJogos[[#This Row],[PontosTime1]]-TabJogos[[#This Row],[PontosTime2]]</f>
        <v>2</v>
      </c>
    </row>
    <row r="4170" spans="1:9" ht="15" customHeight="1" x14ac:dyDescent="0.25">
      <c r="A4170" s="7">
        <v>4169</v>
      </c>
      <c r="B4170" s="1">
        <v>43697</v>
      </c>
      <c r="C4170" s="6" t="s">
        <v>27</v>
      </c>
      <c r="D4170" s="6" t="s">
        <v>10</v>
      </c>
      <c r="E4170" s="6">
        <v>4</v>
      </c>
      <c r="F4170" s="6">
        <v>1</v>
      </c>
      <c r="G4170" s="6" t="s">
        <v>13</v>
      </c>
      <c r="H4170" s="6" t="s">
        <v>12</v>
      </c>
      <c r="I4170" s="6">
        <f>TabJogos[[#This Row],[PontosTime1]]-TabJogos[[#This Row],[PontosTime2]]</f>
        <v>3</v>
      </c>
    </row>
    <row r="4171" spans="1:9" ht="15" customHeight="1" x14ac:dyDescent="0.25">
      <c r="A4171" s="7">
        <v>4170</v>
      </c>
      <c r="B4171" s="1">
        <v>43697</v>
      </c>
      <c r="C4171" s="6" t="s">
        <v>10</v>
      </c>
      <c r="D4171" s="6" t="s">
        <v>41</v>
      </c>
      <c r="E4171" s="6">
        <v>0</v>
      </c>
      <c r="F4171" s="6">
        <v>3</v>
      </c>
      <c r="G4171" s="6" t="s">
        <v>12</v>
      </c>
      <c r="H4171" s="6" t="s">
        <v>27</v>
      </c>
      <c r="I4171" s="6">
        <f>TabJogos[[#This Row],[PontosTime1]]-TabJogos[[#This Row],[PontosTime2]]</f>
        <v>-3</v>
      </c>
    </row>
    <row r="4172" spans="1:9" ht="15" customHeight="1" x14ac:dyDescent="0.25">
      <c r="A4172" s="7">
        <v>4171</v>
      </c>
      <c r="B4172" s="1">
        <v>43697</v>
      </c>
      <c r="C4172" s="6" t="s">
        <v>13</v>
      </c>
      <c r="D4172" s="6" t="s">
        <v>27</v>
      </c>
      <c r="E4172" s="6">
        <v>3</v>
      </c>
      <c r="F4172" s="6">
        <v>2</v>
      </c>
      <c r="G4172" s="6" t="s">
        <v>11</v>
      </c>
      <c r="H4172" s="6" t="s">
        <v>12</v>
      </c>
      <c r="I4172" s="6">
        <f>TabJogos[[#This Row],[PontosTime1]]-TabJogos[[#This Row],[PontosTime2]]</f>
        <v>1</v>
      </c>
    </row>
    <row r="4173" spans="1:9" ht="15" customHeight="1" x14ac:dyDescent="0.25">
      <c r="A4173" s="7">
        <v>4172</v>
      </c>
      <c r="B4173" s="1">
        <v>43697</v>
      </c>
      <c r="C4173" s="6" t="s">
        <v>10</v>
      </c>
      <c r="D4173" s="6" t="s">
        <v>13</v>
      </c>
      <c r="E4173" s="6">
        <v>3</v>
      </c>
      <c r="F4173" s="6">
        <v>0</v>
      </c>
      <c r="G4173" s="6" t="s">
        <v>27</v>
      </c>
      <c r="H4173" s="6" t="s">
        <v>41</v>
      </c>
      <c r="I4173" s="6">
        <f>TabJogos[[#This Row],[PontosTime1]]-TabJogos[[#This Row],[PontosTime2]]</f>
        <v>3</v>
      </c>
    </row>
    <row r="4174" spans="1:9" ht="15" customHeight="1" x14ac:dyDescent="0.25">
      <c r="A4174" s="7">
        <v>4173</v>
      </c>
      <c r="B4174" s="1">
        <v>43697</v>
      </c>
      <c r="C4174" s="6" t="s">
        <v>17</v>
      </c>
      <c r="D4174" s="6" t="s">
        <v>10</v>
      </c>
      <c r="E4174" s="6">
        <v>2</v>
      </c>
      <c r="F4174" s="6">
        <v>3</v>
      </c>
      <c r="G4174" s="6" t="s">
        <v>18</v>
      </c>
      <c r="H4174" s="6" t="s">
        <v>13</v>
      </c>
      <c r="I4174" s="6">
        <f>TabJogos[[#This Row],[PontosTime1]]-TabJogos[[#This Row],[PontosTime2]]</f>
        <v>-1</v>
      </c>
    </row>
    <row r="4175" spans="1:9" ht="15" customHeight="1" x14ac:dyDescent="0.25">
      <c r="A4175" s="7">
        <v>4174</v>
      </c>
      <c r="B4175" s="1">
        <v>43697</v>
      </c>
      <c r="C4175" s="6" t="s">
        <v>11</v>
      </c>
      <c r="D4175" s="6" t="s">
        <v>13</v>
      </c>
      <c r="E4175" s="6">
        <v>1</v>
      </c>
      <c r="F4175" s="6">
        <v>3</v>
      </c>
      <c r="G4175" s="6" t="s">
        <v>41</v>
      </c>
      <c r="H4175" s="6" t="s">
        <v>18</v>
      </c>
      <c r="I4175" s="6">
        <f>TabJogos[[#This Row],[PontosTime1]]-TabJogos[[#This Row],[PontosTime2]]</f>
        <v>-2</v>
      </c>
    </row>
    <row r="4176" spans="1:9" ht="15" customHeight="1" x14ac:dyDescent="0.25">
      <c r="A4176" s="7">
        <v>4175</v>
      </c>
      <c r="B4176" s="1">
        <v>43697</v>
      </c>
      <c r="C4176" s="6" t="s">
        <v>13</v>
      </c>
      <c r="D4176" s="6" t="s">
        <v>41</v>
      </c>
      <c r="E4176" s="6">
        <v>3</v>
      </c>
      <c r="F4176" s="6">
        <v>2</v>
      </c>
      <c r="G4176" s="6" t="s">
        <v>18</v>
      </c>
      <c r="H4176" s="6" t="s">
        <v>17</v>
      </c>
      <c r="I4176" s="6">
        <f>TabJogos[[#This Row],[PontosTime1]]-TabJogos[[#This Row],[PontosTime2]]</f>
        <v>1</v>
      </c>
    </row>
    <row r="4177" spans="1:9" ht="15" customHeight="1" x14ac:dyDescent="0.25">
      <c r="A4177" s="7">
        <v>4176</v>
      </c>
      <c r="B4177" s="1">
        <v>43697</v>
      </c>
      <c r="C4177" s="6" t="s">
        <v>11</v>
      </c>
      <c r="D4177" s="6" t="s">
        <v>41</v>
      </c>
      <c r="E4177" s="6">
        <v>4</v>
      </c>
      <c r="F4177" s="6">
        <v>0</v>
      </c>
      <c r="G4177" s="6" t="s">
        <v>13</v>
      </c>
      <c r="H4177" s="6" t="s">
        <v>17</v>
      </c>
      <c r="I4177" s="6">
        <f>TabJogos[[#This Row],[PontosTime1]]-TabJogos[[#This Row],[PontosTime2]]</f>
        <v>4</v>
      </c>
    </row>
    <row r="4178" spans="1:9" ht="15" customHeight="1" x14ac:dyDescent="0.25">
      <c r="A4178" s="7">
        <v>4177</v>
      </c>
      <c r="B4178" s="1">
        <v>43697</v>
      </c>
      <c r="C4178" s="6" t="s">
        <v>11</v>
      </c>
      <c r="D4178" s="6" t="s">
        <v>18</v>
      </c>
      <c r="E4178" s="6">
        <v>4</v>
      </c>
      <c r="F4178" s="6">
        <v>2</v>
      </c>
      <c r="G4178" s="6" t="s">
        <v>13</v>
      </c>
      <c r="H4178" s="6" t="s">
        <v>41</v>
      </c>
      <c r="I4178" s="6">
        <f>TabJogos[[#This Row],[PontosTime1]]-TabJogos[[#This Row],[PontosTime2]]</f>
        <v>2</v>
      </c>
    </row>
    <row r="4179" spans="1:9" ht="15" customHeight="1" x14ac:dyDescent="0.25">
      <c r="A4179" s="7">
        <v>4178</v>
      </c>
      <c r="B4179" s="1">
        <v>43697</v>
      </c>
      <c r="C4179" s="6" t="s">
        <v>11</v>
      </c>
      <c r="D4179" s="6" t="s">
        <v>17</v>
      </c>
      <c r="E4179" s="6">
        <v>2</v>
      </c>
      <c r="F4179" s="6">
        <v>3</v>
      </c>
      <c r="G4179" s="6" t="s">
        <v>18</v>
      </c>
      <c r="H4179" s="6" t="s">
        <v>13</v>
      </c>
      <c r="I4179" s="6">
        <f>TabJogos[[#This Row],[PontosTime1]]-TabJogos[[#This Row],[PontosTime2]]</f>
        <v>-1</v>
      </c>
    </row>
    <row r="4180" spans="1:9" ht="15" customHeight="1" x14ac:dyDescent="0.25">
      <c r="A4180" s="7">
        <v>4179</v>
      </c>
      <c r="B4180" s="1">
        <v>43698</v>
      </c>
      <c r="C4180" s="6" t="s">
        <v>13</v>
      </c>
      <c r="D4180" s="6" t="s">
        <v>18</v>
      </c>
      <c r="E4180" s="6">
        <v>2</v>
      </c>
      <c r="F4180" s="6">
        <v>4</v>
      </c>
      <c r="G4180" s="6" t="s">
        <v>10</v>
      </c>
      <c r="H4180" s="6" t="s">
        <v>12</v>
      </c>
      <c r="I4180" s="6">
        <f>TabJogos[[#This Row],[PontosTime1]]-TabJogos[[#This Row],[PontosTime2]]</f>
        <v>-2</v>
      </c>
    </row>
    <row r="4181" spans="1:9" ht="15" customHeight="1" x14ac:dyDescent="0.25">
      <c r="A4181" s="7">
        <v>4180</v>
      </c>
      <c r="B4181" s="1">
        <v>43698</v>
      </c>
      <c r="C4181" s="6" t="s">
        <v>10</v>
      </c>
      <c r="D4181" s="6" t="s">
        <v>18</v>
      </c>
      <c r="E4181" s="6">
        <v>3</v>
      </c>
      <c r="F4181" s="6">
        <v>1</v>
      </c>
      <c r="G4181" s="6" t="s">
        <v>11</v>
      </c>
      <c r="H4181" s="6" t="s">
        <v>12</v>
      </c>
      <c r="I4181" s="6">
        <f>TabJogos[[#This Row],[PontosTime1]]-TabJogos[[#This Row],[PontosTime2]]</f>
        <v>2</v>
      </c>
    </row>
    <row r="4182" spans="1:9" ht="15" customHeight="1" x14ac:dyDescent="0.25">
      <c r="A4182" s="7">
        <v>4181</v>
      </c>
      <c r="B4182" s="1">
        <v>43698</v>
      </c>
      <c r="C4182" s="6" t="s">
        <v>13</v>
      </c>
      <c r="D4182" s="6" t="s">
        <v>10</v>
      </c>
      <c r="E4182" s="6">
        <v>2</v>
      </c>
      <c r="F4182" s="6">
        <v>3</v>
      </c>
      <c r="G4182" s="6" t="s">
        <v>18</v>
      </c>
      <c r="H4182" s="6" t="s">
        <v>12</v>
      </c>
      <c r="I4182" s="6">
        <f>TabJogos[[#This Row],[PontosTime1]]-TabJogos[[#This Row],[PontosTime2]]</f>
        <v>-1</v>
      </c>
    </row>
    <row r="4183" spans="1:9" ht="15" customHeight="1" x14ac:dyDescent="0.25">
      <c r="A4183" s="7">
        <v>4182</v>
      </c>
      <c r="B4183" s="1">
        <v>43698</v>
      </c>
      <c r="C4183" s="6" t="s">
        <v>10</v>
      </c>
      <c r="D4183" s="6" t="s">
        <v>11</v>
      </c>
      <c r="E4183" s="6">
        <v>5</v>
      </c>
      <c r="F4183" s="6">
        <v>2</v>
      </c>
      <c r="G4183" s="6" t="s">
        <v>18</v>
      </c>
      <c r="H4183" s="6" t="s">
        <v>13</v>
      </c>
      <c r="I4183" s="6">
        <f>TabJogos[[#This Row],[PontosTime1]]-TabJogos[[#This Row],[PontosTime2]]</f>
        <v>3</v>
      </c>
    </row>
    <row r="4184" spans="1:9" ht="15" customHeight="1" x14ac:dyDescent="0.25">
      <c r="A4184" s="7">
        <v>4183</v>
      </c>
      <c r="B4184" s="1">
        <v>43698</v>
      </c>
      <c r="C4184" s="6" t="s">
        <v>11</v>
      </c>
      <c r="D4184" s="6" t="s">
        <v>18</v>
      </c>
      <c r="E4184" s="6">
        <v>4</v>
      </c>
      <c r="F4184" s="6">
        <v>1</v>
      </c>
      <c r="G4184" s="6" t="s">
        <v>10</v>
      </c>
      <c r="H4184" s="6" t="s">
        <v>13</v>
      </c>
      <c r="I4184" s="6">
        <f>TabJogos[[#This Row],[PontosTime1]]-TabJogos[[#This Row],[PontosTime2]]</f>
        <v>3</v>
      </c>
    </row>
    <row r="4185" spans="1:9" ht="15" customHeight="1" x14ac:dyDescent="0.25">
      <c r="A4185" s="7">
        <v>4184</v>
      </c>
      <c r="B4185" s="1">
        <v>43698</v>
      </c>
      <c r="C4185" s="6" t="s">
        <v>13</v>
      </c>
      <c r="D4185" s="6" t="s">
        <v>11</v>
      </c>
      <c r="E4185" s="6">
        <v>1</v>
      </c>
      <c r="F4185" s="6">
        <v>4</v>
      </c>
      <c r="G4185" s="6" t="s">
        <v>10</v>
      </c>
      <c r="H4185" s="6" t="s">
        <v>18</v>
      </c>
      <c r="I4185" s="6">
        <f>TabJogos[[#This Row],[PontosTime1]]-TabJogos[[#This Row],[PontosTime2]]</f>
        <v>-3</v>
      </c>
    </row>
    <row r="4186" spans="1:9" ht="15" customHeight="1" x14ac:dyDescent="0.25">
      <c r="A4186" s="7">
        <v>4185</v>
      </c>
      <c r="B4186" s="1">
        <v>43698</v>
      </c>
      <c r="C4186" s="6" t="s">
        <v>13</v>
      </c>
      <c r="D4186" s="6" t="s">
        <v>18</v>
      </c>
      <c r="E4186" s="6">
        <v>3</v>
      </c>
      <c r="F4186" s="6">
        <v>2</v>
      </c>
      <c r="G4186" s="6" t="s">
        <v>10</v>
      </c>
      <c r="H4186" s="6" t="s">
        <v>11</v>
      </c>
      <c r="I4186" s="6">
        <f>TabJogos[[#This Row],[PontosTime1]]-TabJogos[[#This Row],[PontosTime2]]</f>
        <v>1</v>
      </c>
    </row>
    <row r="4187" spans="1:9" ht="15" customHeight="1" x14ac:dyDescent="0.25">
      <c r="A4187" s="7">
        <v>4186</v>
      </c>
      <c r="B4187" s="1">
        <v>43698</v>
      </c>
      <c r="C4187" s="6" t="s">
        <v>11</v>
      </c>
      <c r="D4187" s="6" t="s">
        <v>18</v>
      </c>
      <c r="E4187" s="6">
        <v>1</v>
      </c>
      <c r="F4187" s="6">
        <v>3</v>
      </c>
      <c r="G4187" s="6" t="s">
        <v>13</v>
      </c>
      <c r="H4187" s="6" t="s">
        <v>10</v>
      </c>
      <c r="I4187" s="6">
        <f>TabJogos[[#This Row],[PontosTime1]]-TabJogos[[#This Row],[PontosTime2]]</f>
        <v>-2</v>
      </c>
    </row>
    <row r="4188" spans="1:9" ht="15" customHeight="1" x14ac:dyDescent="0.25">
      <c r="A4188" s="7">
        <v>4187</v>
      </c>
      <c r="B4188" s="1">
        <v>43698</v>
      </c>
      <c r="C4188" s="6" t="s">
        <v>18</v>
      </c>
      <c r="D4188" s="6" t="s">
        <v>10</v>
      </c>
      <c r="E4188" s="6">
        <v>3</v>
      </c>
      <c r="F4188" s="6">
        <v>2</v>
      </c>
      <c r="G4188" s="6" t="s">
        <v>11</v>
      </c>
      <c r="H4188" s="6" t="s">
        <v>13</v>
      </c>
      <c r="I4188" s="6">
        <f>TabJogos[[#This Row],[PontosTime1]]-TabJogos[[#This Row],[PontosTime2]]</f>
        <v>1</v>
      </c>
    </row>
    <row r="4189" spans="1:9" ht="15" customHeight="1" x14ac:dyDescent="0.25">
      <c r="A4189" s="7">
        <v>4188</v>
      </c>
      <c r="B4189" s="1">
        <v>43698</v>
      </c>
      <c r="C4189" s="6" t="s">
        <v>11</v>
      </c>
      <c r="D4189" s="6" t="s">
        <v>41</v>
      </c>
      <c r="E4189" s="6">
        <v>4</v>
      </c>
      <c r="F4189" s="6">
        <v>0</v>
      </c>
      <c r="G4189" s="6" t="s">
        <v>13</v>
      </c>
      <c r="H4189" s="6" t="s">
        <v>18</v>
      </c>
      <c r="I4189" s="6">
        <f>TabJogos[[#This Row],[PontosTime1]]-TabJogos[[#This Row],[PontosTime2]]</f>
        <v>4</v>
      </c>
    </row>
    <row r="4190" spans="1:9" ht="15" customHeight="1" x14ac:dyDescent="0.25">
      <c r="A4190" s="7">
        <v>4189</v>
      </c>
      <c r="B4190" s="1">
        <v>43698</v>
      </c>
      <c r="C4190" s="6" t="s">
        <v>41</v>
      </c>
      <c r="D4190" s="6" t="s">
        <v>13</v>
      </c>
      <c r="E4190" s="6">
        <v>3</v>
      </c>
      <c r="F4190" s="6">
        <v>1</v>
      </c>
      <c r="G4190" s="6" t="s">
        <v>11</v>
      </c>
      <c r="H4190" s="6" t="s">
        <v>18</v>
      </c>
      <c r="I4190" s="6">
        <f>TabJogos[[#This Row],[PontosTime1]]-TabJogos[[#This Row],[PontosTime2]]</f>
        <v>2</v>
      </c>
    </row>
    <row r="4191" spans="1:9" ht="15" customHeight="1" x14ac:dyDescent="0.25">
      <c r="A4191" s="7">
        <v>4190</v>
      </c>
      <c r="B4191" s="1">
        <v>43698</v>
      </c>
      <c r="C4191" s="6" t="s">
        <v>11</v>
      </c>
      <c r="D4191" s="6" t="s">
        <v>13</v>
      </c>
      <c r="E4191" s="6">
        <v>3</v>
      </c>
      <c r="F4191" s="6">
        <v>0</v>
      </c>
      <c r="G4191" s="6" t="s">
        <v>18</v>
      </c>
      <c r="H4191" s="6" t="s">
        <v>41</v>
      </c>
      <c r="I4191" s="6">
        <f>TabJogos[[#This Row],[PontosTime1]]-TabJogos[[#This Row],[PontosTime2]]</f>
        <v>3</v>
      </c>
    </row>
    <row r="4192" spans="1:9" ht="15" customHeight="1" x14ac:dyDescent="0.25">
      <c r="A4192" s="7">
        <v>4191</v>
      </c>
      <c r="B4192" s="1">
        <v>43699</v>
      </c>
      <c r="C4192" s="6" t="s">
        <v>10</v>
      </c>
      <c r="D4192" s="6" t="s">
        <v>12</v>
      </c>
      <c r="E4192" s="6">
        <v>2</v>
      </c>
      <c r="F4192" s="6">
        <v>3</v>
      </c>
      <c r="G4192" s="6" t="s">
        <v>11</v>
      </c>
      <c r="H4192" s="6" t="s">
        <v>13</v>
      </c>
      <c r="I4192" s="6">
        <f>TabJogos[[#This Row],[PontosTime1]]-TabJogos[[#This Row],[PontosTime2]]</f>
        <v>-1</v>
      </c>
    </row>
    <row r="4193" spans="1:9" ht="15" customHeight="1" x14ac:dyDescent="0.25">
      <c r="A4193" s="7">
        <v>4192</v>
      </c>
      <c r="B4193" s="1">
        <v>43699</v>
      </c>
      <c r="C4193" s="6" t="s">
        <v>10</v>
      </c>
      <c r="D4193" s="6" t="s">
        <v>13</v>
      </c>
      <c r="E4193" s="6">
        <v>1</v>
      </c>
      <c r="F4193" s="6">
        <v>3</v>
      </c>
      <c r="G4193" s="6" t="s">
        <v>11</v>
      </c>
      <c r="H4193" s="6" t="s">
        <v>12</v>
      </c>
      <c r="I4193" s="6">
        <f>TabJogos[[#This Row],[PontosTime1]]-TabJogos[[#This Row],[PontosTime2]]</f>
        <v>-2</v>
      </c>
    </row>
    <row r="4194" spans="1:9" ht="15" customHeight="1" x14ac:dyDescent="0.25">
      <c r="A4194" s="7">
        <v>4193</v>
      </c>
      <c r="B4194" s="1">
        <v>43699</v>
      </c>
      <c r="C4194" s="6" t="s">
        <v>11</v>
      </c>
      <c r="D4194" s="6" t="s">
        <v>10</v>
      </c>
      <c r="E4194" s="6">
        <v>1</v>
      </c>
      <c r="F4194" s="6">
        <v>6</v>
      </c>
      <c r="G4194" s="6" t="s">
        <v>12</v>
      </c>
      <c r="H4194" s="6" t="s">
        <v>27</v>
      </c>
      <c r="I4194" s="6">
        <f>TabJogos[[#This Row],[PontosTime1]]-TabJogos[[#This Row],[PontosTime2]]</f>
        <v>-5</v>
      </c>
    </row>
    <row r="4195" spans="1:9" ht="15" customHeight="1" x14ac:dyDescent="0.25">
      <c r="A4195" s="7">
        <v>4194</v>
      </c>
      <c r="B4195" s="1">
        <v>43699</v>
      </c>
      <c r="C4195" s="6" t="s">
        <v>12</v>
      </c>
      <c r="D4195" s="6" t="s">
        <v>13</v>
      </c>
      <c r="E4195" s="6">
        <v>2</v>
      </c>
      <c r="F4195" s="6">
        <v>3</v>
      </c>
      <c r="G4195" s="6" t="s">
        <v>27</v>
      </c>
      <c r="H4195" s="6" t="s">
        <v>41</v>
      </c>
      <c r="I4195" s="6">
        <f>TabJogos[[#This Row],[PontosTime1]]-TabJogos[[#This Row],[PontosTime2]]</f>
        <v>-1</v>
      </c>
    </row>
    <row r="4196" spans="1:9" ht="15" customHeight="1" x14ac:dyDescent="0.25">
      <c r="A4196" s="7">
        <v>4195</v>
      </c>
      <c r="B4196" s="1">
        <v>43699</v>
      </c>
      <c r="C4196" s="6" t="s">
        <v>10</v>
      </c>
      <c r="D4196" s="6" t="s">
        <v>41</v>
      </c>
      <c r="E4196" s="6">
        <v>4</v>
      </c>
      <c r="F4196" s="6">
        <v>1</v>
      </c>
      <c r="G4196" s="6" t="s">
        <v>27</v>
      </c>
      <c r="H4196" s="6" t="s">
        <v>11</v>
      </c>
      <c r="I4196" s="6">
        <f>TabJogos[[#This Row],[PontosTime1]]-TabJogos[[#This Row],[PontosTime2]]</f>
        <v>3</v>
      </c>
    </row>
    <row r="4197" spans="1:9" ht="15" customHeight="1" x14ac:dyDescent="0.25">
      <c r="A4197" s="7">
        <v>4196</v>
      </c>
      <c r="B4197" s="1">
        <v>43699</v>
      </c>
      <c r="C4197" s="6" t="s">
        <v>10</v>
      </c>
      <c r="D4197" s="6" t="s">
        <v>13</v>
      </c>
      <c r="E4197" s="6">
        <v>3</v>
      </c>
      <c r="F4197" s="6">
        <v>0</v>
      </c>
      <c r="G4197" s="6" t="s">
        <v>11</v>
      </c>
      <c r="H4197" s="6" t="s">
        <v>41</v>
      </c>
      <c r="I4197" s="6">
        <f>TabJogos[[#This Row],[PontosTime1]]-TabJogos[[#This Row],[PontosTime2]]</f>
        <v>3</v>
      </c>
    </row>
    <row r="4198" spans="1:9" ht="15" customHeight="1" x14ac:dyDescent="0.25">
      <c r="A4198" s="7">
        <v>4197</v>
      </c>
      <c r="B4198" s="1">
        <v>43699</v>
      </c>
      <c r="C4198" s="6" t="s">
        <v>10</v>
      </c>
      <c r="D4198" s="6" t="s">
        <v>27</v>
      </c>
      <c r="E4198" s="6">
        <v>1</v>
      </c>
      <c r="F4198" s="6">
        <v>4</v>
      </c>
      <c r="G4198" s="6" t="s">
        <v>11</v>
      </c>
      <c r="H4198" s="6" t="s">
        <v>13</v>
      </c>
      <c r="I4198" s="6">
        <f>TabJogos[[#This Row],[PontosTime1]]-TabJogos[[#This Row],[PontosTime2]]</f>
        <v>-3</v>
      </c>
    </row>
    <row r="4199" spans="1:9" ht="15" customHeight="1" x14ac:dyDescent="0.25">
      <c r="A4199" s="7">
        <v>4198</v>
      </c>
      <c r="B4199" s="1">
        <v>43699</v>
      </c>
      <c r="C4199" s="6" t="s">
        <v>11</v>
      </c>
      <c r="D4199" s="6" t="s">
        <v>32</v>
      </c>
      <c r="E4199" s="6">
        <v>3</v>
      </c>
      <c r="F4199" s="6">
        <v>2</v>
      </c>
      <c r="G4199" s="6" t="s">
        <v>13</v>
      </c>
      <c r="H4199" s="6" t="s">
        <v>41</v>
      </c>
      <c r="I4199" s="6">
        <f>TabJogos[[#This Row],[PontosTime1]]-TabJogos[[#This Row],[PontosTime2]]</f>
        <v>1</v>
      </c>
    </row>
    <row r="4200" spans="1:9" ht="15" customHeight="1" x14ac:dyDescent="0.25">
      <c r="A4200" s="7">
        <v>4199</v>
      </c>
      <c r="B4200" s="1">
        <v>43699</v>
      </c>
      <c r="C4200" s="6" t="s">
        <v>32</v>
      </c>
      <c r="D4200" s="6" t="s">
        <v>10</v>
      </c>
      <c r="E4200" s="6">
        <v>3</v>
      </c>
      <c r="F4200" s="6">
        <v>0</v>
      </c>
      <c r="G4200" s="6" t="s">
        <v>27</v>
      </c>
      <c r="H4200" s="6" t="s">
        <v>11</v>
      </c>
      <c r="I4200" s="6">
        <f>TabJogos[[#This Row],[PontosTime1]]-TabJogos[[#This Row],[PontosTime2]]</f>
        <v>3</v>
      </c>
    </row>
    <row r="4201" spans="1:9" ht="15" customHeight="1" x14ac:dyDescent="0.25">
      <c r="A4201" s="7">
        <v>4200</v>
      </c>
      <c r="B4201" s="1">
        <v>43699</v>
      </c>
      <c r="C4201" s="6" t="s">
        <v>32</v>
      </c>
      <c r="D4201" s="6" t="s">
        <v>41</v>
      </c>
      <c r="E4201" s="6">
        <v>3</v>
      </c>
      <c r="F4201" s="6">
        <v>1</v>
      </c>
      <c r="G4201" s="6" t="s">
        <v>10</v>
      </c>
      <c r="H4201" s="6" t="s">
        <v>13</v>
      </c>
      <c r="I4201" s="6">
        <f>TabJogos[[#This Row],[PontosTime1]]-TabJogos[[#This Row],[PontosTime2]]</f>
        <v>2</v>
      </c>
    </row>
    <row r="4202" spans="1:9" ht="15" customHeight="1" x14ac:dyDescent="0.25">
      <c r="A4202" s="7">
        <v>4201</v>
      </c>
      <c r="B4202" s="1">
        <v>43699</v>
      </c>
      <c r="C4202" s="6" t="s">
        <v>11</v>
      </c>
      <c r="D4202" s="6" t="s">
        <v>41</v>
      </c>
      <c r="E4202" s="6">
        <v>3</v>
      </c>
      <c r="F4202" s="6">
        <v>0</v>
      </c>
      <c r="G4202" s="6" t="s">
        <v>13</v>
      </c>
      <c r="H4202" s="6" t="s">
        <v>32</v>
      </c>
      <c r="I4202" s="6">
        <f>TabJogos[[#This Row],[PontosTime1]]-TabJogos[[#This Row],[PontosTime2]]</f>
        <v>3</v>
      </c>
    </row>
    <row r="4203" spans="1:9" ht="15" customHeight="1" x14ac:dyDescent="0.25">
      <c r="A4203" s="7">
        <v>4202</v>
      </c>
      <c r="B4203" s="1">
        <v>43699</v>
      </c>
      <c r="C4203" s="6" t="s">
        <v>11</v>
      </c>
      <c r="D4203" s="6" t="s">
        <v>32</v>
      </c>
      <c r="E4203" s="6">
        <v>5</v>
      </c>
      <c r="F4203" s="6">
        <v>1</v>
      </c>
      <c r="G4203" s="6" t="s">
        <v>13</v>
      </c>
      <c r="H4203" s="6" t="s">
        <v>41</v>
      </c>
      <c r="I4203" s="6">
        <f>TabJogos[[#This Row],[PontosTime1]]-TabJogos[[#This Row],[PontosTime2]]</f>
        <v>4</v>
      </c>
    </row>
    <row r="4204" spans="1:9" ht="15" customHeight="1" x14ac:dyDescent="0.25">
      <c r="A4204" s="7">
        <v>4203</v>
      </c>
      <c r="B4204" s="1">
        <v>43700</v>
      </c>
      <c r="C4204" s="6" t="s">
        <v>18</v>
      </c>
      <c r="D4204" s="6" t="s">
        <v>10</v>
      </c>
      <c r="E4204" s="6">
        <v>1</v>
      </c>
      <c r="F4204" s="6">
        <v>3</v>
      </c>
      <c r="G4204" s="6" t="s">
        <v>11</v>
      </c>
      <c r="H4204" s="6" t="s">
        <v>12</v>
      </c>
      <c r="I4204" s="6">
        <f>TabJogos[[#This Row],[PontosTime1]]-TabJogos[[#This Row],[PontosTime2]]</f>
        <v>-2</v>
      </c>
    </row>
    <row r="4205" spans="1:9" ht="15" customHeight="1" x14ac:dyDescent="0.25">
      <c r="A4205" s="7">
        <v>4204</v>
      </c>
      <c r="B4205" s="1">
        <v>43700</v>
      </c>
      <c r="C4205" s="6" t="s">
        <v>11</v>
      </c>
      <c r="D4205" s="6" t="s">
        <v>10</v>
      </c>
      <c r="E4205" s="6">
        <v>1</v>
      </c>
      <c r="F4205" s="6">
        <v>4</v>
      </c>
      <c r="G4205" s="6" t="s">
        <v>18</v>
      </c>
      <c r="H4205" s="6" t="s">
        <v>12</v>
      </c>
      <c r="I4205" s="6">
        <f>TabJogos[[#This Row],[PontosTime1]]-TabJogos[[#This Row],[PontosTime2]]</f>
        <v>-3</v>
      </c>
    </row>
    <row r="4206" spans="1:9" ht="15" customHeight="1" x14ac:dyDescent="0.25">
      <c r="A4206" s="7">
        <v>4205</v>
      </c>
      <c r="B4206" s="1">
        <v>43700</v>
      </c>
      <c r="C4206" s="6" t="s">
        <v>12</v>
      </c>
      <c r="D4206" s="6" t="s">
        <v>10</v>
      </c>
      <c r="E4206" s="6">
        <v>1</v>
      </c>
      <c r="F4206" s="6">
        <v>4</v>
      </c>
      <c r="G4206" s="6" t="s">
        <v>13</v>
      </c>
      <c r="H4206" s="6" t="s">
        <v>18</v>
      </c>
      <c r="I4206" s="6">
        <f>TabJogos[[#This Row],[PontosTime1]]-TabJogos[[#This Row],[PontosTime2]]</f>
        <v>-3</v>
      </c>
    </row>
    <row r="4207" spans="1:9" ht="15" customHeight="1" x14ac:dyDescent="0.25">
      <c r="A4207" s="7">
        <v>4206</v>
      </c>
      <c r="B4207" s="1">
        <v>43700</v>
      </c>
      <c r="C4207" s="6" t="s">
        <v>11</v>
      </c>
      <c r="D4207" s="6" t="s">
        <v>18</v>
      </c>
      <c r="E4207" s="6">
        <v>0</v>
      </c>
      <c r="F4207" s="6">
        <v>3</v>
      </c>
      <c r="G4207" s="6" t="s">
        <v>13</v>
      </c>
      <c r="H4207" s="6" t="s">
        <v>10</v>
      </c>
      <c r="I4207" s="6">
        <f>TabJogos[[#This Row],[PontosTime1]]-TabJogos[[#This Row],[PontosTime2]]</f>
        <v>-3</v>
      </c>
    </row>
    <row r="4208" spans="1:9" ht="15" customHeight="1" x14ac:dyDescent="0.25">
      <c r="A4208" s="7">
        <v>4207</v>
      </c>
      <c r="B4208" s="1">
        <v>43700</v>
      </c>
      <c r="C4208" s="6" t="s">
        <v>11</v>
      </c>
      <c r="D4208" s="6" t="s">
        <v>13</v>
      </c>
      <c r="E4208" s="6">
        <v>2</v>
      </c>
      <c r="F4208" s="6">
        <v>3</v>
      </c>
      <c r="G4208" s="6" t="s">
        <v>10</v>
      </c>
      <c r="H4208" s="6" t="s">
        <v>18</v>
      </c>
      <c r="I4208" s="6">
        <f>TabJogos[[#This Row],[PontosTime1]]-TabJogos[[#This Row],[PontosTime2]]</f>
        <v>-1</v>
      </c>
    </row>
    <row r="4209" spans="1:9" ht="15" customHeight="1" x14ac:dyDescent="0.25">
      <c r="A4209" s="7">
        <v>4208</v>
      </c>
      <c r="B4209" s="1">
        <v>43700</v>
      </c>
      <c r="C4209" s="6" t="s">
        <v>18</v>
      </c>
      <c r="D4209" s="6" t="s">
        <v>41</v>
      </c>
      <c r="E4209" s="6">
        <v>6</v>
      </c>
      <c r="F4209" s="6">
        <v>1</v>
      </c>
      <c r="G4209" s="6" t="s">
        <v>10</v>
      </c>
      <c r="H4209" s="6" t="s">
        <v>11</v>
      </c>
      <c r="I4209" s="6">
        <f>TabJogos[[#This Row],[PontosTime1]]-TabJogos[[#This Row],[PontosTime2]]</f>
        <v>5</v>
      </c>
    </row>
    <row r="4210" spans="1:9" ht="15" customHeight="1" x14ac:dyDescent="0.25">
      <c r="A4210" s="7">
        <v>4209</v>
      </c>
      <c r="B4210" s="1">
        <v>43700</v>
      </c>
      <c r="C4210" s="6" t="s">
        <v>13</v>
      </c>
      <c r="D4210" s="6" t="s">
        <v>41</v>
      </c>
      <c r="E4210" s="6">
        <v>3</v>
      </c>
      <c r="F4210" s="6">
        <v>0</v>
      </c>
      <c r="G4210" s="6" t="s">
        <v>11</v>
      </c>
      <c r="H4210" s="6" t="s">
        <v>18</v>
      </c>
      <c r="I4210" s="6">
        <f>TabJogos[[#This Row],[PontosTime1]]-TabJogos[[#This Row],[PontosTime2]]</f>
        <v>3</v>
      </c>
    </row>
    <row r="4211" spans="1:9" ht="15" customHeight="1" x14ac:dyDescent="0.25">
      <c r="A4211" s="7">
        <v>4210</v>
      </c>
      <c r="B4211" s="1">
        <v>43700</v>
      </c>
      <c r="C4211" s="6" t="s">
        <v>10</v>
      </c>
      <c r="D4211" s="6" t="s">
        <v>13</v>
      </c>
      <c r="E4211" s="6">
        <v>5</v>
      </c>
      <c r="F4211" s="6">
        <v>2</v>
      </c>
      <c r="G4211" s="6" t="s">
        <v>11</v>
      </c>
      <c r="H4211" s="6" t="s">
        <v>41</v>
      </c>
      <c r="I4211" s="6">
        <f>TabJogos[[#This Row],[PontosTime1]]-TabJogos[[#This Row],[PontosTime2]]</f>
        <v>3</v>
      </c>
    </row>
    <row r="4212" spans="1:9" ht="15" customHeight="1" x14ac:dyDescent="0.25">
      <c r="A4212" s="7">
        <v>4211</v>
      </c>
      <c r="B4212" s="1">
        <v>43700</v>
      </c>
      <c r="C4212" s="6" t="s">
        <v>13</v>
      </c>
      <c r="D4212" s="6" t="s">
        <v>18</v>
      </c>
      <c r="E4212" s="6">
        <v>3</v>
      </c>
      <c r="F4212" s="6">
        <v>2</v>
      </c>
      <c r="G4212" s="6" t="s">
        <v>11</v>
      </c>
      <c r="H4212" s="6" t="s">
        <v>10</v>
      </c>
      <c r="I4212" s="6">
        <f>TabJogos[[#This Row],[PontosTime1]]-TabJogos[[#This Row],[PontosTime2]]</f>
        <v>1</v>
      </c>
    </row>
    <row r="4213" spans="1:9" ht="15" customHeight="1" x14ac:dyDescent="0.25">
      <c r="A4213" s="7">
        <v>4212</v>
      </c>
      <c r="B4213" s="1">
        <v>43700</v>
      </c>
      <c r="C4213" s="6" t="s">
        <v>11</v>
      </c>
      <c r="D4213" s="6" t="s">
        <v>13</v>
      </c>
      <c r="E4213" s="6">
        <v>1</v>
      </c>
      <c r="F4213" s="6">
        <v>4</v>
      </c>
      <c r="G4213" s="6" t="s">
        <v>10</v>
      </c>
      <c r="H4213" s="6" t="s">
        <v>18</v>
      </c>
      <c r="I4213" s="6">
        <f>TabJogos[[#This Row],[PontosTime1]]-TabJogos[[#This Row],[PontosTime2]]</f>
        <v>-3</v>
      </c>
    </row>
    <row r="4214" spans="1:9" ht="15" customHeight="1" x14ac:dyDescent="0.25">
      <c r="A4214" s="7">
        <v>4213</v>
      </c>
      <c r="B4214" s="1">
        <v>43700</v>
      </c>
      <c r="C4214" s="6" t="s">
        <v>41</v>
      </c>
      <c r="D4214" s="6" t="s">
        <v>13</v>
      </c>
      <c r="E4214" s="6">
        <v>3</v>
      </c>
      <c r="F4214" s="6">
        <v>2</v>
      </c>
      <c r="G4214" s="6" t="s">
        <v>11</v>
      </c>
      <c r="H4214" s="6" t="s">
        <v>18</v>
      </c>
      <c r="I4214" s="6">
        <f>TabJogos[[#This Row],[PontosTime1]]-TabJogos[[#This Row],[PontosTime2]]</f>
        <v>1</v>
      </c>
    </row>
    <row r="4215" spans="1:9" ht="15" customHeight="1" x14ac:dyDescent="0.25">
      <c r="A4215" s="7">
        <v>4214</v>
      </c>
      <c r="B4215" s="1">
        <v>43703</v>
      </c>
      <c r="C4215" s="6" t="s">
        <v>32</v>
      </c>
      <c r="D4215" s="6" t="s">
        <v>11</v>
      </c>
      <c r="E4215" s="6">
        <v>3</v>
      </c>
      <c r="F4215" s="6">
        <v>1</v>
      </c>
      <c r="G4215" s="6" t="s">
        <v>13</v>
      </c>
      <c r="H4215" s="6" t="s">
        <v>18</v>
      </c>
      <c r="I4215" s="6">
        <f>TabJogos[[#This Row],[PontosTime1]]-TabJogos[[#This Row],[PontosTime2]]</f>
        <v>2</v>
      </c>
    </row>
    <row r="4216" spans="1:9" ht="15" customHeight="1" x14ac:dyDescent="0.25">
      <c r="A4216" s="7">
        <v>4215</v>
      </c>
      <c r="B4216" s="1">
        <v>43703</v>
      </c>
      <c r="C4216" s="6" t="s">
        <v>11</v>
      </c>
      <c r="D4216" s="6" t="s">
        <v>18</v>
      </c>
      <c r="E4216" s="6">
        <v>3</v>
      </c>
      <c r="F4216" s="6">
        <v>1</v>
      </c>
      <c r="G4216" s="6" t="s">
        <v>13</v>
      </c>
      <c r="H4216" s="6" t="s">
        <v>32</v>
      </c>
      <c r="I4216" s="6">
        <f>TabJogos[[#This Row],[PontosTime1]]-TabJogos[[#This Row],[PontosTime2]]</f>
        <v>2</v>
      </c>
    </row>
    <row r="4217" spans="1:9" ht="15" customHeight="1" x14ac:dyDescent="0.25">
      <c r="A4217" s="7">
        <v>4216</v>
      </c>
      <c r="B4217" s="1">
        <v>43703</v>
      </c>
      <c r="C4217" s="6" t="s">
        <v>11</v>
      </c>
      <c r="D4217" s="6" t="s">
        <v>41</v>
      </c>
      <c r="E4217" s="6">
        <v>1</v>
      </c>
      <c r="F4217" s="6">
        <v>3</v>
      </c>
      <c r="G4217" s="6" t="s">
        <v>32</v>
      </c>
      <c r="H4217" s="6" t="s">
        <v>18</v>
      </c>
      <c r="I4217" s="6">
        <f>TabJogos[[#This Row],[PontosTime1]]-TabJogos[[#This Row],[PontosTime2]]</f>
        <v>-2</v>
      </c>
    </row>
    <row r="4218" spans="1:9" ht="15" customHeight="1" x14ac:dyDescent="0.25">
      <c r="A4218" s="7">
        <v>4217</v>
      </c>
      <c r="B4218" s="1">
        <v>43703</v>
      </c>
      <c r="C4218" s="6" t="s">
        <v>16</v>
      </c>
      <c r="D4218" s="6" t="s">
        <v>32</v>
      </c>
      <c r="E4218" s="6">
        <v>5</v>
      </c>
      <c r="F4218" s="6">
        <v>1</v>
      </c>
      <c r="G4218" s="6" t="s">
        <v>13</v>
      </c>
      <c r="H4218" s="6" t="s">
        <v>18</v>
      </c>
      <c r="I4218" s="6">
        <f>TabJogos[[#This Row],[PontosTime1]]-TabJogos[[#This Row],[PontosTime2]]</f>
        <v>4</v>
      </c>
    </row>
    <row r="4219" spans="1:9" ht="15" customHeight="1" x14ac:dyDescent="0.25">
      <c r="A4219" s="7">
        <v>4218</v>
      </c>
      <c r="B4219" s="1">
        <v>43703</v>
      </c>
      <c r="C4219" s="6" t="s">
        <v>16</v>
      </c>
      <c r="D4219" s="6" t="s">
        <v>11</v>
      </c>
      <c r="E4219" s="6">
        <v>3</v>
      </c>
      <c r="F4219" s="6">
        <v>0</v>
      </c>
      <c r="G4219" s="6" t="s">
        <v>41</v>
      </c>
      <c r="H4219" s="6" t="s">
        <v>32</v>
      </c>
      <c r="I4219" s="6">
        <f>TabJogos[[#This Row],[PontosTime1]]-TabJogos[[#This Row],[PontosTime2]]</f>
        <v>3</v>
      </c>
    </row>
    <row r="4220" spans="1:9" ht="15" customHeight="1" x14ac:dyDescent="0.25">
      <c r="A4220" s="7">
        <v>4219</v>
      </c>
      <c r="B4220" s="1">
        <v>43703</v>
      </c>
      <c r="C4220" s="6" t="s">
        <v>16</v>
      </c>
      <c r="D4220" s="6" t="s">
        <v>18</v>
      </c>
      <c r="E4220" s="6">
        <v>3</v>
      </c>
      <c r="F4220" s="6">
        <v>2</v>
      </c>
      <c r="G4220" s="6" t="s">
        <v>11</v>
      </c>
      <c r="H4220" s="6" t="s">
        <v>13</v>
      </c>
      <c r="I4220" s="6">
        <f>TabJogos[[#This Row],[PontosTime1]]-TabJogos[[#This Row],[PontosTime2]]</f>
        <v>1</v>
      </c>
    </row>
    <row r="4221" spans="1:9" ht="15" customHeight="1" x14ac:dyDescent="0.25">
      <c r="A4221" s="7">
        <v>4220</v>
      </c>
      <c r="B4221" s="1">
        <v>43703</v>
      </c>
      <c r="C4221" s="6" t="s">
        <v>16</v>
      </c>
      <c r="D4221" s="6" t="s">
        <v>41</v>
      </c>
      <c r="E4221" s="6">
        <v>0</v>
      </c>
      <c r="F4221" s="6">
        <v>3</v>
      </c>
      <c r="G4221" s="6" t="s">
        <v>32</v>
      </c>
      <c r="H4221" s="6" t="s">
        <v>18</v>
      </c>
      <c r="I4221" s="6">
        <f>TabJogos[[#This Row],[PontosTime1]]-TabJogos[[#This Row],[PontosTime2]]</f>
        <v>-3</v>
      </c>
    </row>
    <row r="4222" spans="1:9" ht="15" customHeight="1" x14ac:dyDescent="0.25">
      <c r="A4222" s="7">
        <v>4221</v>
      </c>
      <c r="B4222" s="1">
        <v>43703</v>
      </c>
      <c r="C4222" s="6" t="s">
        <v>11</v>
      </c>
      <c r="D4222" s="6" t="s">
        <v>32</v>
      </c>
      <c r="E4222" s="6">
        <v>1</v>
      </c>
      <c r="F4222" s="6">
        <v>3</v>
      </c>
      <c r="G4222" s="6" t="s">
        <v>13</v>
      </c>
      <c r="H4222" s="6" t="s">
        <v>11</v>
      </c>
      <c r="I4222" s="6">
        <f>TabJogos[[#This Row],[PontosTime1]]-TabJogos[[#This Row],[PontosTime2]]</f>
        <v>-2</v>
      </c>
    </row>
    <row r="4223" spans="1:9" ht="15" customHeight="1" x14ac:dyDescent="0.25">
      <c r="A4223" s="7">
        <v>4222</v>
      </c>
      <c r="B4223" s="1">
        <v>43703</v>
      </c>
      <c r="C4223" s="6" t="s">
        <v>32</v>
      </c>
      <c r="D4223" s="6" t="s">
        <v>13</v>
      </c>
      <c r="E4223" s="6">
        <v>3</v>
      </c>
      <c r="F4223" s="6">
        <v>2</v>
      </c>
      <c r="G4223" s="6" t="s">
        <v>18</v>
      </c>
      <c r="H4223" s="6" t="s">
        <v>41</v>
      </c>
      <c r="I4223" s="6">
        <f>TabJogos[[#This Row],[PontosTime1]]-TabJogos[[#This Row],[PontosTime2]]</f>
        <v>1</v>
      </c>
    </row>
    <row r="4224" spans="1:9" ht="15" customHeight="1" x14ac:dyDescent="0.25">
      <c r="A4224" s="7">
        <v>4223</v>
      </c>
      <c r="B4224" s="1">
        <v>43703</v>
      </c>
      <c r="C4224" s="6" t="s">
        <v>11</v>
      </c>
      <c r="D4224" s="6" t="s">
        <v>13</v>
      </c>
      <c r="E4224" s="6">
        <v>1</v>
      </c>
      <c r="F4224" s="6">
        <v>5</v>
      </c>
      <c r="G4224" s="6" t="s">
        <v>18</v>
      </c>
      <c r="H4224" s="6" t="s">
        <v>32</v>
      </c>
      <c r="I4224" s="6">
        <f>TabJogos[[#This Row],[PontosTime1]]-TabJogos[[#This Row],[PontosTime2]]</f>
        <v>-4</v>
      </c>
    </row>
    <row r="4225" spans="1:9" ht="15" customHeight="1" x14ac:dyDescent="0.25">
      <c r="A4225" s="7">
        <v>4224</v>
      </c>
      <c r="B4225" s="1">
        <v>43704</v>
      </c>
      <c r="C4225" s="6" t="s">
        <v>11</v>
      </c>
      <c r="D4225" s="6" t="s">
        <v>18</v>
      </c>
      <c r="E4225" s="6">
        <v>3</v>
      </c>
      <c r="F4225" s="6">
        <v>0</v>
      </c>
      <c r="G4225" s="6" t="s">
        <v>13</v>
      </c>
      <c r="H4225" s="6" t="s">
        <v>12</v>
      </c>
      <c r="I4225" s="6">
        <f>TabJogos[[#This Row],[PontosTime1]]-TabJogos[[#This Row],[PontosTime2]]</f>
        <v>3</v>
      </c>
    </row>
    <row r="4226" spans="1:9" ht="15" customHeight="1" x14ac:dyDescent="0.25">
      <c r="A4226" s="7">
        <v>4225</v>
      </c>
      <c r="B4226" s="1">
        <v>43704</v>
      </c>
      <c r="C4226" s="6" t="s">
        <v>18</v>
      </c>
      <c r="D4226" s="6" t="s">
        <v>12</v>
      </c>
      <c r="E4226" s="6">
        <v>3</v>
      </c>
      <c r="F4226" s="6">
        <v>1</v>
      </c>
      <c r="G4226" s="6" t="s">
        <v>11</v>
      </c>
      <c r="H4226" s="6" t="s">
        <v>27</v>
      </c>
      <c r="I4226" s="6">
        <f>TabJogos[[#This Row],[PontosTime1]]-TabJogos[[#This Row],[PontosTime2]]</f>
        <v>2</v>
      </c>
    </row>
    <row r="4227" spans="1:9" ht="15" customHeight="1" x14ac:dyDescent="0.25">
      <c r="A4227" s="7">
        <v>4226</v>
      </c>
      <c r="B4227" s="1">
        <v>43704</v>
      </c>
      <c r="C4227" s="6" t="s">
        <v>18</v>
      </c>
      <c r="D4227" s="6" t="s">
        <v>13</v>
      </c>
      <c r="E4227" s="6">
        <v>3</v>
      </c>
      <c r="F4227" s="6">
        <v>2</v>
      </c>
      <c r="G4227" s="6" t="s">
        <v>41</v>
      </c>
      <c r="H4227" s="6" t="s">
        <v>12</v>
      </c>
      <c r="I4227" s="6">
        <f>TabJogos[[#This Row],[PontosTime1]]-TabJogos[[#This Row],[PontosTime2]]</f>
        <v>1</v>
      </c>
    </row>
    <row r="4228" spans="1:9" ht="15" customHeight="1" x14ac:dyDescent="0.25">
      <c r="A4228" s="7">
        <v>4227</v>
      </c>
      <c r="B4228" s="1">
        <v>43704</v>
      </c>
      <c r="C4228" s="6" t="s">
        <v>11</v>
      </c>
      <c r="D4228" s="6" t="s">
        <v>13</v>
      </c>
      <c r="E4228" s="6">
        <v>3</v>
      </c>
      <c r="F4228" s="6">
        <v>1</v>
      </c>
      <c r="G4228" s="6" t="s">
        <v>18</v>
      </c>
      <c r="H4228" s="6" t="s">
        <v>27</v>
      </c>
      <c r="I4228" s="6">
        <f>TabJogos[[#This Row],[PontosTime1]]-TabJogos[[#This Row],[PontosTime2]]</f>
        <v>2</v>
      </c>
    </row>
    <row r="4229" spans="1:9" ht="15" customHeight="1" x14ac:dyDescent="0.25">
      <c r="A4229" s="7">
        <v>4228</v>
      </c>
      <c r="B4229" s="1">
        <v>43704</v>
      </c>
      <c r="C4229" s="6" t="s">
        <v>11</v>
      </c>
      <c r="D4229" s="6" t="s">
        <v>32</v>
      </c>
      <c r="E4229" s="6">
        <v>3</v>
      </c>
      <c r="F4229" s="6">
        <v>2</v>
      </c>
      <c r="G4229" s="6" t="s">
        <v>13</v>
      </c>
      <c r="H4229" s="6" t="s">
        <v>41</v>
      </c>
      <c r="I4229" s="6">
        <f>TabJogos[[#This Row],[PontosTime1]]-TabJogos[[#This Row],[PontosTime2]]</f>
        <v>1</v>
      </c>
    </row>
    <row r="4230" spans="1:9" ht="15" customHeight="1" x14ac:dyDescent="0.25">
      <c r="A4230" s="7">
        <v>4229</v>
      </c>
      <c r="B4230" s="1">
        <v>43704</v>
      </c>
      <c r="C4230" s="6" t="s">
        <v>11</v>
      </c>
      <c r="D4230" s="6" t="s">
        <v>27</v>
      </c>
      <c r="E4230" s="6">
        <v>0</v>
      </c>
      <c r="F4230" s="6">
        <v>4</v>
      </c>
      <c r="G4230" s="6" t="s">
        <v>18</v>
      </c>
      <c r="H4230" s="6" t="s">
        <v>32</v>
      </c>
      <c r="I4230" s="6">
        <f>TabJogos[[#This Row],[PontosTime1]]-TabJogos[[#This Row],[PontosTime2]]</f>
        <v>-4</v>
      </c>
    </row>
    <row r="4231" spans="1:9" ht="15" customHeight="1" x14ac:dyDescent="0.25">
      <c r="A4231" s="7">
        <v>4230</v>
      </c>
      <c r="B4231" s="1">
        <v>43704</v>
      </c>
      <c r="C4231" s="6" t="s">
        <v>41</v>
      </c>
      <c r="D4231" s="6" t="s">
        <v>18</v>
      </c>
      <c r="E4231" s="6">
        <v>1</v>
      </c>
      <c r="F4231" s="6">
        <v>3</v>
      </c>
      <c r="G4231" s="6" t="s">
        <v>32</v>
      </c>
      <c r="H4231" s="6" t="s">
        <v>13</v>
      </c>
      <c r="I4231" s="6">
        <f>TabJogos[[#This Row],[PontosTime1]]-TabJogos[[#This Row],[PontosTime2]]</f>
        <v>-2</v>
      </c>
    </row>
    <row r="4232" spans="1:9" ht="15" customHeight="1" x14ac:dyDescent="0.25">
      <c r="A4232" s="7">
        <v>4231</v>
      </c>
      <c r="B4232" s="1">
        <v>43704</v>
      </c>
      <c r="C4232" s="6" t="s">
        <v>13</v>
      </c>
      <c r="D4232" s="6" t="s">
        <v>11</v>
      </c>
      <c r="E4232" s="6">
        <v>1</v>
      </c>
      <c r="F4232" s="6">
        <v>6</v>
      </c>
      <c r="G4232" s="6" t="s">
        <v>32</v>
      </c>
      <c r="H4232" s="6" t="s">
        <v>13</v>
      </c>
      <c r="I4232" s="6">
        <f>TabJogos[[#This Row],[PontosTime1]]-TabJogos[[#This Row],[PontosTime2]]</f>
        <v>-5</v>
      </c>
    </row>
    <row r="4233" spans="1:9" ht="15" customHeight="1" x14ac:dyDescent="0.25">
      <c r="A4233" s="7">
        <v>4232</v>
      </c>
      <c r="B4233" s="1">
        <v>43704</v>
      </c>
      <c r="C4233" s="6" t="s">
        <v>27</v>
      </c>
      <c r="D4233" s="6" t="s">
        <v>18</v>
      </c>
      <c r="E4233" s="6">
        <v>6</v>
      </c>
      <c r="F4233" s="6">
        <v>0</v>
      </c>
      <c r="G4233" s="6" t="s">
        <v>41</v>
      </c>
      <c r="H4233" s="6" t="s">
        <v>32</v>
      </c>
      <c r="I4233" s="6">
        <f>TabJogos[[#This Row],[PontosTime1]]-TabJogos[[#This Row],[PontosTime2]]</f>
        <v>6</v>
      </c>
    </row>
    <row r="4234" spans="1:9" ht="15" customHeight="1" x14ac:dyDescent="0.25">
      <c r="A4234" s="7">
        <v>4233</v>
      </c>
      <c r="B4234" s="1">
        <v>43704</v>
      </c>
      <c r="C4234" s="6" t="s">
        <v>27</v>
      </c>
      <c r="D4234" s="6" t="s">
        <v>13</v>
      </c>
      <c r="E4234" s="6">
        <v>3</v>
      </c>
      <c r="F4234" s="6">
        <v>2</v>
      </c>
      <c r="G4234" s="6" t="s">
        <v>18</v>
      </c>
      <c r="H4234" s="6" t="s">
        <v>11</v>
      </c>
      <c r="I4234" s="6">
        <f>TabJogos[[#This Row],[PontosTime1]]-TabJogos[[#This Row],[PontosTime2]]</f>
        <v>1</v>
      </c>
    </row>
    <row r="4235" spans="1:9" ht="15" customHeight="1" x14ac:dyDescent="0.25">
      <c r="A4235" s="7">
        <v>4234</v>
      </c>
      <c r="B4235" s="1">
        <v>43704</v>
      </c>
      <c r="C4235" s="6" t="s">
        <v>32</v>
      </c>
      <c r="D4235" s="6" t="s">
        <v>13</v>
      </c>
      <c r="E4235" s="6">
        <v>3</v>
      </c>
      <c r="F4235" s="6">
        <v>0</v>
      </c>
      <c r="G4235" s="6" t="s">
        <v>41</v>
      </c>
      <c r="H4235" s="6" t="s">
        <v>27</v>
      </c>
      <c r="I4235" s="6">
        <f>TabJogos[[#This Row],[PontosTime1]]-TabJogos[[#This Row],[PontosTime2]]</f>
        <v>3</v>
      </c>
    </row>
    <row r="4236" spans="1:9" ht="15" customHeight="1" x14ac:dyDescent="0.25">
      <c r="A4236" s="7">
        <v>4235</v>
      </c>
      <c r="B4236" s="1">
        <v>43704</v>
      </c>
      <c r="C4236" s="6" t="s">
        <v>11</v>
      </c>
      <c r="D4236" s="6" t="s">
        <v>32</v>
      </c>
      <c r="E4236" s="6">
        <v>4</v>
      </c>
      <c r="F4236" s="6">
        <v>2</v>
      </c>
      <c r="G4236" s="6" t="s">
        <v>18</v>
      </c>
      <c r="H4236" s="6" t="s">
        <v>13</v>
      </c>
      <c r="I4236" s="6">
        <f>TabJogos[[#This Row],[PontosTime1]]-TabJogos[[#This Row],[PontosTime2]]</f>
        <v>2</v>
      </c>
    </row>
    <row r="4237" spans="1:9" ht="15" customHeight="1" x14ac:dyDescent="0.25">
      <c r="A4237" s="7">
        <v>4236</v>
      </c>
      <c r="B4237" s="1">
        <v>43705</v>
      </c>
      <c r="C4237" s="6" t="s">
        <v>10</v>
      </c>
      <c r="D4237" s="6" t="s">
        <v>12</v>
      </c>
      <c r="E4237" s="6">
        <v>3</v>
      </c>
      <c r="F4237" s="6">
        <v>1</v>
      </c>
      <c r="G4237" s="6" t="s">
        <v>27</v>
      </c>
      <c r="H4237" s="6" t="s">
        <v>11</v>
      </c>
      <c r="I4237" s="6">
        <f>TabJogos[[#This Row],[PontosTime1]]-TabJogos[[#This Row],[PontosTime2]]</f>
        <v>2</v>
      </c>
    </row>
    <row r="4238" spans="1:9" ht="15" customHeight="1" x14ac:dyDescent="0.25">
      <c r="A4238" s="7">
        <v>4237</v>
      </c>
      <c r="B4238" s="1">
        <v>43705</v>
      </c>
      <c r="C4238" s="6" t="s">
        <v>10</v>
      </c>
      <c r="D4238" s="6" t="s">
        <v>13</v>
      </c>
      <c r="E4238" s="6">
        <v>2</v>
      </c>
      <c r="F4238" s="6">
        <v>3</v>
      </c>
      <c r="G4238" s="6" t="s">
        <v>12</v>
      </c>
      <c r="H4238" s="6" t="s">
        <v>11</v>
      </c>
      <c r="I4238" s="6">
        <f>TabJogos[[#This Row],[PontosTime1]]-TabJogos[[#This Row],[PontosTime2]]</f>
        <v>-1</v>
      </c>
    </row>
    <row r="4239" spans="1:9" ht="15" customHeight="1" x14ac:dyDescent="0.25">
      <c r="A4239" s="7">
        <v>4238</v>
      </c>
      <c r="B4239" s="1">
        <v>43705</v>
      </c>
      <c r="C4239" s="6" t="s">
        <v>11</v>
      </c>
      <c r="D4239" s="6" t="s">
        <v>13</v>
      </c>
      <c r="E4239" s="6">
        <v>3</v>
      </c>
      <c r="F4239" s="6">
        <v>1</v>
      </c>
      <c r="G4239" s="6" t="s">
        <v>27</v>
      </c>
      <c r="H4239" s="6" t="s">
        <v>12</v>
      </c>
      <c r="I4239" s="6">
        <f>TabJogos[[#This Row],[PontosTime1]]-TabJogos[[#This Row],[PontosTime2]]</f>
        <v>2</v>
      </c>
    </row>
    <row r="4240" spans="1:9" ht="15" customHeight="1" x14ac:dyDescent="0.25">
      <c r="A4240" s="7">
        <v>4239</v>
      </c>
      <c r="B4240" s="1">
        <v>43705</v>
      </c>
      <c r="C4240" s="6" t="s">
        <v>10</v>
      </c>
      <c r="D4240" s="6" t="s">
        <v>11</v>
      </c>
      <c r="E4240" s="6">
        <v>1</v>
      </c>
      <c r="F4240" s="6">
        <v>3</v>
      </c>
      <c r="G4240" s="6" t="s">
        <v>13</v>
      </c>
      <c r="H4240" s="6" t="s">
        <v>12</v>
      </c>
      <c r="I4240" s="6">
        <f>TabJogos[[#This Row],[PontosTime1]]-TabJogos[[#This Row],[PontosTime2]]</f>
        <v>-2</v>
      </c>
    </row>
    <row r="4241" spans="1:9" ht="15" customHeight="1" x14ac:dyDescent="0.25">
      <c r="A4241" s="7">
        <v>4240</v>
      </c>
      <c r="B4241" s="1">
        <v>43705</v>
      </c>
      <c r="C4241" s="6" t="s">
        <v>27</v>
      </c>
      <c r="D4241" s="6" t="s">
        <v>32</v>
      </c>
      <c r="E4241" s="6">
        <v>3</v>
      </c>
      <c r="F4241" s="6">
        <v>0</v>
      </c>
      <c r="G4241" s="6" t="s">
        <v>13</v>
      </c>
      <c r="H4241" s="6" t="s">
        <v>41</v>
      </c>
      <c r="I4241" s="6">
        <f>TabJogos[[#This Row],[PontosTime1]]-TabJogos[[#This Row],[PontosTime2]]</f>
        <v>3</v>
      </c>
    </row>
    <row r="4242" spans="1:9" ht="15" customHeight="1" x14ac:dyDescent="0.25">
      <c r="A4242" s="7">
        <v>4241</v>
      </c>
      <c r="B4242" s="1">
        <v>43705</v>
      </c>
      <c r="C4242" s="6" t="s">
        <v>11</v>
      </c>
      <c r="D4242" s="6" t="s">
        <v>32</v>
      </c>
      <c r="E4242" s="6">
        <v>1</v>
      </c>
      <c r="F4242" s="6">
        <v>5</v>
      </c>
      <c r="G4242" s="6" t="s">
        <v>27</v>
      </c>
      <c r="H4242" s="6" t="s">
        <v>10</v>
      </c>
      <c r="I4242" s="6">
        <f>TabJogos[[#This Row],[PontosTime1]]-TabJogos[[#This Row],[PontosTime2]]</f>
        <v>-4</v>
      </c>
    </row>
    <row r="4243" spans="1:9" ht="15" customHeight="1" x14ac:dyDescent="0.25">
      <c r="A4243" s="7">
        <v>4242</v>
      </c>
      <c r="B4243" s="1">
        <v>43705</v>
      </c>
      <c r="C4243" s="6" t="s">
        <v>10</v>
      </c>
      <c r="D4243" s="6" t="s">
        <v>41</v>
      </c>
      <c r="E4243" s="6">
        <v>4</v>
      </c>
      <c r="F4243" s="6">
        <v>1</v>
      </c>
      <c r="G4243" s="6" t="s">
        <v>27</v>
      </c>
      <c r="H4243" s="6" t="s">
        <v>11</v>
      </c>
      <c r="I4243" s="6">
        <f>TabJogos[[#This Row],[PontosTime1]]-TabJogos[[#This Row],[PontosTime2]]</f>
        <v>3</v>
      </c>
    </row>
    <row r="4244" spans="1:9" ht="15" customHeight="1" x14ac:dyDescent="0.25">
      <c r="A4244" s="7">
        <v>4243</v>
      </c>
      <c r="B4244" s="1">
        <v>43705</v>
      </c>
      <c r="C4244" s="6" t="s">
        <v>27</v>
      </c>
      <c r="D4244" s="6" t="s">
        <v>10</v>
      </c>
      <c r="E4244" s="6">
        <v>2</v>
      </c>
      <c r="F4244" s="6">
        <v>3</v>
      </c>
      <c r="G4244" s="6" t="s">
        <v>41</v>
      </c>
      <c r="H4244" s="6" t="s">
        <v>32</v>
      </c>
      <c r="I4244" s="6">
        <f>TabJogos[[#This Row],[PontosTime1]]-TabJogos[[#This Row],[PontosTime2]]</f>
        <v>-1</v>
      </c>
    </row>
    <row r="4245" spans="1:9" ht="15" customHeight="1" x14ac:dyDescent="0.25">
      <c r="A4245" s="7">
        <v>4244</v>
      </c>
      <c r="B4245" s="1">
        <v>43705</v>
      </c>
      <c r="C4245" s="6" t="s">
        <v>32</v>
      </c>
      <c r="D4245" s="6" t="s">
        <v>13</v>
      </c>
      <c r="E4245" s="6">
        <v>1</v>
      </c>
      <c r="F4245" s="6">
        <v>3</v>
      </c>
      <c r="G4245" s="6" t="s">
        <v>11</v>
      </c>
      <c r="H4245" s="6" t="s">
        <v>41</v>
      </c>
      <c r="I4245" s="6">
        <f>TabJogos[[#This Row],[PontosTime1]]-TabJogos[[#This Row],[PontosTime2]]</f>
        <v>-2</v>
      </c>
    </row>
    <row r="4246" spans="1:9" ht="15" customHeight="1" x14ac:dyDescent="0.25">
      <c r="A4246" s="7">
        <v>4245</v>
      </c>
      <c r="B4246" s="1">
        <v>43705</v>
      </c>
      <c r="C4246" s="6" t="s">
        <v>10</v>
      </c>
      <c r="D4246" s="6" t="s">
        <v>11</v>
      </c>
      <c r="E4246" s="6">
        <v>3</v>
      </c>
      <c r="F4246" s="6">
        <v>2</v>
      </c>
      <c r="G4246" s="6" t="s">
        <v>27</v>
      </c>
      <c r="H4246" s="6" t="s">
        <v>41</v>
      </c>
      <c r="I4246" s="6">
        <f>TabJogos[[#This Row],[PontosTime1]]-TabJogos[[#This Row],[PontosTime2]]</f>
        <v>1</v>
      </c>
    </row>
    <row r="4247" spans="1:9" ht="15" customHeight="1" x14ac:dyDescent="0.25">
      <c r="A4247" s="7">
        <v>4246</v>
      </c>
      <c r="B4247" s="1">
        <v>43705</v>
      </c>
      <c r="C4247" s="6" t="s">
        <v>10</v>
      </c>
      <c r="D4247" s="6" t="s">
        <v>13</v>
      </c>
      <c r="E4247" s="6">
        <v>0</v>
      </c>
      <c r="F4247" s="6">
        <v>3</v>
      </c>
      <c r="G4247" s="6" t="s">
        <v>11</v>
      </c>
      <c r="H4247" s="6" t="s">
        <v>18</v>
      </c>
      <c r="I4247" s="6">
        <f>TabJogos[[#This Row],[PontosTime1]]-TabJogos[[#This Row],[PontosTime2]]</f>
        <v>-3</v>
      </c>
    </row>
    <row r="4248" spans="1:9" ht="15" customHeight="1" x14ac:dyDescent="0.25">
      <c r="A4248" s="7">
        <v>4247</v>
      </c>
      <c r="B4248" s="1">
        <v>43705</v>
      </c>
      <c r="C4248" s="6" t="s">
        <v>10</v>
      </c>
      <c r="D4248" s="6" t="s">
        <v>18</v>
      </c>
      <c r="E4248" s="6">
        <v>3</v>
      </c>
      <c r="F4248" s="6">
        <v>2</v>
      </c>
      <c r="G4248" s="6" t="s">
        <v>11</v>
      </c>
      <c r="H4248" s="6" t="s">
        <v>13</v>
      </c>
      <c r="I4248" s="6">
        <f>TabJogos[[#This Row],[PontosTime1]]-TabJogos[[#This Row],[PontosTime2]]</f>
        <v>1</v>
      </c>
    </row>
    <row r="4249" spans="1:9" ht="15" customHeight="1" x14ac:dyDescent="0.25">
      <c r="A4249" s="7">
        <v>4248</v>
      </c>
      <c r="B4249" s="1">
        <v>43705</v>
      </c>
      <c r="C4249" s="6" t="s">
        <v>10</v>
      </c>
      <c r="D4249" s="6" t="s">
        <v>11</v>
      </c>
      <c r="E4249" s="6">
        <v>0</v>
      </c>
      <c r="F4249" s="6">
        <v>4</v>
      </c>
      <c r="G4249" s="6" t="s">
        <v>13</v>
      </c>
      <c r="H4249" s="6" t="s">
        <v>18</v>
      </c>
      <c r="I4249" s="6">
        <f>TabJogos[[#This Row],[PontosTime1]]-TabJogos[[#This Row],[PontosTime2]]</f>
        <v>-4</v>
      </c>
    </row>
    <row r="4250" spans="1:9" ht="15" customHeight="1" x14ac:dyDescent="0.25">
      <c r="A4250" s="7">
        <v>4249</v>
      </c>
      <c r="B4250" s="1">
        <v>43705</v>
      </c>
      <c r="C4250" s="6" t="s">
        <v>10</v>
      </c>
      <c r="D4250" s="6" t="s">
        <v>13</v>
      </c>
      <c r="E4250" s="6">
        <v>2</v>
      </c>
      <c r="F4250" s="6">
        <v>3</v>
      </c>
      <c r="G4250" s="6" t="s">
        <v>18</v>
      </c>
      <c r="H4250" s="6" t="s">
        <v>11</v>
      </c>
      <c r="I4250" s="6">
        <f>TabJogos[[#This Row],[PontosTime1]]-TabJogos[[#This Row],[PontosTime2]]</f>
        <v>-1</v>
      </c>
    </row>
    <row r="4251" spans="1:9" ht="15" customHeight="1" x14ac:dyDescent="0.25">
      <c r="A4251" s="7">
        <v>4250</v>
      </c>
      <c r="B4251" s="1">
        <v>43705</v>
      </c>
      <c r="C4251" s="6" t="s">
        <v>10</v>
      </c>
      <c r="D4251" s="6" t="s">
        <v>18</v>
      </c>
      <c r="E4251" s="6">
        <v>3</v>
      </c>
      <c r="F4251" s="6">
        <v>1</v>
      </c>
      <c r="G4251" s="6" t="s">
        <v>11</v>
      </c>
      <c r="H4251" s="6" t="s">
        <v>13</v>
      </c>
      <c r="I4251" s="6">
        <f>TabJogos[[#This Row],[PontosTime1]]-TabJogos[[#This Row],[PontosTime2]]</f>
        <v>2</v>
      </c>
    </row>
    <row r="4252" spans="1:9" ht="15" customHeight="1" x14ac:dyDescent="0.25">
      <c r="A4252" s="7">
        <v>4251</v>
      </c>
      <c r="B4252" s="1">
        <v>43706</v>
      </c>
      <c r="C4252" s="6" t="s">
        <v>11</v>
      </c>
      <c r="D4252" s="6" t="s">
        <v>12</v>
      </c>
      <c r="E4252" s="6">
        <v>4</v>
      </c>
      <c r="F4252" s="6">
        <v>0</v>
      </c>
      <c r="G4252" s="6" t="s">
        <v>27</v>
      </c>
      <c r="H4252" s="6" t="s">
        <v>13</v>
      </c>
      <c r="I4252" s="6">
        <f>TabJogos[[#This Row],[PontosTime1]]-TabJogos[[#This Row],[PontosTime2]]</f>
        <v>4</v>
      </c>
    </row>
    <row r="4253" spans="1:9" ht="15" customHeight="1" x14ac:dyDescent="0.25">
      <c r="A4253" s="7">
        <v>4252</v>
      </c>
      <c r="B4253" s="1">
        <v>43706</v>
      </c>
      <c r="C4253" s="6" t="s">
        <v>11</v>
      </c>
      <c r="D4253" s="6" t="s">
        <v>27</v>
      </c>
      <c r="E4253" s="6">
        <v>3</v>
      </c>
      <c r="F4253" s="6">
        <v>1</v>
      </c>
      <c r="G4253" s="6" t="s">
        <v>13</v>
      </c>
      <c r="H4253" s="6" t="s">
        <v>12</v>
      </c>
      <c r="I4253" s="6">
        <f>TabJogos[[#This Row],[PontosTime1]]-TabJogos[[#This Row],[PontosTime2]]</f>
        <v>2</v>
      </c>
    </row>
    <row r="4254" spans="1:9" ht="15" customHeight="1" x14ac:dyDescent="0.25">
      <c r="A4254" s="7">
        <v>4253</v>
      </c>
      <c r="B4254" s="1">
        <v>43706</v>
      </c>
      <c r="C4254" s="6" t="s">
        <v>11</v>
      </c>
      <c r="D4254" s="6" t="s">
        <v>13</v>
      </c>
      <c r="E4254" s="6">
        <v>4</v>
      </c>
      <c r="F4254" s="6">
        <v>0</v>
      </c>
      <c r="G4254" s="6" t="s">
        <v>27</v>
      </c>
      <c r="H4254" s="6" t="s">
        <v>41</v>
      </c>
      <c r="I4254" s="6">
        <f>TabJogos[[#This Row],[PontosTime1]]-TabJogos[[#This Row],[PontosTime2]]</f>
        <v>4</v>
      </c>
    </row>
    <row r="4255" spans="1:9" ht="15" customHeight="1" x14ac:dyDescent="0.25">
      <c r="A4255" s="7">
        <v>4254</v>
      </c>
      <c r="B4255" s="1">
        <v>43706</v>
      </c>
      <c r="C4255" s="6" t="s">
        <v>11</v>
      </c>
      <c r="D4255" s="6" t="s">
        <v>41</v>
      </c>
      <c r="E4255" s="6">
        <v>3</v>
      </c>
      <c r="F4255" s="6">
        <v>0</v>
      </c>
      <c r="G4255" s="6" t="s">
        <v>27</v>
      </c>
      <c r="H4255" s="6" t="s">
        <v>13</v>
      </c>
      <c r="I4255" s="6">
        <f>TabJogos[[#This Row],[PontosTime1]]-TabJogos[[#This Row],[PontosTime2]]</f>
        <v>3</v>
      </c>
    </row>
    <row r="4256" spans="1:9" ht="15" customHeight="1" x14ac:dyDescent="0.25">
      <c r="A4256" s="7">
        <v>4255</v>
      </c>
      <c r="B4256" s="1">
        <v>43706</v>
      </c>
      <c r="C4256" s="6" t="s">
        <v>11</v>
      </c>
      <c r="D4256" s="6" t="s">
        <v>27</v>
      </c>
      <c r="E4256" s="6">
        <v>3</v>
      </c>
      <c r="F4256" s="6">
        <v>0</v>
      </c>
      <c r="G4256" s="6" t="s">
        <v>13</v>
      </c>
      <c r="H4256" s="6" t="s">
        <v>41</v>
      </c>
      <c r="I4256" s="6">
        <f>TabJogos[[#This Row],[PontosTime1]]-TabJogos[[#This Row],[PontosTime2]]</f>
        <v>3</v>
      </c>
    </row>
    <row r="4257" spans="1:9" ht="15" customHeight="1" x14ac:dyDescent="0.25">
      <c r="A4257" s="7">
        <v>4256</v>
      </c>
      <c r="B4257" s="1">
        <v>43706</v>
      </c>
      <c r="C4257" s="6" t="s">
        <v>11</v>
      </c>
      <c r="D4257" s="6" t="s">
        <v>13</v>
      </c>
      <c r="E4257" s="6">
        <v>3</v>
      </c>
      <c r="F4257" s="6">
        <v>1</v>
      </c>
      <c r="G4257" s="6" t="s">
        <v>32</v>
      </c>
      <c r="H4257" s="6" t="s">
        <v>13</v>
      </c>
      <c r="I4257" s="6">
        <f>TabJogos[[#This Row],[PontosTime1]]-TabJogos[[#This Row],[PontosTime2]]</f>
        <v>2</v>
      </c>
    </row>
    <row r="4258" spans="1:9" ht="15" customHeight="1" x14ac:dyDescent="0.25">
      <c r="A4258" s="7">
        <v>4257</v>
      </c>
      <c r="B4258" s="1">
        <v>43706</v>
      </c>
      <c r="C4258" s="6" t="s">
        <v>11</v>
      </c>
      <c r="D4258" s="6" t="s">
        <v>41</v>
      </c>
      <c r="E4258" s="6">
        <v>3</v>
      </c>
      <c r="F4258" s="6">
        <v>0</v>
      </c>
      <c r="G4258" s="6" t="s">
        <v>27</v>
      </c>
      <c r="H4258" s="6" t="s">
        <v>13</v>
      </c>
      <c r="I4258" s="6">
        <f>TabJogos[[#This Row],[PontosTime1]]-TabJogos[[#This Row],[PontosTime2]]</f>
        <v>3</v>
      </c>
    </row>
    <row r="4259" spans="1:9" ht="15" customHeight="1" x14ac:dyDescent="0.25">
      <c r="A4259" s="7">
        <v>4258</v>
      </c>
      <c r="B4259" s="1">
        <v>43706</v>
      </c>
      <c r="C4259" s="6" t="s">
        <v>11</v>
      </c>
      <c r="D4259" s="6" t="s">
        <v>27</v>
      </c>
      <c r="E4259" s="6">
        <v>1</v>
      </c>
      <c r="F4259" s="6">
        <v>3</v>
      </c>
      <c r="G4259" s="6" t="s">
        <v>41</v>
      </c>
      <c r="H4259" s="6" t="s">
        <v>13</v>
      </c>
      <c r="I4259" s="6">
        <f>TabJogos[[#This Row],[PontosTime1]]-TabJogos[[#This Row],[PontosTime2]]</f>
        <v>-2</v>
      </c>
    </row>
    <row r="4260" spans="1:9" ht="15" customHeight="1" x14ac:dyDescent="0.25">
      <c r="A4260" s="7">
        <v>4259</v>
      </c>
      <c r="B4260" s="1">
        <v>43706</v>
      </c>
      <c r="C4260" s="6" t="s">
        <v>41</v>
      </c>
      <c r="D4260" s="6" t="s">
        <v>13</v>
      </c>
      <c r="E4260" s="6">
        <v>3</v>
      </c>
      <c r="F4260" s="6">
        <v>1</v>
      </c>
      <c r="G4260" s="6" t="s">
        <v>13</v>
      </c>
      <c r="H4260" s="6" t="s">
        <v>11</v>
      </c>
      <c r="I4260" s="6">
        <f>TabJogos[[#This Row],[PontosTime1]]-TabJogos[[#This Row],[PontosTime2]]</f>
        <v>2</v>
      </c>
    </row>
    <row r="4261" spans="1:9" ht="15" customHeight="1" x14ac:dyDescent="0.25">
      <c r="A4261" s="7">
        <v>4260</v>
      </c>
      <c r="B4261" s="1">
        <v>43706</v>
      </c>
      <c r="C4261" s="6" t="s">
        <v>11</v>
      </c>
      <c r="D4261" s="6" t="s">
        <v>13</v>
      </c>
      <c r="E4261" s="6">
        <v>3</v>
      </c>
      <c r="F4261" s="6">
        <v>1</v>
      </c>
      <c r="G4261" s="6" t="s">
        <v>41</v>
      </c>
      <c r="H4261" s="6" t="s">
        <v>27</v>
      </c>
      <c r="I4261" s="6">
        <f>TabJogos[[#This Row],[PontosTime1]]-TabJogos[[#This Row],[PontosTime2]]</f>
        <v>2</v>
      </c>
    </row>
    <row r="4262" spans="1:9" ht="15" customHeight="1" x14ac:dyDescent="0.25">
      <c r="A4262" s="7">
        <v>4261</v>
      </c>
      <c r="B4262" s="1">
        <v>43707</v>
      </c>
      <c r="C4262" s="6" t="s">
        <v>12</v>
      </c>
      <c r="D4262" s="6" t="s">
        <v>13</v>
      </c>
      <c r="E4262" s="6">
        <v>4</v>
      </c>
      <c r="F4262" s="6">
        <v>1</v>
      </c>
      <c r="G4262" s="6" t="s">
        <v>11</v>
      </c>
      <c r="H4262" s="6" t="s">
        <v>27</v>
      </c>
      <c r="I4262" s="6">
        <f>TabJogos[[#This Row],[PontosTime1]]-TabJogos[[#This Row],[PontosTime2]]</f>
        <v>3</v>
      </c>
    </row>
    <row r="4263" spans="1:9" ht="15" customHeight="1" x14ac:dyDescent="0.25">
      <c r="A4263" s="7">
        <v>4262</v>
      </c>
      <c r="B4263" s="1">
        <v>43707</v>
      </c>
      <c r="C4263" s="6" t="s">
        <v>12</v>
      </c>
      <c r="D4263" s="6" t="s">
        <v>11</v>
      </c>
      <c r="E4263" s="6">
        <v>1</v>
      </c>
      <c r="F4263" s="6">
        <v>3</v>
      </c>
      <c r="G4263" s="6" t="s">
        <v>27</v>
      </c>
      <c r="H4263" s="6" t="s">
        <v>13</v>
      </c>
      <c r="I4263" s="6">
        <f>TabJogos[[#This Row],[PontosTime1]]-TabJogos[[#This Row],[PontosTime2]]</f>
        <v>-2</v>
      </c>
    </row>
    <row r="4264" spans="1:9" ht="15" customHeight="1" x14ac:dyDescent="0.25">
      <c r="A4264" s="7">
        <v>4263</v>
      </c>
      <c r="B4264" s="1">
        <v>43707</v>
      </c>
      <c r="C4264" s="6" t="s">
        <v>41</v>
      </c>
      <c r="D4264" s="6" t="s">
        <v>13</v>
      </c>
      <c r="E4264" s="6">
        <v>4</v>
      </c>
      <c r="F4264" s="6">
        <v>1</v>
      </c>
      <c r="G4264" s="6" t="s">
        <v>18</v>
      </c>
      <c r="H4264" s="6" t="s">
        <v>11</v>
      </c>
      <c r="I4264" s="6">
        <f>TabJogos[[#This Row],[PontosTime1]]-TabJogos[[#This Row],[PontosTime2]]</f>
        <v>3</v>
      </c>
    </row>
    <row r="4265" spans="1:9" ht="15" customHeight="1" x14ac:dyDescent="0.25">
      <c r="A4265" s="7">
        <v>4264</v>
      </c>
      <c r="B4265" s="1">
        <v>43707</v>
      </c>
      <c r="C4265" s="6" t="s">
        <v>41</v>
      </c>
      <c r="D4265" s="6" t="s">
        <v>11</v>
      </c>
      <c r="E4265" s="6">
        <v>3</v>
      </c>
      <c r="F4265" s="6">
        <v>0</v>
      </c>
      <c r="G4265" s="6" t="s">
        <v>13</v>
      </c>
      <c r="H4265" s="6" t="s">
        <v>18</v>
      </c>
      <c r="I4265" s="6">
        <f>TabJogos[[#This Row],[PontosTime1]]-TabJogos[[#This Row],[PontosTime2]]</f>
        <v>3</v>
      </c>
    </row>
    <row r="4266" spans="1:9" ht="15" customHeight="1" x14ac:dyDescent="0.25">
      <c r="A4266" s="7">
        <v>4265</v>
      </c>
      <c r="B4266" s="1">
        <v>43707</v>
      </c>
      <c r="C4266" s="6" t="s">
        <v>41</v>
      </c>
      <c r="D4266" s="6" t="s">
        <v>18</v>
      </c>
      <c r="E4266" s="6">
        <v>1</v>
      </c>
      <c r="F4266" s="6">
        <v>3</v>
      </c>
      <c r="G4266" s="6" t="s">
        <v>11</v>
      </c>
      <c r="H4266" s="6" t="s">
        <v>13</v>
      </c>
      <c r="I4266" s="6">
        <f>TabJogos[[#This Row],[PontosTime1]]-TabJogos[[#This Row],[PontosTime2]]</f>
        <v>-2</v>
      </c>
    </row>
    <row r="4267" spans="1:9" ht="15" customHeight="1" x14ac:dyDescent="0.25">
      <c r="A4267" s="7">
        <v>4266</v>
      </c>
      <c r="B4267" s="1">
        <v>43707</v>
      </c>
      <c r="C4267" s="6" t="s">
        <v>11</v>
      </c>
      <c r="D4267" s="6" t="s">
        <v>18</v>
      </c>
      <c r="E4267" s="6">
        <v>3</v>
      </c>
      <c r="F4267" s="6">
        <v>1</v>
      </c>
      <c r="G4267" s="6" t="s">
        <v>27</v>
      </c>
      <c r="H4267" s="6" t="s">
        <v>13</v>
      </c>
      <c r="I4267" s="6">
        <f>TabJogos[[#This Row],[PontosTime1]]-TabJogos[[#This Row],[PontosTime2]]</f>
        <v>2</v>
      </c>
    </row>
    <row r="4268" spans="1:9" ht="15" customHeight="1" x14ac:dyDescent="0.25">
      <c r="A4268" s="7">
        <v>4267</v>
      </c>
      <c r="B4268" s="1">
        <v>43707</v>
      </c>
      <c r="C4268" s="6" t="s">
        <v>11</v>
      </c>
      <c r="D4268" s="6" t="s">
        <v>41</v>
      </c>
      <c r="E4268" s="6">
        <v>3</v>
      </c>
      <c r="F4268" s="6">
        <v>0</v>
      </c>
      <c r="G4268" s="6" t="s">
        <v>27</v>
      </c>
      <c r="H4268" s="6" t="s">
        <v>18</v>
      </c>
      <c r="I4268" s="6">
        <f>TabJogos[[#This Row],[PontosTime1]]-TabJogos[[#This Row],[PontosTime2]]</f>
        <v>3</v>
      </c>
    </row>
    <row r="4269" spans="1:9" ht="15" customHeight="1" x14ac:dyDescent="0.25">
      <c r="A4269" s="7">
        <v>4268</v>
      </c>
      <c r="B4269" s="1">
        <v>43707</v>
      </c>
      <c r="C4269" s="6" t="s">
        <v>13</v>
      </c>
      <c r="D4269" s="6" t="s">
        <v>11</v>
      </c>
      <c r="E4269" s="6">
        <v>4</v>
      </c>
      <c r="F4269" s="6">
        <v>2</v>
      </c>
      <c r="G4269" s="6" t="s">
        <v>18</v>
      </c>
      <c r="H4269" s="6" t="s">
        <v>41</v>
      </c>
      <c r="I4269" s="6">
        <f>TabJogos[[#This Row],[PontosTime1]]-TabJogos[[#This Row],[PontosTime2]]</f>
        <v>2</v>
      </c>
    </row>
    <row r="4270" spans="1:9" ht="15" customHeight="1" x14ac:dyDescent="0.25">
      <c r="A4270" s="7">
        <v>4269</v>
      </c>
      <c r="B4270" s="1">
        <v>43707</v>
      </c>
      <c r="C4270" s="6" t="s">
        <v>11</v>
      </c>
      <c r="D4270" s="6" t="s">
        <v>27</v>
      </c>
      <c r="E4270" s="6">
        <v>3</v>
      </c>
      <c r="F4270" s="6">
        <v>2</v>
      </c>
      <c r="G4270" s="6" t="s">
        <v>18</v>
      </c>
      <c r="H4270" s="6" t="s">
        <v>13</v>
      </c>
      <c r="I4270" s="6">
        <f>TabJogos[[#This Row],[PontosTime1]]-TabJogos[[#This Row],[PontosTime2]]</f>
        <v>1</v>
      </c>
    </row>
    <row r="4271" spans="1:9" ht="15" customHeight="1" x14ac:dyDescent="0.25">
      <c r="A4271" s="7">
        <v>4270</v>
      </c>
      <c r="B4271" s="1">
        <v>43707</v>
      </c>
      <c r="C4271" s="6" t="s">
        <v>11</v>
      </c>
      <c r="D4271" s="6" t="s">
        <v>13</v>
      </c>
      <c r="E4271" s="6">
        <v>2</v>
      </c>
      <c r="F4271" s="6">
        <v>3</v>
      </c>
      <c r="G4271" s="6" t="s">
        <v>27</v>
      </c>
      <c r="H4271" s="6" t="s">
        <v>41</v>
      </c>
      <c r="I4271" s="6">
        <f>TabJogos[[#This Row],[PontosTime1]]-TabJogos[[#This Row],[PontosTime2]]</f>
        <v>-1</v>
      </c>
    </row>
    <row r="4272" spans="1:9" ht="15" customHeight="1" x14ac:dyDescent="0.25">
      <c r="A4272" s="7">
        <v>4271</v>
      </c>
      <c r="B4272" s="1">
        <v>43707</v>
      </c>
      <c r="C4272" s="6" t="s">
        <v>27</v>
      </c>
      <c r="D4272" s="6" t="s">
        <v>13</v>
      </c>
      <c r="E4272" s="6">
        <v>4</v>
      </c>
      <c r="F4272" s="6">
        <v>0</v>
      </c>
      <c r="G4272" s="6" t="s">
        <v>11</v>
      </c>
      <c r="H4272" s="6" t="s">
        <v>18</v>
      </c>
      <c r="I4272" s="6">
        <f>TabJogos[[#This Row],[PontosTime1]]-TabJogos[[#This Row],[PontosTime2]]</f>
        <v>4</v>
      </c>
    </row>
    <row r="4273" spans="1:9" ht="15" customHeight="1" x14ac:dyDescent="0.25">
      <c r="A4273" s="7">
        <v>4272</v>
      </c>
      <c r="B4273" s="1">
        <v>43707</v>
      </c>
      <c r="C4273" s="6" t="s">
        <v>18</v>
      </c>
      <c r="D4273" s="6" t="s">
        <v>13</v>
      </c>
      <c r="E4273" s="6">
        <v>4</v>
      </c>
      <c r="F4273" s="6">
        <v>1</v>
      </c>
      <c r="G4273" s="6" t="s">
        <v>27</v>
      </c>
      <c r="H4273" s="6" t="s">
        <v>11</v>
      </c>
      <c r="I4273" s="6">
        <f>TabJogos[[#This Row],[PontosTime1]]-TabJogos[[#This Row],[PontosTime2]]</f>
        <v>3</v>
      </c>
    </row>
    <row r="4274" spans="1:9" ht="15" customHeight="1" x14ac:dyDescent="0.25">
      <c r="A4274" s="7">
        <v>4273</v>
      </c>
      <c r="B4274" s="1">
        <v>43707</v>
      </c>
      <c r="C4274" s="6" t="s">
        <v>11</v>
      </c>
      <c r="D4274" s="6" t="s">
        <v>13</v>
      </c>
      <c r="E4274" s="6">
        <v>3</v>
      </c>
      <c r="F4274" s="6">
        <v>2</v>
      </c>
      <c r="G4274" s="6" t="s">
        <v>18</v>
      </c>
      <c r="H4274" s="6" t="s">
        <v>27</v>
      </c>
      <c r="I4274" s="6">
        <f>TabJogos[[#This Row],[PontosTime1]]-TabJogos[[#This Row],[PontosTime2]]</f>
        <v>1</v>
      </c>
    </row>
    <row r="4275" spans="1:9" ht="15" customHeight="1" x14ac:dyDescent="0.25">
      <c r="A4275" s="7">
        <v>4274</v>
      </c>
      <c r="B4275" s="1">
        <v>43710</v>
      </c>
      <c r="C4275" s="6" t="s">
        <v>11</v>
      </c>
      <c r="D4275" s="6" t="s">
        <v>17</v>
      </c>
      <c r="E4275" s="6">
        <v>2</v>
      </c>
      <c r="F4275" s="6">
        <v>3</v>
      </c>
      <c r="G4275" s="6" t="s">
        <v>10</v>
      </c>
      <c r="H4275" s="6" t="s">
        <v>13</v>
      </c>
      <c r="I4275" s="6">
        <f>TabJogos[[#This Row],[PontosTime1]]-TabJogos[[#This Row],[PontosTime2]]</f>
        <v>-1</v>
      </c>
    </row>
    <row r="4276" spans="1:9" ht="15" customHeight="1" x14ac:dyDescent="0.25">
      <c r="A4276" s="7">
        <v>4275</v>
      </c>
      <c r="B4276" s="1">
        <v>43710</v>
      </c>
      <c r="C4276" s="6" t="s">
        <v>10</v>
      </c>
      <c r="D4276" s="6" t="s">
        <v>12</v>
      </c>
      <c r="E4276" s="6">
        <v>3</v>
      </c>
      <c r="F4276" s="6">
        <v>0</v>
      </c>
      <c r="G4276" s="6" t="s">
        <v>13</v>
      </c>
      <c r="H4276" s="6" t="s">
        <v>17</v>
      </c>
      <c r="I4276" s="6">
        <f>TabJogos[[#This Row],[PontosTime1]]-TabJogos[[#This Row],[PontosTime2]]</f>
        <v>3</v>
      </c>
    </row>
    <row r="4277" spans="1:9" ht="15" customHeight="1" x14ac:dyDescent="0.25">
      <c r="A4277" s="7">
        <v>4276</v>
      </c>
      <c r="B4277" s="1">
        <v>43710</v>
      </c>
      <c r="C4277" s="6" t="s">
        <v>11</v>
      </c>
      <c r="D4277" s="6" t="s">
        <v>13</v>
      </c>
      <c r="E4277" s="6">
        <v>3</v>
      </c>
      <c r="F4277" s="6">
        <v>1</v>
      </c>
      <c r="G4277" s="6" t="s">
        <v>17</v>
      </c>
      <c r="H4277" s="6" t="s">
        <v>10</v>
      </c>
      <c r="I4277" s="6">
        <f>TabJogos[[#This Row],[PontosTime1]]-TabJogos[[#This Row],[PontosTime2]]</f>
        <v>2</v>
      </c>
    </row>
    <row r="4278" spans="1:9" ht="15" customHeight="1" x14ac:dyDescent="0.25">
      <c r="A4278" s="7">
        <v>4277</v>
      </c>
      <c r="B4278" s="1">
        <v>43710</v>
      </c>
      <c r="C4278" s="6" t="s">
        <v>11</v>
      </c>
      <c r="D4278" s="6" t="s">
        <v>10</v>
      </c>
      <c r="E4278" s="6">
        <v>0</v>
      </c>
      <c r="F4278" s="6">
        <v>3</v>
      </c>
      <c r="G4278" s="6" t="s">
        <v>13</v>
      </c>
      <c r="H4278" s="6" t="s">
        <v>17</v>
      </c>
      <c r="I4278" s="6">
        <f>TabJogos[[#This Row],[PontosTime1]]-TabJogos[[#This Row],[PontosTime2]]</f>
        <v>-3</v>
      </c>
    </row>
    <row r="4279" spans="1:9" ht="15" customHeight="1" x14ac:dyDescent="0.25">
      <c r="A4279" s="7">
        <v>4278</v>
      </c>
      <c r="B4279" s="1">
        <v>43710</v>
      </c>
      <c r="C4279" s="6" t="s">
        <v>11</v>
      </c>
      <c r="D4279" s="6" t="s">
        <v>17</v>
      </c>
      <c r="E4279" s="6">
        <v>3</v>
      </c>
      <c r="F4279" s="6">
        <v>0</v>
      </c>
      <c r="G4279" s="6" t="s">
        <v>9</v>
      </c>
      <c r="H4279" s="6" t="s">
        <v>13</v>
      </c>
      <c r="I4279" s="6">
        <f>TabJogos[[#This Row],[PontosTime1]]-TabJogos[[#This Row],[PontosTime2]]</f>
        <v>3</v>
      </c>
    </row>
    <row r="4280" spans="1:9" ht="15" customHeight="1" x14ac:dyDescent="0.25">
      <c r="A4280" s="7">
        <v>4279</v>
      </c>
      <c r="B4280" s="1">
        <v>43710</v>
      </c>
      <c r="C4280" s="6" t="s">
        <v>11</v>
      </c>
      <c r="D4280" s="6" t="s">
        <v>9</v>
      </c>
      <c r="E4280" s="6">
        <v>3</v>
      </c>
      <c r="F4280" s="6">
        <v>1</v>
      </c>
      <c r="G4280" s="6" t="s">
        <v>17</v>
      </c>
      <c r="H4280" s="6" t="s">
        <v>41</v>
      </c>
      <c r="I4280" s="6">
        <f>TabJogos[[#This Row],[PontosTime1]]-TabJogos[[#This Row],[PontosTime2]]</f>
        <v>2</v>
      </c>
    </row>
    <row r="4281" spans="1:9" ht="15" customHeight="1" x14ac:dyDescent="0.25">
      <c r="A4281" s="7">
        <v>4280</v>
      </c>
      <c r="B4281" s="1">
        <v>43710</v>
      </c>
      <c r="C4281" s="6" t="s">
        <v>11</v>
      </c>
      <c r="D4281" s="6" t="s">
        <v>13</v>
      </c>
      <c r="E4281" s="6">
        <v>3</v>
      </c>
      <c r="F4281" s="6">
        <v>1</v>
      </c>
      <c r="G4281" s="6" t="s">
        <v>17</v>
      </c>
      <c r="H4281" s="6" t="s">
        <v>9</v>
      </c>
      <c r="I4281" s="6">
        <f>TabJogos[[#This Row],[PontosTime1]]-TabJogos[[#This Row],[PontosTime2]]</f>
        <v>2</v>
      </c>
    </row>
    <row r="4282" spans="1:9" ht="15" customHeight="1" x14ac:dyDescent="0.25">
      <c r="A4282" s="7">
        <v>4281</v>
      </c>
      <c r="B4282" s="1">
        <v>43710</v>
      </c>
      <c r="C4282" s="6" t="s">
        <v>11</v>
      </c>
      <c r="D4282" s="6" t="s">
        <v>17</v>
      </c>
      <c r="E4282" s="6">
        <v>0</v>
      </c>
      <c r="F4282" s="6">
        <v>4</v>
      </c>
      <c r="G4282" s="6" t="s">
        <v>13</v>
      </c>
      <c r="H4282" s="6" t="s">
        <v>9</v>
      </c>
      <c r="I4282" s="6">
        <f>TabJogos[[#This Row],[PontosTime1]]-TabJogos[[#This Row],[PontosTime2]]</f>
        <v>-4</v>
      </c>
    </row>
    <row r="4283" spans="1:9" ht="15" customHeight="1" x14ac:dyDescent="0.25">
      <c r="A4283" s="7">
        <v>4282</v>
      </c>
      <c r="B4283" s="1">
        <v>43710</v>
      </c>
      <c r="C4283" s="6" t="s">
        <v>11</v>
      </c>
      <c r="D4283" s="6" t="s">
        <v>9</v>
      </c>
      <c r="E4283" s="6">
        <v>1</v>
      </c>
      <c r="F4283" s="6">
        <v>3</v>
      </c>
      <c r="G4283" s="6" t="s">
        <v>17</v>
      </c>
      <c r="H4283" s="6" t="s">
        <v>41</v>
      </c>
      <c r="I4283" s="6">
        <f>TabJogos[[#This Row],[PontosTime1]]-TabJogos[[#This Row],[PontosTime2]]</f>
        <v>-2</v>
      </c>
    </row>
    <row r="4284" spans="1:9" ht="15" customHeight="1" x14ac:dyDescent="0.25">
      <c r="A4284" s="7">
        <v>4283</v>
      </c>
      <c r="B4284" s="1">
        <v>43711</v>
      </c>
      <c r="C4284" s="6" t="s">
        <v>18</v>
      </c>
      <c r="D4284" s="6" t="s">
        <v>13</v>
      </c>
      <c r="E4284" s="6">
        <v>3</v>
      </c>
      <c r="F4284" s="6">
        <v>1</v>
      </c>
      <c r="G4284" s="6" t="s">
        <v>10</v>
      </c>
      <c r="H4284" s="6" t="s">
        <v>11</v>
      </c>
      <c r="I4284" s="6">
        <f>TabJogos[[#This Row],[PontosTime1]]-TabJogos[[#This Row],[PontosTime2]]</f>
        <v>2</v>
      </c>
    </row>
    <row r="4285" spans="1:9" ht="15" customHeight="1" x14ac:dyDescent="0.25">
      <c r="A4285" s="7">
        <v>4284</v>
      </c>
      <c r="B4285" s="1">
        <v>43711</v>
      </c>
      <c r="C4285" s="6" t="s">
        <v>10</v>
      </c>
      <c r="D4285" s="6" t="s">
        <v>13</v>
      </c>
      <c r="E4285" s="6">
        <v>1</v>
      </c>
      <c r="F4285" s="6">
        <v>3</v>
      </c>
      <c r="G4285" s="6" t="s">
        <v>18</v>
      </c>
      <c r="H4285" s="6" t="s">
        <v>12</v>
      </c>
      <c r="I4285" s="6">
        <f>TabJogos[[#This Row],[PontosTime1]]-TabJogos[[#This Row],[PontosTime2]]</f>
        <v>-2</v>
      </c>
    </row>
    <row r="4286" spans="1:9" ht="15" customHeight="1" x14ac:dyDescent="0.25">
      <c r="A4286" s="7">
        <v>4285</v>
      </c>
      <c r="B4286" s="1">
        <v>43711</v>
      </c>
      <c r="C4286" s="6" t="s">
        <v>18</v>
      </c>
      <c r="D4286" s="6" t="s">
        <v>11</v>
      </c>
      <c r="E4286" s="6">
        <v>3</v>
      </c>
      <c r="F4286" s="6">
        <v>2</v>
      </c>
      <c r="G4286" s="6" t="s">
        <v>12</v>
      </c>
      <c r="H4286" s="6" t="s">
        <v>10</v>
      </c>
      <c r="I4286" s="6">
        <f>TabJogos[[#This Row],[PontosTime1]]-TabJogos[[#This Row],[PontosTime2]]</f>
        <v>1</v>
      </c>
    </row>
    <row r="4287" spans="1:9" ht="15" customHeight="1" x14ac:dyDescent="0.25">
      <c r="A4287" s="7">
        <v>4286</v>
      </c>
      <c r="B4287" s="1">
        <v>43711</v>
      </c>
      <c r="C4287" s="6" t="s">
        <v>10</v>
      </c>
      <c r="D4287" s="6" t="s">
        <v>18</v>
      </c>
      <c r="E4287" s="6">
        <v>3</v>
      </c>
      <c r="F4287" s="6">
        <v>2</v>
      </c>
      <c r="G4287" s="6" t="s">
        <v>11</v>
      </c>
      <c r="H4287" s="6" t="s">
        <v>13</v>
      </c>
      <c r="I4287" s="6">
        <f>TabJogos[[#This Row],[PontosTime1]]-TabJogos[[#This Row],[PontosTime2]]</f>
        <v>1</v>
      </c>
    </row>
    <row r="4288" spans="1:9" ht="15" customHeight="1" x14ac:dyDescent="0.25">
      <c r="A4288" s="7">
        <v>4287</v>
      </c>
      <c r="B4288" s="1">
        <v>43711</v>
      </c>
      <c r="C4288" s="6" t="s">
        <v>10</v>
      </c>
      <c r="D4288" s="6" t="s">
        <v>11</v>
      </c>
      <c r="E4288" s="6">
        <v>3</v>
      </c>
      <c r="F4288" s="6">
        <v>0</v>
      </c>
      <c r="G4288" s="6" t="s">
        <v>18</v>
      </c>
      <c r="H4288" s="6" t="s">
        <v>13</v>
      </c>
      <c r="I4288" s="6">
        <f>TabJogos[[#This Row],[PontosTime1]]-TabJogos[[#This Row],[PontosTime2]]</f>
        <v>3</v>
      </c>
    </row>
    <row r="4289" spans="1:9" ht="15" customHeight="1" x14ac:dyDescent="0.25">
      <c r="A4289" s="7">
        <v>4288</v>
      </c>
      <c r="B4289" s="1">
        <v>43711</v>
      </c>
      <c r="C4289" s="6" t="s">
        <v>10</v>
      </c>
      <c r="D4289" s="6" t="s">
        <v>13</v>
      </c>
      <c r="E4289" s="6">
        <v>3</v>
      </c>
      <c r="F4289" s="6">
        <v>1</v>
      </c>
      <c r="G4289" s="6" t="s">
        <v>18</v>
      </c>
      <c r="H4289" s="6" t="s">
        <v>11</v>
      </c>
      <c r="I4289" s="6">
        <f>TabJogos[[#This Row],[PontosTime1]]-TabJogos[[#This Row],[PontosTime2]]</f>
        <v>2</v>
      </c>
    </row>
    <row r="4290" spans="1:9" ht="15" customHeight="1" x14ac:dyDescent="0.25">
      <c r="A4290" s="7">
        <v>4289</v>
      </c>
      <c r="B4290" s="1">
        <v>43711</v>
      </c>
      <c r="C4290" s="6" t="s">
        <v>10</v>
      </c>
      <c r="D4290" s="6" t="s">
        <v>18</v>
      </c>
      <c r="E4290" s="6">
        <v>4</v>
      </c>
      <c r="F4290" s="6">
        <v>1</v>
      </c>
      <c r="G4290" s="6" t="s">
        <v>11</v>
      </c>
      <c r="H4290" s="6" t="s">
        <v>13</v>
      </c>
      <c r="I4290" s="6">
        <f>TabJogos[[#This Row],[PontosTime1]]-TabJogos[[#This Row],[PontosTime2]]</f>
        <v>3</v>
      </c>
    </row>
    <row r="4291" spans="1:9" ht="15" customHeight="1" x14ac:dyDescent="0.25">
      <c r="A4291" s="7">
        <v>4290</v>
      </c>
      <c r="B4291" s="1">
        <v>43711</v>
      </c>
      <c r="C4291" s="6" t="s">
        <v>10</v>
      </c>
      <c r="D4291" s="6" t="s">
        <v>11</v>
      </c>
      <c r="E4291" s="6">
        <v>1</v>
      </c>
      <c r="F4291" s="6">
        <v>3</v>
      </c>
      <c r="G4291" s="6" t="s">
        <v>18</v>
      </c>
      <c r="H4291" s="6" t="s">
        <v>13</v>
      </c>
      <c r="I4291" s="6">
        <f>TabJogos[[#This Row],[PontosTime1]]-TabJogos[[#This Row],[PontosTime2]]</f>
        <v>-2</v>
      </c>
    </row>
    <row r="4292" spans="1:9" ht="15" customHeight="1" x14ac:dyDescent="0.25">
      <c r="A4292" s="7">
        <v>4291</v>
      </c>
      <c r="B4292" s="1">
        <v>43711</v>
      </c>
      <c r="C4292" s="6" t="s">
        <v>10</v>
      </c>
      <c r="D4292" s="6" t="s">
        <v>13</v>
      </c>
      <c r="E4292" s="6">
        <v>3</v>
      </c>
      <c r="F4292" s="6">
        <v>1</v>
      </c>
      <c r="G4292" s="6" t="s">
        <v>18</v>
      </c>
      <c r="H4292" s="6" t="s">
        <v>11</v>
      </c>
      <c r="I4292" s="6">
        <f>TabJogos[[#This Row],[PontosTime1]]-TabJogos[[#This Row],[PontosTime2]]</f>
        <v>2</v>
      </c>
    </row>
    <row r="4293" spans="1:9" ht="15" customHeight="1" x14ac:dyDescent="0.25">
      <c r="A4293" s="7">
        <v>4292</v>
      </c>
      <c r="B4293" s="1">
        <v>43711</v>
      </c>
      <c r="C4293" s="6" t="s">
        <v>18</v>
      </c>
      <c r="D4293" s="6" t="s">
        <v>13</v>
      </c>
      <c r="E4293" s="6">
        <v>3</v>
      </c>
      <c r="F4293" s="6">
        <v>1</v>
      </c>
      <c r="G4293" s="6" t="s">
        <v>11</v>
      </c>
      <c r="H4293" s="6" t="s">
        <v>9</v>
      </c>
      <c r="I4293" s="6">
        <f>TabJogos[[#This Row],[PontosTime1]]-TabJogos[[#This Row],[PontosTime2]]</f>
        <v>2</v>
      </c>
    </row>
    <row r="4294" spans="1:9" ht="15" customHeight="1" x14ac:dyDescent="0.25">
      <c r="A4294" s="7">
        <v>4293</v>
      </c>
      <c r="B4294" s="1">
        <v>43711</v>
      </c>
      <c r="C4294" s="6" t="s">
        <v>18</v>
      </c>
      <c r="D4294" s="6" t="s">
        <v>9</v>
      </c>
      <c r="E4294" s="6">
        <v>3</v>
      </c>
      <c r="F4294" s="6">
        <v>2</v>
      </c>
      <c r="G4294" s="6" t="s">
        <v>11</v>
      </c>
      <c r="H4294" s="6" t="s">
        <v>13</v>
      </c>
      <c r="I4294" s="6">
        <f>TabJogos[[#This Row],[PontosTime1]]-TabJogos[[#This Row],[PontosTime2]]</f>
        <v>1</v>
      </c>
    </row>
    <row r="4295" spans="1:9" ht="15" customHeight="1" x14ac:dyDescent="0.25">
      <c r="A4295" s="7">
        <v>4294</v>
      </c>
      <c r="B4295" s="1">
        <v>43711</v>
      </c>
      <c r="C4295" s="6" t="s">
        <v>18</v>
      </c>
      <c r="D4295" s="6" t="s">
        <v>11</v>
      </c>
      <c r="E4295" s="6">
        <v>1</v>
      </c>
      <c r="F4295" s="6">
        <v>4</v>
      </c>
      <c r="G4295" s="6" t="s">
        <v>9</v>
      </c>
      <c r="H4295" s="6" t="s">
        <v>13</v>
      </c>
      <c r="I4295" s="6">
        <f>TabJogos[[#This Row],[PontosTime1]]-TabJogos[[#This Row],[PontosTime2]]</f>
        <v>-3</v>
      </c>
    </row>
    <row r="4296" spans="1:9" ht="15" customHeight="1" x14ac:dyDescent="0.25">
      <c r="A4296" s="7">
        <v>4295</v>
      </c>
      <c r="B4296" s="1">
        <v>43711</v>
      </c>
      <c r="C4296" s="6" t="s">
        <v>11</v>
      </c>
      <c r="D4296" s="6" t="s">
        <v>9</v>
      </c>
      <c r="E4296" s="6">
        <v>0</v>
      </c>
      <c r="F4296" s="6">
        <v>4</v>
      </c>
      <c r="G4296" s="6" t="s">
        <v>18</v>
      </c>
      <c r="H4296" s="6" t="s">
        <v>13</v>
      </c>
      <c r="I4296" s="6">
        <f>TabJogos[[#This Row],[PontosTime1]]-TabJogos[[#This Row],[PontosTime2]]</f>
        <v>-4</v>
      </c>
    </row>
    <row r="4297" spans="1:9" ht="15" customHeight="1" x14ac:dyDescent="0.25">
      <c r="A4297" s="7">
        <v>4296</v>
      </c>
      <c r="B4297" s="1">
        <v>43711</v>
      </c>
      <c r="C4297" s="6" t="s">
        <v>11</v>
      </c>
      <c r="D4297" s="6" t="s">
        <v>13</v>
      </c>
      <c r="E4297" s="6">
        <v>0</v>
      </c>
      <c r="F4297" s="6">
        <v>3</v>
      </c>
      <c r="G4297" s="6" t="s">
        <v>18</v>
      </c>
      <c r="H4297" s="6" t="s">
        <v>9</v>
      </c>
      <c r="I4297" s="6">
        <f>TabJogos[[#This Row],[PontosTime1]]-TabJogos[[#This Row],[PontosTime2]]</f>
        <v>-3</v>
      </c>
    </row>
    <row r="4298" spans="1:9" ht="15" customHeight="1" x14ac:dyDescent="0.25">
      <c r="A4298" s="7">
        <v>4297</v>
      </c>
      <c r="B4298" s="1">
        <v>43712</v>
      </c>
      <c r="C4298" s="6" t="s">
        <v>11</v>
      </c>
      <c r="D4298" s="6" t="s">
        <v>10</v>
      </c>
      <c r="E4298" s="6">
        <v>3</v>
      </c>
      <c r="F4298" s="6">
        <v>2</v>
      </c>
      <c r="G4298" s="6" t="s">
        <v>13</v>
      </c>
      <c r="H4298" s="6" t="s">
        <v>16</v>
      </c>
      <c r="I4298" s="6">
        <f>TabJogos[[#This Row],[PontosTime1]]-TabJogos[[#This Row],[PontosTime2]]</f>
        <v>1</v>
      </c>
    </row>
    <row r="4299" spans="1:9" ht="15" customHeight="1" x14ac:dyDescent="0.25">
      <c r="A4299" s="7">
        <v>4298</v>
      </c>
      <c r="B4299" s="1">
        <v>43712</v>
      </c>
      <c r="C4299" s="6" t="s">
        <v>11</v>
      </c>
      <c r="D4299" s="6" t="s">
        <v>12</v>
      </c>
      <c r="E4299" s="6">
        <v>3</v>
      </c>
      <c r="F4299" s="6">
        <v>0</v>
      </c>
      <c r="G4299" s="6" t="s">
        <v>13</v>
      </c>
      <c r="H4299" s="6" t="s">
        <v>10</v>
      </c>
      <c r="I4299" s="6">
        <f>TabJogos[[#This Row],[PontosTime1]]-TabJogos[[#This Row],[PontosTime2]]</f>
        <v>3</v>
      </c>
    </row>
    <row r="4300" spans="1:9" ht="15" customHeight="1" x14ac:dyDescent="0.25">
      <c r="A4300" s="7">
        <v>4299</v>
      </c>
      <c r="B4300" s="1">
        <v>43712</v>
      </c>
      <c r="C4300" s="6" t="s">
        <v>11</v>
      </c>
      <c r="D4300" s="6" t="s">
        <v>13</v>
      </c>
      <c r="E4300" s="6">
        <v>3</v>
      </c>
      <c r="F4300" s="6">
        <v>1</v>
      </c>
      <c r="G4300" s="6" t="s">
        <v>10</v>
      </c>
      <c r="H4300" s="6" t="s">
        <v>12</v>
      </c>
      <c r="I4300" s="6">
        <f>TabJogos[[#This Row],[PontosTime1]]-TabJogos[[#This Row],[PontosTime2]]</f>
        <v>2</v>
      </c>
    </row>
    <row r="4301" spans="1:9" ht="15" customHeight="1" x14ac:dyDescent="0.25">
      <c r="A4301" s="7">
        <v>4300</v>
      </c>
      <c r="B4301" s="1">
        <v>43712</v>
      </c>
      <c r="C4301" s="6" t="s">
        <v>11</v>
      </c>
      <c r="D4301" s="6" t="s">
        <v>10</v>
      </c>
      <c r="E4301" s="6">
        <v>3</v>
      </c>
      <c r="F4301" s="6">
        <v>0</v>
      </c>
      <c r="G4301" s="6" t="s">
        <v>13</v>
      </c>
      <c r="H4301" s="6" t="s">
        <v>12</v>
      </c>
      <c r="I4301" s="6">
        <f>TabJogos[[#This Row],[PontosTime1]]-TabJogos[[#This Row],[PontosTime2]]</f>
        <v>3</v>
      </c>
    </row>
    <row r="4302" spans="1:9" ht="15" customHeight="1" x14ac:dyDescent="0.25">
      <c r="A4302" s="7">
        <v>4301</v>
      </c>
      <c r="B4302" s="1">
        <v>43712</v>
      </c>
      <c r="C4302" s="6" t="s">
        <v>11</v>
      </c>
      <c r="D4302" s="6" t="s">
        <v>17</v>
      </c>
      <c r="E4302" s="6">
        <v>6</v>
      </c>
      <c r="F4302" s="6">
        <v>2</v>
      </c>
      <c r="G4302" s="6" t="s">
        <v>10</v>
      </c>
      <c r="H4302" s="6" t="s">
        <v>41</v>
      </c>
      <c r="I4302" s="6">
        <f>TabJogos[[#This Row],[PontosTime1]]-TabJogos[[#This Row],[PontosTime2]]</f>
        <v>4</v>
      </c>
    </row>
    <row r="4303" spans="1:9" ht="15" customHeight="1" x14ac:dyDescent="0.25">
      <c r="A4303" s="7">
        <v>4302</v>
      </c>
      <c r="B4303" s="1">
        <v>43712</v>
      </c>
      <c r="C4303" s="6" t="s">
        <v>13</v>
      </c>
      <c r="D4303" s="6" t="s">
        <v>17</v>
      </c>
      <c r="E4303" s="6">
        <v>0</v>
      </c>
      <c r="F4303" s="6">
        <v>3</v>
      </c>
      <c r="G4303" s="6" t="s">
        <v>11</v>
      </c>
      <c r="H4303" s="6" t="s">
        <v>41</v>
      </c>
      <c r="I4303" s="6">
        <f>TabJogos[[#This Row],[PontosTime1]]-TabJogos[[#This Row],[PontosTime2]]</f>
        <v>-3</v>
      </c>
    </row>
    <row r="4304" spans="1:9" ht="15" customHeight="1" x14ac:dyDescent="0.25">
      <c r="A4304" s="7">
        <v>4303</v>
      </c>
      <c r="B4304" s="1">
        <v>43712</v>
      </c>
      <c r="C4304" s="6" t="s">
        <v>11</v>
      </c>
      <c r="D4304" s="6" t="s">
        <v>13</v>
      </c>
      <c r="E4304" s="6">
        <v>2</v>
      </c>
      <c r="F4304" s="6">
        <v>4</v>
      </c>
      <c r="G4304" s="6" t="s">
        <v>41</v>
      </c>
      <c r="H4304" s="6" t="s">
        <v>17</v>
      </c>
      <c r="I4304" s="6">
        <f>TabJogos[[#This Row],[PontosTime1]]-TabJogos[[#This Row],[PontosTime2]]</f>
        <v>-2</v>
      </c>
    </row>
    <row r="4305" spans="1:9" ht="15" customHeight="1" x14ac:dyDescent="0.25">
      <c r="A4305" s="7">
        <v>4304</v>
      </c>
      <c r="B4305" s="1">
        <v>43712</v>
      </c>
      <c r="C4305" s="6" t="s">
        <v>11</v>
      </c>
      <c r="D4305" s="6" t="s">
        <v>17</v>
      </c>
      <c r="E4305" s="6">
        <v>3</v>
      </c>
      <c r="F4305" s="6">
        <v>1</v>
      </c>
      <c r="G4305" s="6" t="s">
        <v>13</v>
      </c>
      <c r="H4305" s="6" t="s">
        <v>9</v>
      </c>
      <c r="I4305" s="6">
        <f>TabJogos[[#This Row],[PontosTime1]]-TabJogos[[#This Row],[PontosTime2]]</f>
        <v>2</v>
      </c>
    </row>
    <row r="4306" spans="1:9" ht="15" customHeight="1" x14ac:dyDescent="0.25">
      <c r="A4306" s="7">
        <v>4305</v>
      </c>
      <c r="B4306" s="1">
        <v>43712</v>
      </c>
      <c r="C4306" s="6" t="s">
        <v>11</v>
      </c>
      <c r="D4306" s="6" t="s">
        <v>9</v>
      </c>
      <c r="E4306" s="6">
        <v>2</v>
      </c>
      <c r="F4306" s="6">
        <v>3</v>
      </c>
      <c r="G4306" s="6" t="s">
        <v>17</v>
      </c>
      <c r="H4306" s="6" t="s">
        <v>13</v>
      </c>
      <c r="I4306" s="6">
        <f>TabJogos[[#This Row],[PontosTime1]]-TabJogos[[#This Row],[PontosTime2]]</f>
        <v>-1</v>
      </c>
    </row>
    <row r="4307" spans="1:9" ht="15" customHeight="1" x14ac:dyDescent="0.25">
      <c r="A4307" s="7">
        <v>4306</v>
      </c>
      <c r="B4307" s="1">
        <v>43712</v>
      </c>
      <c r="C4307" s="6" t="s">
        <v>11</v>
      </c>
      <c r="D4307" s="6" t="s">
        <v>13</v>
      </c>
      <c r="E4307" s="6">
        <v>3</v>
      </c>
      <c r="F4307" s="6">
        <v>0</v>
      </c>
      <c r="G4307" s="6" t="s">
        <v>9</v>
      </c>
      <c r="H4307" s="6" t="s">
        <v>17</v>
      </c>
      <c r="I4307" s="6">
        <f>TabJogos[[#This Row],[PontosTime1]]-TabJogos[[#This Row],[PontosTime2]]</f>
        <v>3</v>
      </c>
    </row>
    <row r="4308" spans="1:9" ht="15" customHeight="1" x14ac:dyDescent="0.25">
      <c r="A4308" s="7">
        <v>4307</v>
      </c>
      <c r="B4308" s="1">
        <v>43712</v>
      </c>
      <c r="C4308" s="6" t="s">
        <v>11</v>
      </c>
      <c r="D4308" s="6" t="s">
        <v>17</v>
      </c>
      <c r="E4308" s="6">
        <v>1</v>
      </c>
      <c r="F4308" s="6">
        <v>4</v>
      </c>
      <c r="G4308" s="6" t="s">
        <v>13</v>
      </c>
      <c r="H4308" s="6" t="s">
        <v>9</v>
      </c>
      <c r="I4308" s="6">
        <f>TabJogos[[#This Row],[PontosTime1]]-TabJogos[[#This Row],[PontosTime2]]</f>
        <v>-3</v>
      </c>
    </row>
    <row r="4309" spans="1:9" ht="15" customHeight="1" x14ac:dyDescent="0.25">
      <c r="A4309" s="7">
        <v>4308</v>
      </c>
      <c r="B4309" s="1">
        <v>43713</v>
      </c>
      <c r="C4309" s="6" t="s">
        <v>9</v>
      </c>
      <c r="D4309" s="6" t="s">
        <v>41</v>
      </c>
      <c r="E4309" s="6">
        <v>3</v>
      </c>
      <c r="F4309" s="6">
        <v>0</v>
      </c>
      <c r="G4309" s="6" t="s">
        <v>10</v>
      </c>
      <c r="H4309" s="6" t="s">
        <v>13</v>
      </c>
      <c r="I4309" s="6">
        <f>TabJogos[[#This Row],[PontosTime1]]-TabJogos[[#This Row],[PontosTime2]]</f>
        <v>3</v>
      </c>
    </row>
    <row r="4310" spans="1:9" ht="15" customHeight="1" x14ac:dyDescent="0.25">
      <c r="A4310" s="7">
        <v>4309</v>
      </c>
      <c r="B4310" s="1">
        <v>43713</v>
      </c>
      <c r="C4310" s="6" t="s">
        <v>9</v>
      </c>
      <c r="D4310" s="6" t="s">
        <v>12</v>
      </c>
      <c r="E4310" s="6">
        <v>3</v>
      </c>
      <c r="F4310" s="6">
        <v>0</v>
      </c>
      <c r="G4310" s="6" t="s">
        <v>13</v>
      </c>
      <c r="H4310" s="6" t="s">
        <v>63</v>
      </c>
      <c r="I4310" s="6">
        <f>TabJogos[[#This Row],[PontosTime1]]-TabJogos[[#This Row],[PontosTime2]]</f>
        <v>3</v>
      </c>
    </row>
    <row r="4311" spans="1:9" ht="15" customHeight="1" x14ac:dyDescent="0.25">
      <c r="A4311" s="7">
        <v>4310</v>
      </c>
      <c r="B4311" s="1">
        <v>43713</v>
      </c>
      <c r="C4311" s="6" t="s">
        <v>9</v>
      </c>
      <c r="D4311" s="6" t="s">
        <v>11</v>
      </c>
      <c r="E4311" s="6">
        <v>3</v>
      </c>
      <c r="F4311" s="6">
        <v>2</v>
      </c>
      <c r="G4311" s="6" t="s">
        <v>10</v>
      </c>
      <c r="H4311" s="6" t="s">
        <v>12</v>
      </c>
      <c r="I4311" s="6">
        <f>TabJogos[[#This Row],[PontosTime1]]-TabJogos[[#This Row],[PontosTime2]]</f>
        <v>1</v>
      </c>
    </row>
    <row r="4312" spans="1:9" ht="15" customHeight="1" x14ac:dyDescent="0.25">
      <c r="A4312" s="7">
        <v>4311</v>
      </c>
      <c r="B4312" s="1">
        <v>43713</v>
      </c>
      <c r="C4312" s="6" t="s">
        <v>11</v>
      </c>
      <c r="D4312" s="6" t="s">
        <v>18</v>
      </c>
      <c r="E4312" s="6">
        <v>3</v>
      </c>
      <c r="F4312" s="6">
        <v>0</v>
      </c>
      <c r="G4312" s="6" t="s">
        <v>9</v>
      </c>
      <c r="H4312" s="6" t="s">
        <v>27</v>
      </c>
      <c r="I4312" s="6">
        <f>TabJogos[[#This Row],[PontosTime1]]-TabJogos[[#This Row],[PontosTime2]]</f>
        <v>3</v>
      </c>
    </row>
    <row r="4313" spans="1:9" ht="15" customHeight="1" x14ac:dyDescent="0.25">
      <c r="A4313" s="7">
        <v>4312</v>
      </c>
      <c r="B4313" s="1">
        <v>43713</v>
      </c>
      <c r="C4313" s="6" t="s">
        <v>11</v>
      </c>
      <c r="D4313" s="6" t="s">
        <v>13</v>
      </c>
      <c r="E4313" s="6">
        <v>1</v>
      </c>
      <c r="F4313" s="6">
        <v>3</v>
      </c>
      <c r="G4313" s="6" t="s">
        <v>41</v>
      </c>
      <c r="H4313" s="6" t="s">
        <v>18</v>
      </c>
      <c r="I4313" s="6">
        <f>TabJogos[[#This Row],[PontosTime1]]-TabJogos[[#This Row],[PontosTime2]]</f>
        <v>-2</v>
      </c>
    </row>
    <row r="4314" spans="1:9" ht="15" customHeight="1" x14ac:dyDescent="0.25">
      <c r="A4314" s="7">
        <v>4313</v>
      </c>
      <c r="B4314" s="1">
        <v>43713</v>
      </c>
      <c r="C4314" s="6" t="s">
        <v>41</v>
      </c>
      <c r="D4314" s="6" t="s">
        <v>27</v>
      </c>
      <c r="E4314" s="6">
        <v>0</v>
      </c>
      <c r="F4314" s="6">
        <v>3</v>
      </c>
      <c r="G4314" s="6" t="s">
        <v>9</v>
      </c>
      <c r="H4314" s="6" t="s">
        <v>18</v>
      </c>
      <c r="I4314" s="6">
        <f>TabJogos[[#This Row],[PontosTime1]]-TabJogos[[#This Row],[PontosTime2]]</f>
        <v>-3</v>
      </c>
    </row>
    <row r="4315" spans="1:9" ht="15" customHeight="1" x14ac:dyDescent="0.25">
      <c r="A4315" s="7">
        <v>4314</v>
      </c>
      <c r="B4315" s="1">
        <v>43713</v>
      </c>
      <c r="C4315" s="6" t="s">
        <v>27</v>
      </c>
      <c r="D4315" s="6" t="s">
        <v>18</v>
      </c>
      <c r="E4315" s="6">
        <v>4</v>
      </c>
      <c r="F4315" s="6">
        <v>0</v>
      </c>
      <c r="G4315" s="6" t="s">
        <v>9</v>
      </c>
      <c r="H4315" s="6" t="s">
        <v>11</v>
      </c>
      <c r="I4315" s="6">
        <f>TabJogos[[#This Row],[PontosTime1]]-TabJogos[[#This Row],[PontosTime2]]</f>
        <v>4</v>
      </c>
    </row>
    <row r="4316" spans="1:9" ht="15" customHeight="1" x14ac:dyDescent="0.25">
      <c r="A4316" s="7">
        <v>4315</v>
      </c>
      <c r="B4316" s="1">
        <v>43713</v>
      </c>
      <c r="C4316" s="6" t="s">
        <v>11</v>
      </c>
      <c r="D4316" s="6" t="s">
        <v>27</v>
      </c>
      <c r="E4316" s="6">
        <v>3</v>
      </c>
      <c r="F4316" s="6">
        <v>1</v>
      </c>
      <c r="G4316" s="6" t="s">
        <v>18</v>
      </c>
      <c r="H4316" s="6" t="s">
        <v>13</v>
      </c>
      <c r="I4316" s="6">
        <f>TabJogos[[#This Row],[PontosTime1]]-TabJogos[[#This Row],[PontosTime2]]</f>
        <v>2</v>
      </c>
    </row>
    <row r="4317" spans="1:9" ht="15" customHeight="1" x14ac:dyDescent="0.25">
      <c r="A4317" s="7">
        <v>4316</v>
      </c>
      <c r="B4317" s="1">
        <v>43713</v>
      </c>
      <c r="C4317" s="6" t="s">
        <v>11</v>
      </c>
      <c r="D4317" s="6" t="s">
        <v>18</v>
      </c>
      <c r="E4317" s="6">
        <v>3</v>
      </c>
      <c r="F4317" s="6">
        <v>2</v>
      </c>
      <c r="G4317" s="6" t="s">
        <v>9</v>
      </c>
      <c r="H4317" s="6" t="s">
        <v>27</v>
      </c>
      <c r="I4317" s="6">
        <f>TabJogos[[#This Row],[PontosTime1]]-TabJogos[[#This Row],[PontosTime2]]</f>
        <v>1</v>
      </c>
    </row>
    <row r="4318" spans="1:9" ht="15" customHeight="1" x14ac:dyDescent="0.25">
      <c r="A4318" s="7">
        <v>4317</v>
      </c>
      <c r="B4318" s="1">
        <v>43713</v>
      </c>
      <c r="C4318" s="6" t="s">
        <v>11</v>
      </c>
      <c r="D4318" s="6" t="s">
        <v>13</v>
      </c>
      <c r="E4318" s="6">
        <v>3</v>
      </c>
      <c r="F4318" s="6">
        <v>2</v>
      </c>
      <c r="G4318" s="6" t="s">
        <v>9</v>
      </c>
      <c r="H4318" s="6" t="s">
        <v>18</v>
      </c>
      <c r="I4318" s="6">
        <f>TabJogos[[#This Row],[PontosTime1]]-TabJogos[[#This Row],[PontosTime2]]</f>
        <v>1</v>
      </c>
    </row>
    <row r="4319" spans="1:9" ht="15" customHeight="1" x14ac:dyDescent="0.25">
      <c r="A4319" s="7">
        <v>4318</v>
      </c>
      <c r="B4319" s="1">
        <v>43713</v>
      </c>
      <c r="C4319" s="6" t="s">
        <v>13</v>
      </c>
      <c r="D4319" s="6" t="s">
        <v>18</v>
      </c>
      <c r="E4319" s="6">
        <v>0</v>
      </c>
      <c r="F4319" s="6">
        <v>3</v>
      </c>
      <c r="G4319" s="6" t="s">
        <v>11</v>
      </c>
      <c r="H4319" s="6" t="s">
        <v>17</v>
      </c>
      <c r="I4319" s="6">
        <f>TabJogos[[#This Row],[PontosTime1]]-TabJogos[[#This Row],[PontosTime2]]</f>
        <v>-3</v>
      </c>
    </row>
    <row r="4320" spans="1:9" ht="15" customHeight="1" x14ac:dyDescent="0.25">
      <c r="A4320" s="7">
        <v>4319</v>
      </c>
      <c r="B4320" s="1">
        <v>43713</v>
      </c>
      <c r="C4320" s="6" t="s">
        <v>11</v>
      </c>
      <c r="D4320" s="6" t="s">
        <v>18</v>
      </c>
      <c r="E4320" s="6">
        <v>2</v>
      </c>
      <c r="F4320" s="6">
        <v>3</v>
      </c>
      <c r="G4320" s="6" t="s">
        <v>13</v>
      </c>
      <c r="H4320" s="6" t="s">
        <v>17</v>
      </c>
      <c r="I4320" s="6">
        <f>TabJogos[[#This Row],[PontosTime1]]-TabJogos[[#This Row],[PontosTime2]]</f>
        <v>-1</v>
      </c>
    </row>
    <row r="4321" spans="1:9" ht="15" customHeight="1" x14ac:dyDescent="0.25">
      <c r="A4321" s="7">
        <v>4320</v>
      </c>
      <c r="B4321" s="1">
        <v>43713</v>
      </c>
      <c r="C4321" s="6" t="s">
        <v>11</v>
      </c>
      <c r="D4321" s="6" t="s">
        <v>17</v>
      </c>
      <c r="E4321" s="6">
        <v>3</v>
      </c>
      <c r="F4321" s="6">
        <v>0</v>
      </c>
      <c r="G4321" s="6" t="s">
        <v>13</v>
      </c>
      <c r="H4321" s="6" t="s">
        <v>18</v>
      </c>
      <c r="I4321" s="6">
        <f>TabJogos[[#This Row],[PontosTime1]]-TabJogos[[#This Row],[PontosTime2]]</f>
        <v>3</v>
      </c>
    </row>
    <row r="4322" spans="1:9" ht="15" customHeight="1" x14ac:dyDescent="0.25">
      <c r="A4322" s="7">
        <v>4321</v>
      </c>
      <c r="B4322" s="1">
        <v>43713</v>
      </c>
      <c r="C4322" s="6" t="s">
        <v>11</v>
      </c>
      <c r="D4322" s="6" t="s">
        <v>13</v>
      </c>
      <c r="E4322" s="6">
        <v>3</v>
      </c>
      <c r="F4322" s="6">
        <v>1</v>
      </c>
      <c r="G4322" s="6" t="s">
        <v>17</v>
      </c>
      <c r="H4322" s="6" t="s">
        <v>18</v>
      </c>
      <c r="I4322" s="6">
        <f>TabJogos[[#This Row],[PontosTime1]]-TabJogos[[#This Row],[PontosTime2]]</f>
        <v>2</v>
      </c>
    </row>
    <row r="4323" spans="1:9" ht="15" customHeight="1" x14ac:dyDescent="0.25">
      <c r="A4323" s="7">
        <v>4322</v>
      </c>
      <c r="B4323" s="1">
        <v>43713</v>
      </c>
      <c r="C4323" s="6" t="s">
        <v>11</v>
      </c>
      <c r="D4323" s="6" t="s">
        <v>18</v>
      </c>
      <c r="E4323" s="6">
        <v>2</v>
      </c>
      <c r="F4323" s="6">
        <v>3</v>
      </c>
      <c r="G4323" s="6" t="s">
        <v>17</v>
      </c>
      <c r="H4323" s="6" t="s">
        <v>13</v>
      </c>
      <c r="I4323" s="6">
        <f>TabJogos[[#This Row],[PontosTime1]]-TabJogos[[#This Row],[PontosTime2]]</f>
        <v>-1</v>
      </c>
    </row>
    <row r="4324" spans="1:9" ht="15" customHeight="1" x14ac:dyDescent="0.25">
      <c r="A4324" s="7">
        <v>4323</v>
      </c>
      <c r="B4324" s="1">
        <v>43714</v>
      </c>
      <c r="C4324" s="6" t="s">
        <v>17</v>
      </c>
      <c r="D4324" s="6" t="s">
        <v>10</v>
      </c>
      <c r="E4324" s="6">
        <v>4</v>
      </c>
      <c r="F4324" s="6">
        <v>0</v>
      </c>
      <c r="G4324" s="6" t="s">
        <v>13</v>
      </c>
      <c r="H4324" s="6" t="s">
        <v>11</v>
      </c>
      <c r="I4324" s="6">
        <f>TabJogos[[#This Row],[PontosTime1]]-TabJogos[[#This Row],[PontosTime2]]</f>
        <v>4</v>
      </c>
    </row>
    <row r="4325" spans="1:9" ht="15" customHeight="1" x14ac:dyDescent="0.25">
      <c r="A4325" s="7">
        <v>4324</v>
      </c>
      <c r="B4325" s="1">
        <v>43714</v>
      </c>
      <c r="C4325" s="6" t="s">
        <v>12</v>
      </c>
      <c r="D4325" s="6" t="s">
        <v>10</v>
      </c>
      <c r="E4325" s="6">
        <v>3</v>
      </c>
      <c r="F4325" s="6">
        <v>1</v>
      </c>
      <c r="G4325" s="6" t="s">
        <v>17</v>
      </c>
      <c r="H4325" s="6" t="s">
        <v>18</v>
      </c>
      <c r="I4325" s="6">
        <f>TabJogos[[#This Row],[PontosTime1]]-TabJogos[[#This Row],[PontosTime2]]</f>
        <v>2</v>
      </c>
    </row>
    <row r="4326" spans="1:9" ht="15" customHeight="1" x14ac:dyDescent="0.25">
      <c r="A4326" s="7">
        <v>4325</v>
      </c>
      <c r="B4326" s="1">
        <v>43714</v>
      </c>
      <c r="C4326" s="6" t="s">
        <v>13</v>
      </c>
      <c r="D4326" s="6" t="s">
        <v>10</v>
      </c>
      <c r="E4326" s="6">
        <v>0</v>
      </c>
      <c r="F4326" s="6">
        <v>3</v>
      </c>
      <c r="G4326" s="6" t="s">
        <v>12</v>
      </c>
      <c r="H4326" s="6" t="s">
        <v>11</v>
      </c>
      <c r="I4326" s="6">
        <f>TabJogos[[#This Row],[PontosTime1]]-TabJogos[[#This Row],[PontosTime2]]</f>
        <v>-3</v>
      </c>
    </row>
    <row r="4327" spans="1:9" ht="15" customHeight="1" x14ac:dyDescent="0.25">
      <c r="A4327" s="7">
        <v>4326</v>
      </c>
      <c r="B4327" s="1">
        <v>43714</v>
      </c>
      <c r="C4327" s="6" t="s">
        <v>12</v>
      </c>
      <c r="D4327" s="6" t="s">
        <v>18</v>
      </c>
      <c r="E4327" s="6">
        <v>1</v>
      </c>
      <c r="F4327" s="6">
        <v>3</v>
      </c>
      <c r="G4327" s="6" t="s">
        <v>11</v>
      </c>
      <c r="H4327" s="6" t="s">
        <v>17</v>
      </c>
      <c r="I4327" s="6">
        <f>TabJogos[[#This Row],[PontosTime1]]-TabJogos[[#This Row],[PontosTime2]]</f>
        <v>-2</v>
      </c>
    </row>
    <row r="4328" spans="1:9" ht="15" customHeight="1" x14ac:dyDescent="0.25">
      <c r="A4328" s="7">
        <v>4327</v>
      </c>
      <c r="B4328" s="1">
        <v>43714</v>
      </c>
      <c r="C4328" s="6" t="s">
        <v>11</v>
      </c>
      <c r="D4328" s="6" t="s">
        <v>10</v>
      </c>
      <c r="E4328" s="6">
        <v>1</v>
      </c>
      <c r="F4328" s="6">
        <v>3</v>
      </c>
      <c r="G4328" s="6" t="s">
        <v>17</v>
      </c>
      <c r="H4328" s="6" t="s">
        <v>41</v>
      </c>
      <c r="I4328" s="6">
        <f>TabJogos[[#This Row],[PontosTime1]]-TabJogos[[#This Row],[PontosTime2]]</f>
        <v>-2</v>
      </c>
    </row>
    <row r="4329" spans="1:9" ht="15" customHeight="1" x14ac:dyDescent="0.25">
      <c r="A4329" s="7">
        <v>4328</v>
      </c>
      <c r="B4329" s="1">
        <v>43714</v>
      </c>
      <c r="C4329" s="6" t="s">
        <v>41</v>
      </c>
      <c r="D4329" s="6" t="s">
        <v>18</v>
      </c>
      <c r="E4329" s="6">
        <v>4</v>
      </c>
      <c r="F4329" s="6">
        <v>0</v>
      </c>
      <c r="G4329" s="6" t="s">
        <v>17</v>
      </c>
      <c r="H4329" s="6" t="s">
        <v>13</v>
      </c>
      <c r="I4329" s="6">
        <f>TabJogos[[#This Row],[PontosTime1]]-TabJogos[[#This Row],[PontosTime2]]</f>
        <v>4</v>
      </c>
    </row>
    <row r="4330" spans="1:9" ht="15" customHeight="1" x14ac:dyDescent="0.25">
      <c r="A4330" s="7">
        <v>4329</v>
      </c>
      <c r="B4330" s="1">
        <v>43714</v>
      </c>
      <c r="C4330" s="6" t="s">
        <v>12</v>
      </c>
      <c r="D4330" s="6" t="s">
        <v>41</v>
      </c>
      <c r="E4330" s="6">
        <v>0</v>
      </c>
      <c r="F4330" s="6">
        <v>3</v>
      </c>
      <c r="G4330" s="6" t="s">
        <v>18</v>
      </c>
      <c r="H4330" s="6" t="s">
        <v>11</v>
      </c>
      <c r="I4330" s="6">
        <f>TabJogos[[#This Row],[PontosTime1]]-TabJogos[[#This Row],[PontosTime2]]</f>
        <v>-3</v>
      </c>
    </row>
    <row r="4331" spans="1:9" ht="15" customHeight="1" x14ac:dyDescent="0.25">
      <c r="A4331" s="7">
        <v>4330</v>
      </c>
      <c r="B4331" s="1">
        <v>43714</v>
      </c>
      <c r="C4331" s="6" t="s">
        <v>11</v>
      </c>
      <c r="D4331" s="6" t="s">
        <v>10</v>
      </c>
      <c r="E4331" s="6">
        <v>0</v>
      </c>
      <c r="F4331" s="6">
        <v>3</v>
      </c>
      <c r="G4331" s="6" t="s">
        <v>18</v>
      </c>
      <c r="H4331" s="6" t="s">
        <v>13</v>
      </c>
      <c r="I4331" s="6">
        <f>TabJogos[[#This Row],[PontosTime1]]-TabJogos[[#This Row],[PontosTime2]]</f>
        <v>-3</v>
      </c>
    </row>
    <row r="4332" spans="1:9" ht="15" customHeight="1" x14ac:dyDescent="0.25">
      <c r="A4332" s="7">
        <v>4331</v>
      </c>
      <c r="B4332" s="1">
        <v>43714</v>
      </c>
      <c r="C4332" s="6" t="s">
        <v>11</v>
      </c>
      <c r="D4332" s="6" t="s">
        <v>18</v>
      </c>
      <c r="E4332" s="6">
        <v>3</v>
      </c>
      <c r="F4332" s="6">
        <v>2</v>
      </c>
      <c r="G4332" s="6" t="s">
        <v>41</v>
      </c>
      <c r="H4332" s="6" t="s">
        <v>13</v>
      </c>
      <c r="I4332" s="6">
        <f>TabJogos[[#This Row],[PontosTime1]]-TabJogos[[#This Row],[PontosTime2]]</f>
        <v>1</v>
      </c>
    </row>
    <row r="4333" spans="1:9" ht="15" customHeight="1" x14ac:dyDescent="0.25">
      <c r="A4333" s="7">
        <v>4332</v>
      </c>
      <c r="B4333" s="1">
        <v>43714</v>
      </c>
      <c r="C4333" s="6" t="s">
        <v>10</v>
      </c>
      <c r="D4333" s="6" t="s">
        <v>18</v>
      </c>
      <c r="E4333" s="6">
        <v>2</v>
      </c>
      <c r="F4333" s="6">
        <v>3</v>
      </c>
      <c r="G4333" s="6" t="s">
        <v>41</v>
      </c>
      <c r="H4333" s="6" t="s">
        <v>11</v>
      </c>
      <c r="I4333" s="6">
        <f>TabJogos[[#This Row],[PontosTime1]]-TabJogos[[#This Row],[PontosTime2]]</f>
        <v>-1</v>
      </c>
    </row>
    <row r="4334" spans="1:9" ht="15" customHeight="1" x14ac:dyDescent="0.25">
      <c r="A4334" s="7">
        <v>4333</v>
      </c>
      <c r="B4334" s="1">
        <v>43714</v>
      </c>
      <c r="C4334" s="6" t="s">
        <v>11</v>
      </c>
      <c r="D4334" s="6" t="s">
        <v>13</v>
      </c>
      <c r="E4334" s="6">
        <v>4</v>
      </c>
      <c r="F4334" s="6">
        <v>1</v>
      </c>
      <c r="G4334" s="6" t="s">
        <v>41</v>
      </c>
      <c r="H4334" s="6" t="s">
        <v>18</v>
      </c>
      <c r="I4334" s="6">
        <f>TabJogos[[#This Row],[PontosTime1]]-TabJogos[[#This Row],[PontosTime2]]</f>
        <v>3</v>
      </c>
    </row>
    <row r="4335" spans="1:9" ht="15" customHeight="1" x14ac:dyDescent="0.25">
      <c r="A4335" s="7">
        <v>4334</v>
      </c>
      <c r="B4335" s="1">
        <v>43714</v>
      </c>
      <c r="C4335" s="6" t="s">
        <v>11</v>
      </c>
      <c r="D4335" s="6" t="s">
        <v>18</v>
      </c>
      <c r="E4335" s="6">
        <v>2</v>
      </c>
      <c r="F4335" s="6">
        <v>3</v>
      </c>
      <c r="G4335" s="6" t="s">
        <v>41</v>
      </c>
      <c r="H4335" s="6" t="s">
        <v>13</v>
      </c>
      <c r="I4335" s="6">
        <f>TabJogos[[#This Row],[PontosTime1]]-TabJogos[[#This Row],[PontosTime2]]</f>
        <v>-1</v>
      </c>
    </row>
    <row r="4336" spans="1:9" ht="15" customHeight="1" x14ac:dyDescent="0.25">
      <c r="A4336" s="7">
        <v>4335</v>
      </c>
      <c r="B4336" s="1">
        <v>43714</v>
      </c>
      <c r="C4336" s="6" t="s">
        <v>11</v>
      </c>
      <c r="D4336" s="6" t="s">
        <v>41</v>
      </c>
      <c r="E4336" s="6">
        <v>3</v>
      </c>
      <c r="F4336" s="6">
        <v>1</v>
      </c>
      <c r="G4336" s="6" t="s">
        <v>18</v>
      </c>
      <c r="H4336" s="6" t="s">
        <v>13</v>
      </c>
      <c r="I4336" s="6">
        <f>TabJogos[[#This Row],[PontosTime1]]-TabJogos[[#This Row],[PontosTime2]]</f>
        <v>2</v>
      </c>
    </row>
    <row r="4337" spans="1:9" ht="15" customHeight="1" x14ac:dyDescent="0.25">
      <c r="A4337" s="7">
        <v>4336</v>
      </c>
      <c r="B4337" s="1">
        <v>43717</v>
      </c>
      <c r="C4337" s="6" t="s">
        <v>9</v>
      </c>
      <c r="D4337" s="6" t="s">
        <v>32</v>
      </c>
      <c r="E4337" s="6">
        <v>3</v>
      </c>
      <c r="F4337" s="6">
        <v>1</v>
      </c>
      <c r="G4337" s="6" t="s">
        <v>17</v>
      </c>
      <c r="H4337" s="6" t="s">
        <v>11</v>
      </c>
      <c r="I4337" s="6">
        <f>TabJogos[[#This Row],[PontosTime1]]-TabJogos[[#This Row],[PontosTime2]]</f>
        <v>2</v>
      </c>
    </row>
    <row r="4338" spans="1:9" ht="15" customHeight="1" x14ac:dyDescent="0.25">
      <c r="A4338" s="7">
        <v>4337</v>
      </c>
      <c r="B4338" s="1">
        <v>43717</v>
      </c>
      <c r="C4338" s="6" t="s">
        <v>17</v>
      </c>
      <c r="D4338" s="6" t="s">
        <v>32</v>
      </c>
      <c r="E4338" s="6">
        <v>2</v>
      </c>
      <c r="F4338" s="6">
        <v>3</v>
      </c>
      <c r="G4338" s="6" t="s">
        <v>9</v>
      </c>
      <c r="H4338" s="6" t="s">
        <v>41</v>
      </c>
      <c r="I4338" s="6">
        <f>TabJogos[[#This Row],[PontosTime1]]-TabJogos[[#This Row],[PontosTime2]]</f>
        <v>-1</v>
      </c>
    </row>
    <row r="4339" spans="1:9" ht="15" customHeight="1" x14ac:dyDescent="0.25">
      <c r="A4339" s="7">
        <v>4338</v>
      </c>
      <c r="B4339" s="1">
        <v>43717</v>
      </c>
      <c r="C4339" s="6" t="s">
        <v>41</v>
      </c>
      <c r="D4339" s="6" t="s">
        <v>32</v>
      </c>
      <c r="E4339" s="6">
        <v>3</v>
      </c>
      <c r="F4339" s="6">
        <v>0</v>
      </c>
      <c r="G4339" s="6" t="s">
        <v>11</v>
      </c>
      <c r="H4339" s="6" t="s">
        <v>9</v>
      </c>
      <c r="I4339" s="6">
        <f>TabJogos[[#This Row],[PontosTime1]]-TabJogos[[#This Row],[PontosTime2]]</f>
        <v>3</v>
      </c>
    </row>
    <row r="4340" spans="1:9" ht="15" customHeight="1" x14ac:dyDescent="0.25">
      <c r="A4340" s="7">
        <v>4339</v>
      </c>
      <c r="B4340" s="1">
        <v>43717</v>
      </c>
      <c r="C4340" s="6" t="s">
        <v>13</v>
      </c>
      <c r="D4340" s="6" t="s">
        <v>32</v>
      </c>
      <c r="E4340" s="6">
        <v>3</v>
      </c>
      <c r="F4340" s="6">
        <v>1</v>
      </c>
      <c r="G4340" s="6" t="s">
        <v>17</v>
      </c>
      <c r="H4340" s="6" t="s">
        <v>41</v>
      </c>
      <c r="I4340" s="6">
        <f>TabJogos[[#This Row],[PontosTime1]]-TabJogos[[#This Row],[PontosTime2]]</f>
        <v>2</v>
      </c>
    </row>
    <row r="4341" spans="1:9" ht="15" customHeight="1" x14ac:dyDescent="0.25">
      <c r="A4341" s="7">
        <v>4340</v>
      </c>
      <c r="B4341" s="1">
        <v>43717</v>
      </c>
      <c r="C4341" s="6" t="s">
        <v>11</v>
      </c>
      <c r="D4341" s="6" t="s">
        <v>32</v>
      </c>
      <c r="E4341" s="6">
        <v>0</v>
      </c>
      <c r="F4341" s="6">
        <v>4</v>
      </c>
      <c r="G4341" s="6" t="s">
        <v>13</v>
      </c>
      <c r="H4341" s="6" t="s">
        <v>9</v>
      </c>
      <c r="I4341" s="6">
        <f>TabJogos[[#This Row],[PontosTime1]]-TabJogos[[#This Row],[PontosTime2]]</f>
        <v>-4</v>
      </c>
    </row>
    <row r="4342" spans="1:9" ht="15" customHeight="1" x14ac:dyDescent="0.25">
      <c r="A4342" s="7">
        <v>4341</v>
      </c>
      <c r="B4342" s="1">
        <v>43717</v>
      </c>
      <c r="C4342" s="6" t="s">
        <v>13</v>
      </c>
      <c r="D4342" s="6" t="s">
        <v>41</v>
      </c>
      <c r="E4342" s="6">
        <v>4</v>
      </c>
      <c r="F4342" s="6">
        <v>2</v>
      </c>
      <c r="G4342" s="6" t="s">
        <v>9</v>
      </c>
      <c r="H4342" s="6" t="s">
        <v>17</v>
      </c>
      <c r="I4342" s="6">
        <f>TabJogos[[#This Row],[PontosTime1]]-TabJogos[[#This Row],[PontosTime2]]</f>
        <v>2</v>
      </c>
    </row>
    <row r="4343" spans="1:9" ht="15" customHeight="1" x14ac:dyDescent="0.25">
      <c r="A4343" s="7">
        <v>4342</v>
      </c>
      <c r="B4343" s="1">
        <v>43717</v>
      </c>
      <c r="C4343" s="6" t="s">
        <v>13</v>
      </c>
      <c r="D4343" s="6" t="s">
        <v>11</v>
      </c>
      <c r="E4343" s="6">
        <v>1</v>
      </c>
      <c r="F4343" s="6">
        <v>5</v>
      </c>
      <c r="G4343" s="6" t="s">
        <v>18</v>
      </c>
      <c r="H4343" s="6" t="s">
        <v>41</v>
      </c>
      <c r="I4343" s="6">
        <f>TabJogos[[#This Row],[PontosTime1]]-TabJogos[[#This Row],[PontosTime2]]</f>
        <v>-4</v>
      </c>
    </row>
    <row r="4344" spans="1:9" ht="15" customHeight="1" x14ac:dyDescent="0.25">
      <c r="A4344" s="7">
        <v>4343</v>
      </c>
      <c r="B4344" s="1">
        <v>43717</v>
      </c>
      <c r="C4344" s="6" t="s">
        <v>9</v>
      </c>
      <c r="D4344" s="6" t="s">
        <v>41</v>
      </c>
      <c r="E4344" s="6">
        <v>3</v>
      </c>
      <c r="F4344" s="6">
        <v>2</v>
      </c>
      <c r="G4344" s="6" t="s">
        <v>18</v>
      </c>
      <c r="H4344" s="6" t="s">
        <v>17</v>
      </c>
      <c r="I4344" s="6">
        <f>TabJogos[[#This Row],[PontosTime1]]-TabJogos[[#This Row],[PontosTime2]]</f>
        <v>1</v>
      </c>
    </row>
    <row r="4345" spans="1:9" ht="15" customHeight="1" x14ac:dyDescent="0.25">
      <c r="A4345" s="7">
        <v>4344</v>
      </c>
      <c r="B4345" s="1">
        <v>43717</v>
      </c>
      <c r="C4345" s="6" t="s">
        <v>11</v>
      </c>
      <c r="D4345" s="6" t="s">
        <v>41</v>
      </c>
      <c r="E4345" s="6">
        <v>3</v>
      </c>
      <c r="F4345" s="6">
        <v>0</v>
      </c>
      <c r="G4345" s="6" t="s">
        <v>9</v>
      </c>
      <c r="H4345" s="6" t="s">
        <v>13</v>
      </c>
      <c r="I4345" s="6">
        <f>TabJogos[[#This Row],[PontosTime1]]-TabJogos[[#This Row],[PontosTime2]]</f>
        <v>3</v>
      </c>
    </row>
    <row r="4346" spans="1:9" ht="15" customHeight="1" x14ac:dyDescent="0.25">
      <c r="A4346" s="7">
        <v>4345</v>
      </c>
      <c r="B4346" s="1">
        <v>43717</v>
      </c>
      <c r="C4346" s="6" t="s">
        <v>11</v>
      </c>
      <c r="D4346" s="6" t="s">
        <v>18</v>
      </c>
      <c r="E4346" s="6">
        <v>3</v>
      </c>
      <c r="F4346" s="6">
        <v>1</v>
      </c>
      <c r="G4346" s="6" t="s">
        <v>41</v>
      </c>
      <c r="H4346" s="6" t="s">
        <v>17</v>
      </c>
      <c r="I4346" s="6">
        <f>TabJogos[[#This Row],[PontosTime1]]-TabJogos[[#This Row],[PontosTime2]]</f>
        <v>2</v>
      </c>
    </row>
    <row r="4347" spans="1:9" ht="15" customHeight="1" x14ac:dyDescent="0.25">
      <c r="A4347" s="7">
        <v>4346</v>
      </c>
      <c r="B4347" s="1">
        <v>43717</v>
      </c>
      <c r="C4347" s="6" t="s">
        <v>11</v>
      </c>
      <c r="D4347" s="6" t="s">
        <v>9</v>
      </c>
      <c r="E4347" s="6">
        <v>3</v>
      </c>
      <c r="F4347" s="6">
        <v>0</v>
      </c>
      <c r="G4347" s="6" t="s">
        <v>18</v>
      </c>
      <c r="H4347" s="6" t="s">
        <v>13</v>
      </c>
      <c r="I4347" s="6">
        <f>TabJogos[[#This Row],[PontosTime1]]-TabJogos[[#This Row],[PontosTime2]]</f>
        <v>3</v>
      </c>
    </row>
    <row r="4348" spans="1:9" ht="15" customHeight="1" x14ac:dyDescent="0.25">
      <c r="A4348" s="7">
        <v>4347</v>
      </c>
      <c r="B4348" s="1">
        <v>43717</v>
      </c>
      <c r="C4348" s="6" t="s">
        <v>11</v>
      </c>
      <c r="D4348" s="6" t="s">
        <v>18</v>
      </c>
      <c r="E4348" s="6">
        <v>2</v>
      </c>
      <c r="F4348" s="6">
        <v>3</v>
      </c>
      <c r="G4348" s="6" t="s">
        <v>17</v>
      </c>
      <c r="H4348" s="6" t="s">
        <v>13</v>
      </c>
      <c r="I4348" s="6">
        <f>TabJogos[[#This Row],[PontosTime1]]-TabJogos[[#This Row],[PontosTime2]]</f>
        <v>-1</v>
      </c>
    </row>
    <row r="4349" spans="1:9" ht="15" customHeight="1" x14ac:dyDescent="0.25">
      <c r="A4349" s="7">
        <v>4348</v>
      </c>
      <c r="B4349" s="1">
        <v>43717</v>
      </c>
      <c r="C4349" s="6" t="s">
        <v>11</v>
      </c>
      <c r="D4349" s="6" t="s">
        <v>13</v>
      </c>
      <c r="E4349" s="6">
        <v>1</v>
      </c>
      <c r="F4349" s="6">
        <v>3</v>
      </c>
      <c r="G4349" s="6" t="s">
        <v>18</v>
      </c>
      <c r="H4349" s="6" t="s">
        <v>17</v>
      </c>
      <c r="I4349" s="6">
        <f>TabJogos[[#This Row],[PontosTime1]]-TabJogos[[#This Row],[PontosTime2]]</f>
        <v>-2</v>
      </c>
    </row>
    <row r="4350" spans="1:9" ht="15" customHeight="1" x14ac:dyDescent="0.25">
      <c r="A4350" s="7">
        <v>4349</v>
      </c>
      <c r="B4350" s="1">
        <v>43717</v>
      </c>
      <c r="C4350" s="6" t="s">
        <v>11</v>
      </c>
      <c r="D4350" s="6" t="s">
        <v>17</v>
      </c>
      <c r="E4350" s="6">
        <v>3</v>
      </c>
      <c r="F4350" s="6">
        <v>1</v>
      </c>
      <c r="G4350" s="6" t="s">
        <v>13</v>
      </c>
      <c r="H4350" s="6" t="s">
        <v>18</v>
      </c>
      <c r="I4350" s="6">
        <f>TabJogos[[#This Row],[PontosTime1]]-TabJogos[[#This Row],[PontosTime2]]</f>
        <v>2</v>
      </c>
    </row>
    <row r="4351" spans="1:9" ht="15" customHeight="1" x14ac:dyDescent="0.25">
      <c r="A4351" s="7">
        <v>4350</v>
      </c>
      <c r="B4351" s="1">
        <v>43717</v>
      </c>
      <c r="C4351" s="6" t="s">
        <v>11</v>
      </c>
      <c r="D4351" s="6" t="s">
        <v>18</v>
      </c>
      <c r="E4351" s="6">
        <v>3</v>
      </c>
      <c r="F4351" s="6">
        <v>0</v>
      </c>
      <c r="G4351" s="6" t="s">
        <v>13</v>
      </c>
      <c r="H4351" s="6" t="s">
        <v>17</v>
      </c>
      <c r="I4351" s="6">
        <f>TabJogos[[#This Row],[PontosTime1]]-TabJogos[[#This Row],[PontosTime2]]</f>
        <v>3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818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438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380</v>
      </c>
      <c r="E3" s="3">
        <f t="shared" ca="1" si="0"/>
        <v>58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73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133</v>
      </c>
      <c r="H3" s="4">
        <f t="shared" ca="1" si="1"/>
        <v>0.53545232273838628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53.545232273838629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749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410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339</v>
      </c>
      <c r="E4" s="3">
        <f t="shared" ca="1" si="0"/>
        <v>71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98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194</v>
      </c>
      <c r="H4" s="4">
        <f t="shared" ca="1" si="1"/>
        <v>0.54739652870493993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54.739652870493991</v>
      </c>
      <c r="L4" s="12" t="s">
        <v>54</v>
      </c>
      <c r="M4" s="14">
        <f ca="1">EOMONTH(TODAY(),0)</f>
        <v>43738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1362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737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625</v>
      </c>
      <c r="E5" s="3">
        <f t="shared" ca="1" si="0"/>
        <v>112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111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403</v>
      </c>
      <c r="H5" s="4">
        <f t="shared" ca="1" si="1"/>
        <v>0.54111600587371511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54.111600587371512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1374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717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657</v>
      </c>
      <c r="E6" s="3">
        <f t="shared" ca="1" si="0"/>
        <v>60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134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122</v>
      </c>
      <c r="H6" s="4">
        <f t="shared" ca="1" si="1"/>
        <v>0.52183406113537123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52.183406113537124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394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199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195</v>
      </c>
      <c r="E7" s="3">
        <f t="shared" ca="1" si="0"/>
        <v>4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38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21</v>
      </c>
      <c r="H7" s="4">
        <f t="shared" ca="1" si="1"/>
        <v>0.50507614213197971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50.507614213197968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2777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1461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1316</v>
      </c>
      <c r="E8" s="3">
        <f t="shared" ca="1" si="0"/>
        <v>145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285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484</v>
      </c>
      <c r="H8" s="4">
        <f t="shared" ca="1" si="1"/>
        <v>0.5261073100468131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52.610731004681313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2322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1179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1143</v>
      </c>
      <c r="E9" s="3">
        <f t="shared" ca="1" si="0"/>
        <v>36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230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141</v>
      </c>
      <c r="H9" s="4">
        <f t="shared" ca="1" si="1"/>
        <v>0.50775193798449614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50.775193798449614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1016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497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519</v>
      </c>
      <c r="E10" s="3">
        <f t="shared" ca="1" si="0"/>
        <v>-22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83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-75</v>
      </c>
      <c r="H10" s="4">
        <f t="shared" ca="1" si="1"/>
        <v>0.48917322834645671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48.917322834645674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1182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584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598</v>
      </c>
      <c r="E12" s="3">
        <f t="shared" ca="1" si="0"/>
        <v>-14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126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-26</v>
      </c>
      <c r="H12" s="4">
        <f t="shared" ca="1" si="1"/>
        <v>0.49407783417935702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49.407783417935704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787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388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399</v>
      </c>
      <c r="E14" s="3">
        <f t="shared" ca="1" si="0"/>
        <v>-11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101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-34</v>
      </c>
      <c r="H14" s="4">
        <f t="shared" ca="1" si="1"/>
        <v>0.49301143583227447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49.30114358322745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614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280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334</v>
      </c>
      <c r="E15" s="3">
        <f t="shared" ca="1" si="0"/>
        <v>-54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-126</v>
      </c>
      <c r="H15" s="4">
        <f t="shared" ca="1" si="1"/>
        <v>0.4560260586319218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45.602605863192181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2518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1103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1415</v>
      </c>
      <c r="E17" s="3">
        <f t="shared" ca="1" si="0"/>
        <v>-312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218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-1063</v>
      </c>
      <c r="H17" s="4">
        <f t="shared" ca="1" si="1"/>
        <v>0.4380460683081811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43.804606830818109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539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236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303</v>
      </c>
      <c r="E18" s="3">
        <f t="shared" ca="1" si="0"/>
        <v>-67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43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-197</v>
      </c>
      <c r="H18" s="4">
        <f t="shared" ca="1" si="1"/>
        <v>0.43784786641929502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43.7847866419295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29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13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-3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-16</v>
      </c>
      <c r="H26" s="4">
        <f t="shared" ca="1" si="1"/>
        <v>0.44827586206896552</v>
      </c>
      <c r="I26" s="27">
        <f ca="1">IF(TabResultados3[[#This Row],[Jogos]]&lt;20,0,IF(TabResultados3[[#This Row],[Jogos]]&lt;=40,0.9+0.1*(TabResultados3[[#This Row],[Jogos]]-20)/20,1))</f>
        <v>0.94500000000000006</v>
      </c>
      <c r="J26" s="22">
        <f ca="1">100*TabResultados3[[#This Row],[Aprov]]*TabResultados3[[#This Row],[KJogos]]</f>
        <v>42.362068965517246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0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2019-09-09T19:43:49Z</dcterms:modified>
  <cp:category/>
  <cp:contentStatus/>
</cp:coreProperties>
</file>
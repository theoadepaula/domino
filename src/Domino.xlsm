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61203A12-8E6E-47D1-8AC8-670A06759CD7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046" i="3" l="1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 l="1"/>
  <c r="I2035" i="3"/>
  <c r="I2036" i="3"/>
  <c r="I2037" i="3"/>
  <c r="I2038" i="3"/>
  <c r="I2039" i="3"/>
  <c r="I2040" i="3"/>
  <c r="I2041" i="3"/>
  <c r="I2042" i="3"/>
  <c r="I2043" i="3"/>
  <c r="I2044" i="3"/>
  <c r="I2045" i="3"/>
  <c r="I2028" i="3" l="1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 l="1"/>
  <c r="I2011" i="3"/>
  <c r="I2012" i="3"/>
  <c r="I2013" i="3"/>
  <c r="I2014" i="3"/>
  <c r="I2015" i="3"/>
  <c r="I2016" i="3"/>
  <c r="I2017" i="3"/>
  <c r="I2018" i="3"/>
  <c r="I2019" i="3"/>
  <c r="I1996" i="3" l="1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 l="1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 l="1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 l="1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 l="1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 l="1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 l="1"/>
  <c r="I1916" i="3"/>
  <c r="I1917" i="3"/>
  <c r="I1918" i="3"/>
  <c r="I1919" i="3"/>
  <c r="I1920" i="3"/>
  <c r="I1921" i="3"/>
  <c r="I1922" i="3"/>
  <c r="I1923" i="3"/>
  <c r="I1905" i="3" l="1"/>
  <c r="I1906" i="3"/>
  <c r="I1907" i="3"/>
  <c r="I1908" i="3"/>
  <c r="I1909" i="3"/>
  <c r="I1910" i="3"/>
  <c r="I1911" i="3"/>
  <c r="I1912" i="3"/>
  <c r="I1913" i="3"/>
  <c r="I1914" i="3"/>
  <c r="I1889" i="3" l="1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 l="1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 l="1"/>
  <c r="I1856" i="3"/>
  <c r="I1857" i="3"/>
  <c r="I1858" i="3"/>
  <c r="I1859" i="3"/>
  <c r="I1860" i="3"/>
  <c r="I1861" i="3"/>
  <c r="I1862" i="3"/>
  <c r="I1863" i="3"/>
  <c r="I1864" i="3"/>
  <c r="I1865" i="3"/>
  <c r="I1866" i="3"/>
  <c r="I1844" i="3" l="1"/>
  <c r="I1845" i="3"/>
  <c r="I1846" i="3"/>
  <c r="I1847" i="3"/>
  <c r="I1848" i="3"/>
  <c r="I1849" i="3"/>
  <c r="I1850" i="3"/>
  <c r="I1851" i="3"/>
  <c r="I1852" i="3"/>
  <c r="I1853" i="3"/>
  <c r="I1854" i="3"/>
  <c r="I1833" i="3" l="1"/>
  <c r="I1834" i="3"/>
  <c r="I1835" i="3"/>
  <c r="I1836" i="3"/>
  <c r="I1837" i="3"/>
  <c r="I1838" i="3"/>
  <c r="I1839" i="3"/>
  <c r="I1840" i="3"/>
  <c r="I1841" i="3"/>
  <c r="I1842" i="3"/>
  <c r="I1843" i="3"/>
  <c r="I1817" i="3" l="1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 l="1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 l="1"/>
  <c r="I1791" i="3"/>
  <c r="I1792" i="3"/>
  <c r="I1793" i="3"/>
  <c r="I1794" i="3"/>
  <c r="I1795" i="3"/>
  <c r="I1796" i="3"/>
  <c r="I1797" i="3"/>
  <c r="I1798" i="3"/>
  <c r="I1799" i="3"/>
  <c r="I1800" i="3"/>
  <c r="I1801" i="3"/>
  <c r="I1779" i="3" l="1"/>
  <c r="I1780" i="3"/>
  <c r="I1781" i="3"/>
  <c r="I1782" i="3"/>
  <c r="I1783" i="3"/>
  <c r="I1784" i="3"/>
  <c r="I1785" i="3"/>
  <c r="I1786" i="3"/>
  <c r="I1787" i="3"/>
  <c r="I1788" i="3"/>
  <c r="I1789" i="3"/>
  <c r="I1778" i="3" l="1"/>
  <c r="I1769" i="3"/>
  <c r="I1770" i="3"/>
  <c r="I1771" i="3"/>
  <c r="I1772" i="3"/>
  <c r="I1773" i="3"/>
  <c r="I1774" i="3"/>
  <c r="I1775" i="3"/>
  <c r="I1776" i="3"/>
  <c r="I1777" i="3"/>
  <c r="I1758" i="3" l="1"/>
  <c r="I1759" i="3"/>
  <c r="I1760" i="3"/>
  <c r="I1761" i="3"/>
  <c r="I1762" i="3"/>
  <c r="I1763" i="3"/>
  <c r="I1764" i="3"/>
  <c r="I1765" i="3"/>
  <c r="I1766" i="3"/>
  <c r="I1767" i="3"/>
  <c r="I1768" i="3"/>
  <c r="I1748" i="3" l="1"/>
  <c r="I1749" i="3"/>
  <c r="I1750" i="3"/>
  <c r="I1751" i="3"/>
  <c r="I1752" i="3"/>
  <c r="I1753" i="3"/>
  <c r="I1754" i="3"/>
  <c r="I1755" i="3"/>
  <c r="I1756" i="3"/>
  <c r="I1757" i="3"/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M3" i="4" l="1"/>
  <c r="I1008" i="3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D10" i="4" l="1"/>
  <c r="G10" i="4"/>
  <c r="C10" i="4"/>
  <c r="B10" i="4"/>
  <c r="I10" i="4" s="1"/>
  <c r="F10" i="4"/>
  <c r="G16" i="4"/>
  <c r="D16" i="4"/>
  <c r="F16" i="4"/>
  <c r="C16" i="4"/>
  <c r="B16" i="4"/>
  <c r="I16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10" i="4" l="1"/>
  <c r="H10" i="4"/>
  <c r="J10" i="4" s="1"/>
  <c r="H16" i="4"/>
  <c r="J16" i="4" s="1"/>
  <c r="E16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1" i="4" l="1"/>
  <c r="I11" i="4" s="1"/>
  <c r="D4" i="4"/>
  <c r="B7" i="4"/>
  <c r="I7" i="4" s="1"/>
  <c r="B9" i="4"/>
  <c r="I9" i="4" s="1"/>
  <c r="B18" i="4"/>
  <c r="I18" i="4" s="1"/>
  <c r="B22" i="4"/>
  <c r="I22" i="4" s="1"/>
  <c r="B25" i="4"/>
  <c r="I25" i="4" s="1"/>
  <c r="B15" i="4"/>
  <c r="I15" i="4" s="1"/>
  <c r="C2" i="4"/>
  <c r="C5" i="4"/>
  <c r="C14" i="4"/>
  <c r="C9" i="4"/>
  <c r="C13" i="4"/>
  <c r="C6" i="4"/>
  <c r="C17" i="4"/>
  <c r="C18" i="4"/>
  <c r="C19" i="4"/>
  <c r="C20" i="4"/>
  <c r="C21" i="4"/>
  <c r="C22" i="4"/>
  <c r="C23" i="4"/>
  <c r="C24" i="4"/>
  <c r="C25" i="4"/>
  <c r="H25" i="4" s="1"/>
  <c r="J25" i="4" s="1"/>
  <c r="C26" i="4"/>
  <c r="C15" i="4"/>
  <c r="C27" i="4"/>
  <c r="C8" i="4"/>
  <c r="C28" i="4"/>
  <c r="D11" i="4"/>
  <c r="C12" i="4"/>
  <c r="B5" i="4"/>
  <c r="I5" i="4" s="1"/>
  <c r="B6" i="4"/>
  <c r="I6" i="4" s="1"/>
  <c r="B21" i="4"/>
  <c r="I21" i="4" s="1"/>
  <c r="B26" i="4"/>
  <c r="I26" i="4" s="1"/>
  <c r="B27" i="4"/>
  <c r="I27" i="4" s="1"/>
  <c r="D12" i="4"/>
  <c r="C3" i="4"/>
  <c r="F11" i="4"/>
  <c r="F4" i="4"/>
  <c r="D2" i="4"/>
  <c r="D3" i="4"/>
  <c r="D7" i="4"/>
  <c r="D5" i="4"/>
  <c r="D14" i="4"/>
  <c r="D9" i="4"/>
  <c r="D13" i="4"/>
  <c r="D6" i="4"/>
  <c r="D17" i="4"/>
  <c r="D18" i="4"/>
  <c r="D19" i="4"/>
  <c r="D20" i="4"/>
  <c r="D21" i="4"/>
  <c r="D22" i="4"/>
  <c r="D23" i="4"/>
  <c r="D24" i="4"/>
  <c r="D25" i="4"/>
  <c r="D26" i="4"/>
  <c r="D15" i="4"/>
  <c r="D27" i="4"/>
  <c r="D8" i="4"/>
  <c r="D28" i="4"/>
  <c r="B2" i="4"/>
  <c r="I2" i="4" s="1"/>
  <c r="B14" i="4"/>
  <c r="I14" i="4" s="1"/>
  <c r="B19" i="4"/>
  <c r="I19" i="4" s="1"/>
  <c r="B20" i="4"/>
  <c r="I20" i="4" s="1"/>
  <c r="B24" i="4"/>
  <c r="I24" i="4" s="1"/>
  <c r="B8" i="4"/>
  <c r="I8" i="4" s="1"/>
  <c r="C7" i="4"/>
  <c r="G11" i="4"/>
  <c r="G4" i="4"/>
  <c r="F12" i="4"/>
  <c r="B3" i="4"/>
  <c r="I3" i="4" s="1"/>
  <c r="B13" i="4"/>
  <c r="I13" i="4" s="1"/>
  <c r="B17" i="4"/>
  <c r="I17" i="4" s="1"/>
  <c r="B23" i="4"/>
  <c r="I23" i="4" s="1"/>
  <c r="B28" i="4"/>
  <c r="I28" i="4" s="1"/>
  <c r="G12" i="4"/>
  <c r="F2" i="4"/>
  <c r="F3" i="4"/>
  <c r="F7" i="4"/>
  <c r="F5" i="4"/>
  <c r="F14" i="4"/>
  <c r="F9" i="4"/>
  <c r="F13" i="4"/>
  <c r="F6" i="4"/>
  <c r="F17" i="4"/>
  <c r="F18" i="4"/>
  <c r="F19" i="4"/>
  <c r="F20" i="4"/>
  <c r="F21" i="4"/>
  <c r="F22" i="4"/>
  <c r="F23" i="4"/>
  <c r="F24" i="4"/>
  <c r="F25" i="4"/>
  <c r="F26" i="4"/>
  <c r="F15" i="4"/>
  <c r="F27" i="4"/>
  <c r="F8" i="4"/>
  <c r="F28" i="4"/>
  <c r="G2" i="4"/>
  <c r="G3" i="4"/>
  <c r="G7" i="4"/>
  <c r="G5" i="4"/>
  <c r="G14" i="4"/>
  <c r="G9" i="4"/>
  <c r="G13" i="4"/>
  <c r="G6" i="4"/>
  <c r="G17" i="4"/>
  <c r="G18" i="4"/>
  <c r="G19" i="4"/>
  <c r="G20" i="4"/>
  <c r="G21" i="4"/>
  <c r="G22" i="4"/>
  <c r="G23" i="4"/>
  <c r="G24" i="4"/>
  <c r="G25" i="4"/>
  <c r="G26" i="4"/>
  <c r="G15" i="4"/>
  <c r="G27" i="4"/>
  <c r="G8" i="4"/>
  <c r="G28" i="4"/>
  <c r="B4" i="4"/>
  <c r="I4" i="4" s="1"/>
  <c r="C11" i="4"/>
  <c r="H11" i="4" s="1"/>
  <c r="J11" i="4" s="1"/>
  <c r="C4" i="4"/>
  <c r="B12" i="4"/>
  <c r="I12" i="4" s="1"/>
  <c r="I766" i="3"/>
  <c r="H15" i="4" l="1"/>
  <c r="J15" i="4" s="1"/>
  <c r="H9" i="4"/>
  <c r="H22" i="4"/>
  <c r="H7" i="4"/>
  <c r="J7" i="4" s="1"/>
  <c r="H4" i="4"/>
  <c r="J4" i="4" s="1"/>
  <c r="H18" i="4"/>
  <c r="H26" i="4"/>
  <c r="H17" i="4"/>
  <c r="H12" i="4"/>
  <c r="H24" i="4"/>
  <c r="H6" i="4"/>
  <c r="H3" i="4"/>
  <c r="H23" i="4"/>
  <c r="H13" i="4"/>
  <c r="H28" i="4"/>
  <c r="H8" i="4"/>
  <c r="H21" i="4"/>
  <c r="H14" i="4"/>
  <c r="H27" i="4"/>
  <c r="H20" i="4"/>
  <c r="H5" i="4"/>
  <c r="H19" i="4"/>
  <c r="H2" i="4"/>
  <c r="E26" i="4"/>
  <c r="E18" i="4"/>
  <c r="E25" i="4"/>
  <c r="E17" i="4"/>
  <c r="E11" i="4"/>
  <c r="E12" i="4"/>
  <c r="E24" i="4"/>
  <c r="E6" i="4"/>
  <c r="E3" i="4"/>
  <c r="E23" i="4"/>
  <c r="E13" i="4"/>
  <c r="E7" i="4"/>
  <c r="E28" i="4"/>
  <c r="E22" i="4"/>
  <c r="E9" i="4"/>
  <c r="E8" i="4"/>
  <c r="E21" i="4"/>
  <c r="E14" i="4"/>
  <c r="E4" i="4"/>
  <c r="E27" i="4"/>
  <c r="E20" i="4"/>
  <c r="E5" i="4"/>
  <c r="E15" i="4"/>
  <c r="E19" i="4"/>
  <c r="E2" i="4"/>
  <c r="I755" i="3"/>
  <c r="I756" i="3"/>
  <c r="I757" i="3"/>
  <c r="I758" i="3"/>
  <c r="I759" i="3"/>
  <c r="I760" i="3"/>
  <c r="I761" i="3"/>
  <c r="I762" i="3"/>
  <c r="I763" i="3"/>
  <c r="I764" i="3"/>
  <c r="I765" i="3"/>
  <c r="J12" i="4" l="1"/>
  <c r="J2" i="4"/>
  <c r="J28" i="4"/>
  <c r="J26" i="4"/>
  <c r="J8" i="4"/>
  <c r="J19" i="4"/>
  <c r="J13" i="4"/>
  <c r="J18" i="4"/>
  <c r="J17" i="4"/>
  <c r="J23" i="4"/>
  <c r="J20" i="4"/>
  <c r="J3" i="4"/>
  <c r="J21" i="4"/>
  <c r="J27" i="4"/>
  <c r="J22" i="4"/>
  <c r="J14" i="4"/>
  <c r="J24" i="4"/>
  <c r="J5" i="4"/>
  <c r="I746" i="3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J9" i="4" l="1"/>
  <c r="I680" i="3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J6" i="4" l="1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</calcChain>
</file>

<file path=xl/sharedStrings.xml><?xml version="1.0" encoding="utf-8"?>
<sst xmlns="http://schemas.openxmlformats.org/spreadsheetml/2006/main" count="8316" uniqueCount="56">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</sst>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2068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2072"/>
  <sheetViews>
    <sheetView tabSelected="1" zoomScale="80" zoomScaleNormal="80" workbookViewId="0">
      <pane ySplit="1" topLeftCell="A2041" activePane="bottomLeft" state="frozenSplit"/>
      <selection activeCell="D1" sqref="D1 D1"/>
      <selection pane="bottomLeft" activeCell="A2068" sqref="A2068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5</v>
      </c>
      <c r="G608" s="6" t="s">
        <v>38</v>
      </c>
      <c r="H608" s="6" t="s">
        <v>14</v>
      </c>
      <c r="I608" s="6">
        <f>TabJogos[[#This Row],[PontosTime1]]-TabJogos[[#This Row],[PontosTime2]]</f>
        <v>0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17</v>
      </c>
      <c r="D1748" s="6" t="s">
        <v>11</v>
      </c>
      <c r="E1748" s="6">
        <v>5</v>
      </c>
      <c r="F1748" s="6">
        <v>3</v>
      </c>
      <c r="G1748" s="6" t="s">
        <v>10</v>
      </c>
      <c r="H1748" s="6" t="s">
        <v>14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10</v>
      </c>
      <c r="D1749" s="6" t="s">
        <v>17</v>
      </c>
      <c r="E1749" s="6">
        <v>5</v>
      </c>
      <c r="F1749" s="6">
        <v>4</v>
      </c>
      <c r="G1749" s="6" t="s">
        <v>41</v>
      </c>
      <c r="H1749" s="6" t="s">
        <v>11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10</v>
      </c>
      <c r="D1750" s="6" t="s">
        <v>27</v>
      </c>
      <c r="E1750" s="6">
        <v>3</v>
      </c>
      <c r="F1750" s="6">
        <v>5</v>
      </c>
      <c r="G1750" s="6" t="s">
        <v>14</v>
      </c>
      <c r="H1750" s="6" t="s">
        <v>17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17</v>
      </c>
      <c r="D1751" s="6" t="s">
        <v>26</v>
      </c>
      <c r="E1751" s="6">
        <v>2</v>
      </c>
      <c r="F1751" s="6">
        <v>5</v>
      </c>
      <c r="G1751" s="6" t="s">
        <v>41</v>
      </c>
      <c r="H1751" s="6" t="s">
        <v>14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10</v>
      </c>
      <c r="D1752" s="6" t="s">
        <v>41</v>
      </c>
      <c r="E1752" s="6">
        <v>6</v>
      </c>
      <c r="F1752" s="6">
        <v>4</v>
      </c>
      <c r="G1752" s="6" t="s">
        <v>14</v>
      </c>
      <c r="H1752" s="6" t="s">
        <v>27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41</v>
      </c>
      <c r="D1753" s="6" t="s">
        <v>17</v>
      </c>
      <c r="E1753" s="6">
        <v>5</v>
      </c>
      <c r="F1753" s="6">
        <v>2</v>
      </c>
      <c r="G1753" s="6" t="s">
        <v>26</v>
      </c>
      <c r="H1753" s="6" t="s">
        <v>10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27</v>
      </c>
      <c r="D1754" s="6" t="s">
        <v>17</v>
      </c>
      <c r="E1754" s="6">
        <v>5</v>
      </c>
      <c r="F1754" s="6">
        <v>2</v>
      </c>
      <c r="G1754" s="6" t="s">
        <v>14</v>
      </c>
      <c r="H1754" s="6" t="s">
        <v>10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27</v>
      </c>
      <c r="D1755" s="6" t="s">
        <v>54</v>
      </c>
      <c r="E1755" s="6">
        <v>6</v>
      </c>
      <c r="F1755" s="6">
        <v>1</v>
      </c>
      <c r="G1755" s="6" t="s">
        <v>10</v>
      </c>
      <c r="H1755" s="6" t="s">
        <v>17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54</v>
      </c>
      <c r="D1756" s="6" t="s">
        <v>10</v>
      </c>
      <c r="E1756" s="6">
        <v>0</v>
      </c>
      <c r="F1756" s="6">
        <v>5</v>
      </c>
      <c r="G1756" s="6" t="s">
        <v>27</v>
      </c>
      <c r="H1756" s="6" t="s">
        <v>17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54</v>
      </c>
      <c r="D1757" s="6" t="s">
        <v>17</v>
      </c>
      <c r="E1757" s="6">
        <v>6</v>
      </c>
      <c r="F1757" s="6">
        <v>3</v>
      </c>
      <c r="G1757" s="6" t="s">
        <v>27</v>
      </c>
      <c r="H1757" s="6" t="s">
        <v>10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10</v>
      </c>
      <c r="D1758" s="6" t="s">
        <v>41</v>
      </c>
      <c r="E1758" s="6">
        <v>5</v>
      </c>
      <c r="F1758" s="6">
        <v>1</v>
      </c>
      <c r="G1758" s="6" t="s">
        <v>17</v>
      </c>
      <c r="H1758" s="6" t="s">
        <v>14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10</v>
      </c>
      <c r="D1759" s="6" t="s">
        <v>41</v>
      </c>
      <c r="E1759" s="6">
        <v>5</v>
      </c>
      <c r="F1759" s="6">
        <v>2</v>
      </c>
      <c r="G1759" s="6" t="s">
        <v>17</v>
      </c>
      <c r="H1759" s="6" t="s">
        <v>14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10</v>
      </c>
      <c r="D1760" s="6" t="s">
        <v>41</v>
      </c>
      <c r="E1760" s="6">
        <v>5</v>
      </c>
      <c r="F1760" s="6">
        <v>3</v>
      </c>
      <c r="G1760" s="6" t="s">
        <v>17</v>
      </c>
      <c r="H1760" s="6" t="s">
        <v>14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41</v>
      </c>
      <c r="D1761" s="6" t="s">
        <v>17</v>
      </c>
      <c r="E1761" s="6">
        <v>5</v>
      </c>
      <c r="F1761" s="6">
        <v>3</v>
      </c>
      <c r="G1761" s="6" t="s">
        <v>10</v>
      </c>
      <c r="H1761" s="6" t="s">
        <v>14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41</v>
      </c>
      <c r="D1762" s="6" t="s">
        <v>17</v>
      </c>
      <c r="E1762" s="6">
        <v>3</v>
      </c>
      <c r="F1762" s="6">
        <v>5</v>
      </c>
      <c r="G1762" s="6" t="s">
        <v>10</v>
      </c>
      <c r="H1762" s="6" t="s">
        <v>14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41</v>
      </c>
      <c r="D1763" s="6" t="s">
        <v>17</v>
      </c>
      <c r="E1763" s="6">
        <v>5</v>
      </c>
      <c r="F1763" s="6">
        <v>4</v>
      </c>
      <c r="G1763" s="6" t="s">
        <v>10</v>
      </c>
      <c r="H1763" s="6" t="s">
        <v>14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10</v>
      </c>
      <c r="D1764" s="6" t="s">
        <v>17</v>
      </c>
      <c r="E1764" s="6">
        <v>3</v>
      </c>
      <c r="F1764" s="6">
        <v>5</v>
      </c>
      <c r="G1764" s="6" t="s">
        <v>41</v>
      </c>
      <c r="H1764" s="6" t="s">
        <v>14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10</v>
      </c>
      <c r="D1765" s="6" t="s">
        <v>17</v>
      </c>
      <c r="E1765" s="6">
        <v>4</v>
      </c>
      <c r="F1765" s="6">
        <v>5</v>
      </c>
      <c r="G1765" s="6" t="s">
        <v>41</v>
      </c>
      <c r="H1765" s="6" t="s">
        <v>14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8</v>
      </c>
      <c r="D1766" s="6" t="s">
        <v>14</v>
      </c>
      <c r="E1766" s="6">
        <v>5</v>
      </c>
      <c r="F1766" s="6">
        <v>1</v>
      </c>
      <c r="G1766" s="6" t="s">
        <v>10</v>
      </c>
      <c r="H1766" s="6" t="s">
        <v>17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8</v>
      </c>
      <c r="D1767" s="6" t="s">
        <v>10</v>
      </c>
      <c r="E1767" s="6">
        <v>3</v>
      </c>
      <c r="F1767" s="6">
        <v>5</v>
      </c>
      <c r="G1767" s="6" t="s">
        <v>17</v>
      </c>
      <c r="H1767" s="6" t="s">
        <v>14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14</v>
      </c>
      <c r="D1768" s="6" t="s">
        <v>10</v>
      </c>
      <c r="E1768" s="6">
        <v>5</v>
      </c>
      <c r="F1768" s="6">
        <v>4</v>
      </c>
      <c r="G1768" s="6" t="s">
        <v>8</v>
      </c>
      <c r="H1768" s="6" t="s">
        <v>17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10</v>
      </c>
      <c r="D1769" s="6" t="s">
        <v>14</v>
      </c>
      <c r="E1769" s="6">
        <v>5</v>
      </c>
      <c r="F1769" s="6">
        <v>4</v>
      </c>
      <c r="G1769" s="6" t="s">
        <v>17</v>
      </c>
      <c r="H1769" s="6" t="s">
        <v>41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11</v>
      </c>
      <c r="D1770" s="6" t="s">
        <v>14</v>
      </c>
      <c r="E1770" s="6">
        <v>5</v>
      </c>
      <c r="F1770" s="6">
        <v>4</v>
      </c>
      <c r="G1770" s="6" t="s">
        <v>17</v>
      </c>
      <c r="H1770" s="6" t="s">
        <v>10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17</v>
      </c>
      <c r="D1771" s="6" t="s">
        <v>14</v>
      </c>
      <c r="E1771" s="6">
        <v>6</v>
      </c>
      <c r="F1771" s="6">
        <v>4</v>
      </c>
      <c r="G1771" s="6" t="s">
        <v>11</v>
      </c>
      <c r="H1771" s="6" t="s">
        <v>41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10</v>
      </c>
      <c r="D1772" s="6" t="s">
        <v>14</v>
      </c>
      <c r="E1772" s="6">
        <v>3</v>
      </c>
      <c r="F1772" s="6">
        <v>5</v>
      </c>
      <c r="G1772" s="6" t="s">
        <v>17</v>
      </c>
      <c r="H1772" s="6" t="s">
        <v>26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27</v>
      </c>
      <c r="D1773" s="6" t="s">
        <v>17</v>
      </c>
      <c r="E1773" s="6">
        <v>4</v>
      </c>
      <c r="F1773" s="6">
        <v>5</v>
      </c>
      <c r="G1773" s="6" t="s">
        <v>41</v>
      </c>
      <c r="H1773" s="6" t="s">
        <v>26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14</v>
      </c>
      <c r="D1774" s="6" t="s">
        <v>26</v>
      </c>
      <c r="E1774" s="6">
        <v>4</v>
      </c>
      <c r="F1774" s="6">
        <v>5</v>
      </c>
      <c r="G1774" s="6" t="s">
        <v>41</v>
      </c>
      <c r="H1774" s="6" t="s">
        <v>10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10</v>
      </c>
      <c r="D1775" s="6" t="s">
        <v>17</v>
      </c>
      <c r="E1775" s="6">
        <v>5</v>
      </c>
      <c r="F1775" s="6">
        <v>4</v>
      </c>
      <c r="G1775" s="6" t="s">
        <v>27</v>
      </c>
      <c r="H1775" s="6" t="s">
        <v>41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14</v>
      </c>
      <c r="D1776" s="6" t="s">
        <v>17</v>
      </c>
      <c r="E1776" s="6">
        <v>4</v>
      </c>
      <c r="F1776" s="6">
        <v>6</v>
      </c>
      <c r="G1776" s="6" t="s">
        <v>10</v>
      </c>
      <c r="H1776" s="6" t="s">
        <v>26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10</v>
      </c>
      <c r="D1777" s="6" t="s">
        <v>54</v>
      </c>
      <c r="E1777" s="6">
        <v>5</v>
      </c>
      <c r="F1777" s="6">
        <v>1</v>
      </c>
      <c r="G1777" s="6" t="s">
        <v>8</v>
      </c>
      <c r="H1777" s="6" t="s">
        <v>26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10</v>
      </c>
      <c r="D1778" s="6" t="s">
        <v>8</v>
      </c>
      <c r="E1778" s="6">
        <v>5</v>
      </c>
      <c r="F1778" s="6">
        <v>0</v>
      </c>
      <c r="G1778" s="6" t="s">
        <v>54</v>
      </c>
      <c r="H1778" s="6" t="s">
        <v>26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12</v>
      </c>
      <c r="D1779" s="6" t="s">
        <v>14</v>
      </c>
      <c r="E1779" s="6">
        <v>3</v>
      </c>
      <c r="F1779" s="6">
        <v>5</v>
      </c>
      <c r="G1779" s="6" t="s">
        <v>10</v>
      </c>
      <c r="H1779" s="6" t="s">
        <v>41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10</v>
      </c>
      <c r="D1780" s="6" t="s">
        <v>12</v>
      </c>
      <c r="E1780" s="6">
        <v>6</v>
      </c>
      <c r="F1780" s="6">
        <v>2</v>
      </c>
      <c r="G1780" s="6" t="s">
        <v>27</v>
      </c>
      <c r="H1780" s="6" t="s">
        <v>41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10</v>
      </c>
      <c r="D1781" s="6" t="s">
        <v>14</v>
      </c>
      <c r="E1781" s="6">
        <v>2</v>
      </c>
      <c r="F1781" s="6">
        <v>5</v>
      </c>
      <c r="G1781" s="6" t="s">
        <v>12</v>
      </c>
      <c r="H1781" s="6" t="s">
        <v>41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10</v>
      </c>
      <c r="D1782" s="6" t="s">
        <v>41</v>
      </c>
      <c r="E1782" s="6">
        <v>5</v>
      </c>
      <c r="F1782" s="6">
        <v>0</v>
      </c>
      <c r="G1782" s="6" t="s">
        <v>27</v>
      </c>
      <c r="H1782" s="6" t="s">
        <v>12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10</v>
      </c>
      <c r="D1783" s="6" t="s">
        <v>12</v>
      </c>
      <c r="E1783" s="6">
        <v>4</v>
      </c>
      <c r="F1783" s="6">
        <v>5</v>
      </c>
      <c r="G1783" s="6" t="s">
        <v>41</v>
      </c>
      <c r="H1783" s="6" t="s">
        <v>14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27</v>
      </c>
      <c r="D1784" s="6" t="s">
        <v>14</v>
      </c>
      <c r="E1784" s="6">
        <v>6</v>
      </c>
      <c r="F1784" s="6">
        <v>0</v>
      </c>
      <c r="G1784" s="6" t="s">
        <v>41</v>
      </c>
      <c r="H1784" s="6" t="s">
        <v>12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27</v>
      </c>
      <c r="D1785" s="6" t="s">
        <v>10</v>
      </c>
      <c r="E1785" s="6">
        <v>4</v>
      </c>
      <c r="F1785" s="6">
        <v>5</v>
      </c>
      <c r="G1785" s="6" t="s">
        <v>12</v>
      </c>
      <c r="H1785" s="6" t="s">
        <v>14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41</v>
      </c>
      <c r="D1786" s="6" t="s">
        <v>26</v>
      </c>
      <c r="E1786" s="6">
        <v>4</v>
      </c>
      <c r="F1786" s="6">
        <v>5</v>
      </c>
      <c r="G1786" s="6" t="s">
        <v>14</v>
      </c>
      <c r="H1786" s="6" t="s">
        <v>12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10</v>
      </c>
      <c r="D1787" s="6" t="s">
        <v>14</v>
      </c>
      <c r="E1787" s="6">
        <v>4</v>
      </c>
      <c r="F1787" s="6">
        <v>5</v>
      </c>
      <c r="G1787" s="6" t="s">
        <v>27</v>
      </c>
      <c r="H1787" s="6" t="s">
        <v>12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12</v>
      </c>
      <c r="D1788" s="6" t="s">
        <v>26</v>
      </c>
      <c r="E1788" s="6">
        <v>2</v>
      </c>
      <c r="F1788" s="6">
        <v>5</v>
      </c>
      <c r="G1788" s="6" t="s">
        <v>41</v>
      </c>
      <c r="H1788" s="6" t="s">
        <v>27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27</v>
      </c>
      <c r="D1789" s="6" t="s">
        <v>41</v>
      </c>
      <c r="E1789" s="6">
        <v>5</v>
      </c>
      <c r="F1789" s="6">
        <v>4</v>
      </c>
      <c r="G1789" s="6" t="s">
        <v>12</v>
      </c>
      <c r="H1789" s="6" t="s">
        <v>10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12</v>
      </c>
      <c r="D1790" s="6" t="s">
        <v>14</v>
      </c>
      <c r="E1790" s="6">
        <v>5</v>
      </c>
      <c r="F1790" s="6">
        <v>3</v>
      </c>
      <c r="G1790" s="6" t="s">
        <v>10</v>
      </c>
      <c r="H1790" s="6" t="s">
        <v>17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10</v>
      </c>
      <c r="D1791" s="6" t="s">
        <v>41</v>
      </c>
      <c r="E1791" s="6">
        <v>5</v>
      </c>
      <c r="F1791" s="6">
        <v>1</v>
      </c>
      <c r="G1791" s="6" t="s">
        <v>14</v>
      </c>
      <c r="H1791" s="6" t="s">
        <v>17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12</v>
      </c>
      <c r="D1792" s="6" t="s">
        <v>41</v>
      </c>
      <c r="E1792" s="6">
        <v>5</v>
      </c>
      <c r="F1792" s="6">
        <v>3</v>
      </c>
      <c r="G1792" s="6" t="s">
        <v>10</v>
      </c>
      <c r="H1792" s="6" t="s">
        <v>17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12</v>
      </c>
      <c r="D1793" s="6" t="s">
        <v>10</v>
      </c>
      <c r="E1793" s="6">
        <v>0</v>
      </c>
      <c r="F1793" s="6">
        <v>5</v>
      </c>
      <c r="G1793" s="6" t="s">
        <v>14</v>
      </c>
      <c r="H1793" s="6" t="s">
        <v>41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11</v>
      </c>
      <c r="D1794" s="6" t="s">
        <v>14</v>
      </c>
      <c r="E1794" s="6">
        <v>3</v>
      </c>
      <c r="F1794" s="6">
        <v>5</v>
      </c>
      <c r="G1794" s="6" t="s">
        <v>17</v>
      </c>
      <c r="H1794" s="6" t="s">
        <v>41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10</v>
      </c>
      <c r="D1795" s="6" t="s">
        <v>41</v>
      </c>
      <c r="E1795" s="6">
        <v>4</v>
      </c>
      <c r="F1795" s="6">
        <v>5</v>
      </c>
      <c r="G1795" s="6" t="s">
        <v>17</v>
      </c>
      <c r="H1795" s="6" t="s">
        <v>12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14</v>
      </c>
      <c r="D1796" s="6" t="s">
        <v>12</v>
      </c>
      <c r="E1796" s="6">
        <v>5</v>
      </c>
      <c r="F1796" s="6">
        <v>1</v>
      </c>
      <c r="G1796" s="6" t="s">
        <v>11</v>
      </c>
      <c r="H1796" s="6" t="s">
        <v>17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14</v>
      </c>
      <c r="D1797" s="6" t="s">
        <v>10</v>
      </c>
      <c r="E1797" s="6">
        <v>0</v>
      </c>
      <c r="F1797" s="6">
        <v>5</v>
      </c>
      <c r="G1797" s="6" t="s">
        <v>41</v>
      </c>
      <c r="H1797" s="6" t="s">
        <v>12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26</v>
      </c>
      <c r="D1798" s="6" t="s">
        <v>41</v>
      </c>
      <c r="E1798" s="6">
        <v>3</v>
      </c>
      <c r="F1798" s="6">
        <v>5</v>
      </c>
      <c r="G1798" s="6" t="s">
        <v>17</v>
      </c>
      <c r="H1798" s="6" t="s">
        <v>12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17</v>
      </c>
      <c r="D1799" s="6" t="s">
        <v>14</v>
      </c>
      <c r="E1799" s="6">
        <v>5</v>
      </c>
      <c r="F1799" s="6">
        <v>2</v>
      </c>
      <c r="G1799" s="6" t="s">
        <v>10</v>
      </c>
      <c r="H1799" s="6" t="s">
        <v>12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14</v>
      </c>
      <c r="D1800" s="6" t="s">
        <v>26</v>
      </c>
      <c r="E1800" s="6">
        <v>5</v>
      </c>
      <c r="F1800" s="6">
        <v>1</v>
      </c>
      <c r="G1800" s="6" t="s">
        <v>17</v>
      </c>
      <c r="H1800" s="6" t="s">
        <v>41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26</v>
      </c>
      <c r="D1801" s="6" t="s">
        <v>12</v>
      </c>
      <c r="E1801" s="6">
        <v>2</v>
      </c>
      <c r="F1801" s="6">
        <v>7</v>
      </c>
      <c r="G1801" s="6" t="s">
        <v>10</v>
      </c>
      <c r="H1801" s="6" t="s">
        <v>14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10</v>
      </c>
      <c r="D1802" s="6" t="s">
        <v>41</v>
      </c>
      <c r="E1802" s="6">
        <v>4</v>
      </c>
      <c r="F1802" s="6">
        <v>5</v>
      </c>
      <c r="G1802" s="6" t="s">
        <v>17</v>
      </c>
      <c r="H1802" s="6" t="s">
        <v>14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12</v>
      </c>
      <c r="D1803" s="6" t="s">
        <v>14</v>
      </c>
      <c r="E1803" s="6">
        <v>3</v>
      </c>
      <c r="F1803" s="6">
        <v>5</v>
      </c>
      <c r="G1803" s="6" t="s">
        <v>10</v>
      </c>
      <c r="H1803" s="6" t="s">
        <v>41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10</v>
      </c>
      <c r="D1804" s="6" t="s">
        <v>11</v>
      </c>
      <c r="E1804" s="6">
        <v>5</v>
      </c>
      <c r="F1804" s="6">
        <v>3</v>
      </c>
      <c r="G1804" s="6" t="s">
        <v>14</v>
      </c>
      <c r="H1804" s="6" t="s">
        <v>41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14</v>
      </c>
      <c r="D1805" s="6" t="s">
        <v>10</v>
      </c>
      <c r="E1805" s="6">
        <v>1</v>
      </c>
      <c r="F1805" s="6">
        <v>6</v>
      </c>
      <c r="G1805" s="6" t="s">
        <v>12</v>
      </c>
      <c r="H1805" s="6" t="s">
        <v>11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41</v>
      </c>
      <c r="D1806" s="6" t="s">
        <v>10</v>
      </c>
      <c r="E1806" s="6">
        <v>5</v>
      </c>
      <c r="F1806" s="6">
        <v>4</v>
      </c>
      <c r="G1806" s="6" t="s">
        <v>54</v>
      </c>
      <c r="H1806" s="6" t="s">
        <v>14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41</v>
      </c>
      <c r="D1807" s="6" t="s">
        <v>14</v>
      </c>
      <c r="E1807" s="6">
        <v>5</v>
      </c>
      <c r="F1807" s="6">
        <v>1</v>
      </c>
      <c r="G1807" s="6" t="s">
        <v>54</v>
      </c>
      <c r="H1807" s="6" t="s">
        <v>10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11</v>
      </c>
      <c r="D1808" s="6" t="s">
        <v>26</v>
      </c>
      <c r="E1808" s="6">
        <v>6</v>
      </c>
      <c r="F1808" s="6">
        <v>4</v>
      </c>
      <c r="G1808" s="6" t="s">
        <v>12</v>
      </c>
      <c r="H1808" s="6" t="s">
        <v>27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41</v>
      </c>
      <c r="D1809" s="6" t="s">
        <v>54</v>
      </c>
      <c r="E1809" s="6">
        <v>4</v>
      </c>
      <c r="F1809" s="6">
        <v>5</v>
      </c>
      <c r="G1809" s="6" t="s">
        <v>10</v>
      </c>
      <c r="H1809" s="6" t="s">
        <v>14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14</v>
      </c>
      <c r="D1810" s="6" t="s">
        <v>54</v>
      </c>
      <c r="E1810" s="6">
        <v>7</v>
      </c>
      <c r="F1810" s="6">
        <v>0</v>
      </c>
      <c r="G1810" s="6" t="s">
        <v>10</v>
      </c>
      <c r="H1810" s="6" t="s">
        <v>41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27</v>
      </c>
      <c r="D1811" s="6" t="s">
        <v>11</v>
      </c>
      <c r="E1811" s="6">
        <v>6</v>
      </c>
      <c r="F1811" s="6">
        <v>3</v>
      </c>
      <c r="G1811" s="6" t="s">
        <v>12</v>
      </c>
      <c r="H1811" s="6" t="s">
        <v>26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10</v>
      </c>
      <c r="D1812" s="6" t="s">
        <v>26</v>
      </c>
      <c r="E1812" s="6">
        <v>5</v>
      </c>
      <c r="F1812" s="6">
        <v>4</v>
      </c>
      <c r="G1812" s="6" t="s">
        <v>54</v>
      </c>
      <c r="H1812" s="6" t="s">
        <v>14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26</v>
      </c>
      <c r="D1813" s="6" t="s">
        <v>27</v>
      </c>
      <c r="E1813" s="6">
        <v>5</v>
      </c>
      <c r="F1813" s="6">
        <v>3</v>
      </c>
      <c r="G1813" s="6" t="s">
        <v>10</v>
      </c>
      <c r="H1813" s="6" t="s">
        <v>12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41</v>
      </c>
      <c r="D1814" s="6" t="s">
        <v>14</v>
      </c>
      <c r="E1814" s="6">
        <v>8</v>
      </c>
      <c r="F1814" s="6">
        <v>2</v>
      </c>
      <c r="G1814" s="6" t="s">
        <v>10</v>
      </c>
      <c r="H1814" s="6" t="s">
        <v>54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41</v>
      </c>
      <c r="D1815" s="6" t="s">
        <v>10</v>
      </c>
      <c r="E1815" s="6">
        <v>5</v>
      </c>
      <c r="F1815" s="6">
        <v>1</v>
      </c>
      <c r="G1815" s="6" t="s">
        <v>12</v>
      </c>
      <c r="H1815" s="6" t="s">
        <v>14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10</v>
      </c>
      <c r="D1816" s="6" t="s">
        <v>14</v>
      </c>
      <c r="E1816" s="6">
        <v>0</v>
      </c>
      <c r="F1816" s="6">
        <v>5</v>
      </c>
      <c r="G1816" s="6" t="s">
        <v>41</v>
      </c>
      <c r="H1816" s="6" t="s">
        <v>12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14</v>
      </c>
      <c r="D1817" s="6" t="s">
        <v>10</v>
      </c>
      <c r="E1817" s="6">
        <v>5</v>
      </c>
      <c r="F1817" s="6">
        <v>3</v>
      </c>
      <c r="G1817" s="6" t="s">
        <v>41</v>
      </c>
      <c r="H1817" s="6" t="s">
        <v>12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12</v>
      </c>
      <c r="D1818" s="6" t="s">
        <v>10</v>
      </c>
      <c r="E1818" s="6">
        <v>5</v>
      </c>
      <c r="F1818" s="6">
        <v>4</v>
      </c>
      <c r="G1818" s="6" t="s">
        <v>41</v>
      </c>
      <c r="H1818" s="6" t="s">
        <v>14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10</v>
      </c>
      <c r="D1819" s="6" t="s">
        <v>54</v>
      </c>
      <c r="E1819" s="6">
        <v>0</v>
      </c>
      <c r="F1819" s="6">
        <v>5</v>
      </c>
      <c r="G1819" s="6" t="s">
        <v>11</v>
      </c>
      <c r="H1819" s="6" t="s">
        <v>12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41</v>
      </c>
      <c r="D1820" s="6" t="s">
        <v>54</v>
      </c>
      <c r="E1820" s="6">
        <v>5</v>
      </c>
      <c r="F1820" s="6">
        <v>0</v>
      </c>
      <c r="G1820" s="6" t="s">
        <v>12</v>
      </c>
      <c r="H1820" s="6" t="s">
        <v>14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41</v>
      </c>
      <c r="D1821" s="6" t="s">
        <v>10</v>
      </c>
      <c r="E1821" s="6">
        <v>5</v>
      </c>
      <c r="F1821" s="6">
        <v>3</v>
      </c>
      <c r="G1821" s="6" t="s">
        <v>26</v>
      </c>
      <c r="H1821" s="6" t="s">
        <v>54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10</v>
      </c>
      <c r="D1822" s="6" t="s">
        <v>14</v>
      </c>
      <c r="E1822" s="6">
        <v>5</v>
      </c>
      <c r="F1822" s="6">
        <v>0</v>
      </c>
      <c r="G1822" s="6" t="s">
        <v>41</v>
      </c>
      <c r="H1822" s="6" t="s">
        <v>12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10</v>
      </c>
      <c r="D1823" s="6" t="s">
        <v>26</v>
      </c>
      <c r="E1823" s="6">
        <v>6</v>
      </c>
      <c r="F1823" s="6">
        <v>0</v>
      </c>
      <c r="G1823" s="6" t="s">
        <v>14</v>
      </c>
      <c r="H1823" s="6" t="s">
        <v>54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26</v>
      </c>
      <c r="D1824" s="6" t="s">
        <v>41</v>
      </c>
      <c r="E1824" s="6">
        <v>6</v>
      </c>
      <c r="F1824" s="6">
        <v>2</v>
      </c>
      <c r="G1824" s="6" t="s">
        <v>10</v>
      </c>
      <c r="H1824" s="6" t="s">
        <v>17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27</v>
      </c>
      <c r="D1825" s="6" t="s">
        <v>54</v>
      </c>
      <c r="E1825" s="6">
        <v>5</v>
      </c>
      <c r="F1825" s="6">
        <v>2</v>
      </c>
      <c r="G1825" s="6" t="s">
        <v>14</v>
      </c>
      <c r="H1825" s="6" t="s">
        <v>12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26</v>
      </c>
      <c r="D1826" s="6" t="s">
        <v>17</v>
      </c>
      <c r="E1826" s="6">
        <v>5</v>
      </c>
      <c r="F1826" s="6">
        <v>2</v>
      </c>
      <c r="G1826" s="6" t="s">
        <v>41</v>
      </c>
      <c r="H1826" s="6" t="s">
        <v>10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14</v>
      </c>
      <c r="D1827" s="6" t="s">
        <v>27</v>
      </c>
      <c r="E1827" s="6">
        <v>5</v>
      </c>
      <c r="F1827" s="6">
        <v>2</v>
      </c>
      <c r="G1827" s="6" t="s">
        <v>54</v>
      </c>
      <c r="H1827" s="6" t="s">
        <v>12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10</v>
      </c>
      <c r="D1828" s="6" t="s">
        <v>26</v>
      </c>
      <c r="E1828" s="6">
        <v>5</v>
      </c>
      <c r="F1828" s="6">
        <v>4</v>
      </c>
      <c r="G1828" s="6" t="s">
        <v>41</v>
      </c>
      <c r="H1828" s="6" t="s">
        <v>17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26</v>
      </c>
      <c r="D1829" s="6" t="s">
        <v>41</v>
      </c>
      <c r="E1829" s="6">
        <v>5</v>
      </c>
      <c r="F1829" s="6">
        <v>0</v>
      </c>
      <c r="G1829" s="6" t="s">
        <v>17</v>
      </c>
      <c r="H1829" s="6" t="s">
        <v>10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12</v>
      </c>
      <c r="D1830" s="6" t="s">
        <v>14</v>
      </c>
      <c r="E1830" s="6">
        <v>5</v>
      </c>
      <c r="F1830" s="6">
        <v>3</v>
      </c>
      <c r="G1830" s="6" t="s">
        <v>8</v>
      </c>
      <c r="H1830" s="6" t="s">
        <v>27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12</v>
      </c>
      <c r="D1831" s="6" t="s">
        <v>27</v>
      </c>
      <c r="E1831" s="6">
        <v>5</v>
      </c>
      <c r="F1831" s="6">
        <v>1</v>
      </c>
      <c r="G1831" s="6" t="s">
        <v>8</v>
      </c>
      <c r="H1831" s="6" t="s">
        <v>10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10</v>
      </c>
      <c r="D1832" s="6" t="s">
        <v>27</v>
      </c>
      <c r="E1832" s="6">
        <v>5</v>
      </c>
      <c r="F1832" s="6">
        <v>4</v>
      </c>
      <c r="G1832" s="6" t="s">
        <v>12</v>
      </c>
      <c r="H1832" s="6" t="s">
        <v>8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12</v>
      </c>
      <c r="D1833" s="6" t="s">
        <v>11</v>
      </c>
      <c r="E1833" s="6">
        <v>0</v>
      </c>
      <c r="F1833" s="6">
        <v>6</v>
      </c>
      <c r="G1833" s="6" t="s">
        <v>14</v>
      </c>
      <c r="H1833" s="6" t="s">
        <v>26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12</v>
      </c>
      <c r="D1834" s="6" t="s">
        <v>26</v>
      </c>
      <c r="E1834" s="6">
        <v>5</v>
      </c>
      <c r="F1834" s="6">
        <v>2</v>
      </c>
      <c r="G1834" s="6" t="s">
        <v>14</v>
      </c>
      <c r="H1834" s="6" t="s">
        <v>11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11</v>
      </c>
      <c r="D1835" s="6" t="s">
        <v>26</v>
      </c>
      <c r="E1835" s="6">
        <v>6</v>
      </c>
      <c r="F1835" s="6">
        <v>1</v>
      </c>
      <c r="G1835" s="6" t="s">
        <v>14</v>
      </c>
      <c r="H1835" s="6" t="s">
        <v>12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11</v>
      </c>
      <c r="D1836" s="6" t="s">
        <v>12</v>
      </c>
      <c r="E1836" s="6">
        <v>5</v>
      </c>
      <c r="F1836" s="6">
        <v>3</v>
      </c>
      <c r="G1836" s="6" t="s">
        <v>14</v>
      </c>
      <c r="H1836" s="6" t="s">
        <v>26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12</v>
      </c>
      <c r="D1837" s="6" t="s">
        <v>26</v>
      </c>
      <c r="E1837" s="6">
        <v>5</v>
      </c>
      <c r="F1837" s="6">
        <v>1</v>
      </c>
      <c r="G1837" s="6" t="s">
        <v>14</v>
      </c>
      <c r="H1837" s="6" t="s">
        <v>11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11</v>
      </c>
      <c r="D1838" s="6" t="s">
        <v>26</v>
      </c>
      <c r="E1838" s="6">
        <v>5</v>
      </c>
      <c r="F1838" s="6">
        <v>4</v>
      </c>
      <c r="G1838" s="6" t="s">
        <v>14</v>
      </c>
      <c r="H1838" s="6" t="s">
        <v>12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12</v>
      </c>
      <c r="D1839" s="6" t="s">
        <v>26</v>
      </c>
      <c r="E1839" s="6">
        <v>5</v>
      </c>
      <c r="F1839" s="6">
        <v>4</v>
      </c>
      <c r="G1839" s="6" t="s">
        <v>14</v>
      </c>
      <c r="H1839" s="6" t="s">
        <v>27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26</v>
      </c>
      <c r="D1840" s="6" t="s">
        <v>27</v>
      </c>
      <c r="E1840" s="6">
        <v>5</v>
      </c>
      <c r="F1840" s="6">
        <v>1</v>
      </c>
      <c r="G1840" s="6" t="s">
        <v>12</v>
      </c>
      <c r="H1840" s="6" t="s">
        <v>14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12</v>
      </c>
      <c r="D1841" s="6" t="s">
        <v>27</v>
      </c>
      <c r="E1841" s="6">
        <v>5</v>
      </c>
      <c r="F1841" s="6">
        <v>1</v>
      </c>
      <c r="G1841" s="6" t="s">
        <v>14</v>
      </c>
      <c r="H1841" s="6" t="s">
        <v>26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10</v>
      </c>
      <c r="D1842" s="6" t="s">
        <v>14</v>
      </c>
      <c r="E1842" s="6">
        <v>5</v>
      </c>
      <c r="F1842" s="6">
        <v>3</v>
      </c>
      <c r="G1842" s="6" t="s">
        <v>27</v>
      </c>
      <c r="H1842" s="6" t="s">
        <v>12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10</v>
      </c>
      <c r="D1843" s="6" t="s">
        <v>12</v>
      </c>
      <c r="E1843" s="6">
        <v>5</v>
      </c>
      <c r="F1843" s="6">
        <v>1</v>
      </c>
      <c r="G1843" s="6" t="s">
        <v>27</v>
      </c>
      <c r="H1843" s="6" t="s">
        <v>14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10</v>
      </c>
      <c r="D1844" s="6" t="s">
        <v>26</v>
      </c>
      <c r="E1844" s="6">
        <v>4</v>
      </c>
      <c r="F1844" s="6">
        <v>5</v>
      </c>
      <c r="G1844" s="6" t="s">
        <v>14</v>
      </c>
      <c r="H1844" s="6" t="s">
        <v>41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12</v>
      </c>
      <c r="D1845" s="6" t="s">
        <v>14</v>
      </c>
      <c r="E1845" s="6">
        <v>5</v>
      </c>
      <c r="F1845" s="6">
        <v>3</v>
      </c>
      <c r="G1845" s="6" t="s">
        <v>11</v>
      </c>
      <c r="H1845" s="6" t="s">
        <v>26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12</v>
      </c>
      <c r="D1846" s="6" t="s">
        <v>11</v>
      </c>
      <c r="E1846" s="6">
        <v>2</v>
      </c>
      <c r="F1846" s="6">
        <v>5</v>
      </c>
      <c r="G1846" s="6" t="s">
        <v>14</v>
      </c>
      <c r="H1846" s="6" t="s">
        <v>10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10</v>
      </c>
      <c r="D1847" s="6" t="s">
        <v>12</v>
      </c>
      <c r="E1847" s="6">
        <v>3</v>
      </c>
      <c r="F1847" s="6">
        <v>5</v>
      </c>
      <c r="G1847" s="6" t="s">
        <v>17</v>
      </c>
      <c r="H1847" s="6" t="s">
        <v>14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12</v>
      </c>
      <c r="D1848" s="6" t="s">
        <v>14</v>
      </c>
      <c r="E1848" s="6">
        <v>5</v>
      </c>
      <c r="F1848" s="6">
        <v>0</v>
      </c>
      <c r="G1848" s="6" t="s">
        <v>17</v>
      </c>
      <c r="H1848" s="6" t="s">
        <v>41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12</v>
      </c>
      <c r="D1849" s="6" t="s">
        <v>17</v>
      </c>
      <c r="E1849" s="6">
        <v>2</v>
      </c>
      <c r="F1849" s="6">
        <v>6</v>
      </c>
      <c r="G1849" s="6" t="s">
        <v>14</v>
      </c>
      <c r="H1849" s="6" t="s">
        <v>10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27</v>
      </c>
      <c r="D1850" s="6" t="s">
        <v>10</v>
      </c>
      <c r="E1850" s="6">
        <v>5</v>
      </c>
      <c r="F1850" s="6">
        <v>3</v>
      </c>
      <c r="G1850" s="6" t="s">
        <v>14</v>
      </c>
      <c r="H1850" s="6" t="s">
        <v>55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10</v>
      </c>
      <c r="D1851" s="6" t="s">
        <v>17</v>
      </c>
      <c r="E1851" s="6">
        <v>5</v>
      </c>
      <c r="F1851" s="6">
        <v>3</v>
      </c>
      <c r="G1851" s="6" t="s">
        <v>8</v>
      </c>
      <c r="H1851" s="6" t="s">
        <v>27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10</v>
      </c>
      <c r="D1852" s="6" t="s">
        <v>12</v>
      </c>
      <c r="E1852" s="6">
        <v>5</v>
      </c>
      <c r="F1852" s="6">
        <v>3</v>
      </c>
      <c r="G1852" s="6" t="s">
        <v>17</v>
      </c>
      <c r="H1852" s="6" t="s">
        <v>8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10</v>
      </c>
      <c r="D1853" s="6" t="s">
        <v>8</v>
      </c>
      <c r="E1853" s="6">
        <v>5</v>
      </c>
      <c r="F1853" s="6">
        <v>4</v>
      </c>
      <c r="G1853" s="6" t="s">
        <v>17</v>
      </c>
      <c r="H1853" s="6" t="s">
        <v>12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10</v>
      </c>
      <c r="D1854" s="6" t="s">
        <v>17</v>
      </c>
      <c r="E1854" s="6">
        <v>5</v>
      </c>
      <c r="F1854" s="6">
        <v>2</v>
      </c>
      <c r="G1854" s="6" t="s">
        <v>8</v>
      </c>
      <c r="H1854" s="6" t="s">
        <v>12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10</v>
      </c>
      <c r="D1855" s="6" t="s">
        <v>14</v>
      </c>
      <c r="E1855" s="6">
        <v>5</v>
      </c>
      <c r="F1855" s="6">
        <v>2</v>
      </c>
      <c r="G1855" s="6" t="s">
        <v>12</v>
      </c>
      <c r="H1855" s="6" t="s">
        <v>41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10</v>
      </c>
      <c r="D1856" s="6" t="s">
        <v>11</v>
      </c>
      <c r="E1856" s="6">
        <v>2</v>
      </c>
      <c r="F1856" s="6">
        <v>5</v>
      </c>
      <c r="G1856" s="6" t="s">
        <v>14</v>
      </c>
      <c r="H1856" s="6" t="s">
        <v>9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12</v>
      </c>
      <c r="D1857" s="6" t="s">
        <v>14</v>
      </c>
      <c r="E1857" s="6">
        <v>3</v>
      </c>
      <c r="F1857" s="6">
        <v>6</v>
      </c>
      <c r="G1857" s="6" t="s">
        <v>9</v>
      </c>
      <c r="H1857" s="6" t="s">
        <v>41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11</v>
      </c>
      <c r="D1858" s="6" t="s">
        <v>9</v>
      </c>
      <c r="E1858" s="6">
        <v>3</v>
      </c>
      <c r="F1858" s="6">
        <v>5</v>
      </c>
      <c r="G1858" s="6" t="s">
        <v>10</v>
      </c>
      <c r="H1858" s="6" t="s">
        <v>41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14</v>
      </c>
      <c r="D1859" s="6" t="s">
        <v>41</v>
      </c>
      <c r="E1859" s="6">
        <v>5</v>
      </c>
      <c r="F1859" s="6">
        <v>1</v>
      </c>
      <c r="G1859" s="6" t="s">
        <v>10</v>
      </c>
      <c r="H1859" s="6" t="s">
        <v>54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14</v>
      </c>
      <c r="D1860" s="6" t="s">
        <v>10</v>
      </c>
      <c r="E1860" s="6">
        <v>6</v>
      </c>
      <c r="F1860" s="6">
        <v>2</v>
      </c>
      <c r="G1860" s="6" t="s">
        <v>12</v>
      </c>
      <c r="H1860" s="6" t="s">
        <v>41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10</v>
      </c>
      <c r="D1861" s="6" t="s">
        <v>26</v>
      </c>
      <c r="E1861" s="6">
        <v>5</v>
      </c>
      <c r="F1861" s="6">
        <v>1</v>
      </c>
      <c r="G1861" s="6" t="s">
        <v>54</v>
      </c>
      <c r="H1861" s="6" t="s">
        <v>14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26</v>
      </c>
      <c r="D1862" s="6" t="s">
        <v>54</v>
      </c>
      <c r="E1862" s="6">
        <v>5</v>
      </c>
      <c r="F1862" s="6">
        <v>0</v>
      </c>
      <c r="G1862" s="6" t="s">
        <v>10</v>
      </c>
      <c r="H1862" s="6" t="s">
        <v>41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14</v>
      </c>
      <c r="D1863" s="6" t="s">
        <v>26</v>
      </c>
      <c r="E1863" s="6">
        <v>5</v>
      </c>
      <c r="F1863" s="6">
        <v>2</v>
      </c>
      <c r="G1863" s="6" t="s">
        <v>54</v>
      </c>
      <c r="H1863" s="6" t="s">
        <v>41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10</v>
      </c>
      <c r="D1864" s="6" t="s">
        <v>14</v>
      </c>
      <c r="E1864" s="6">
        <v>3</v>
      </c>
      <c r="F1864" s="6">
        <v>5</v>
      </c>
      <c r="G1864" s="6" t="s">
        <v>12</v>
      </c>
      <c r="H1864" s="6" t="s">
        <v>26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12</v>
      </c>
      <c r="D1865" s="6" t="s">
        <v>14</v>
      </c>
      <c r="E1865" s="6">
        <v>3</v>
      </c>
      <c r="F1865" s="6">
        <v>5</v>
      </c>
      <c r="G1865" s="6" t="s">
        <v>26</v>
      </c>
      <c r="H1865" s="6" t="s">
        <v>41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10</v>
      </c>
      <c r="D1866" s="6" t="s">
        <v>12</v>
      </c>
      <c r="E1866" s="6">
        <v>5</v>
      </c>
      <c r="F1866" s="6">
        <v>3</v>
      </c>
      <c r="G1866" s="6" t="s">
        <v>14</v>
      </c>
      <c r="H1866" s="6" t="s">
        <v>41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10</v>
      </c>
      <c r="D1867" s="6" t="s">
        <v>41</v>
      </c>
      <c r="E1867" s="6">
        <v>5</v>
      </c>
      <c r="F1867" s="6">
        <v>0</v>
      </c>
      <c r="G1867" s="6" t="s">
        <v>14</v>
      </c>
      <c r="H1867" s="6" t="s">
        <v>9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10</v>
      </c>
      <c r="D1868" s="6" t="s">
        <v>17</v>
      </c>
      <c r="E1868" s="6">
        <v>5</v>
      </c>
      <c r="F1868" s="6">
        <v>1</v>
      </c>
      <c r="G1868" s="6" t="s">
        <v>12</v>
      </c>
      <c r="H1868" s="6" t="s">
        <v>41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12</v>
      </c>
      <c r="D1869" s="6" t="s">
        <v>14</v>
      </c>
      <c r="E1869" s="6">
        <v>7</v>
      </c>
      <c r="F1869" s="6">
        <v>3</v>
      </c>
      <c r="G1869" s="6" t="s">
        <v>11</v>
      </c>
      <c r="H1869" s="6" t="s">
        <v>41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10</v>
      </c>
      <c r="D1870" s="6" t="s">
        <v>50</v>
      </c>
      <c r="E1870" s="6">
        <v>5</v>
      </c>
      <c r="F1870" s="6">
        <v>3</v>
      </c>
      <c r="G1870" s="6" t="s">
        <v>9</v>
      </c>
      <c r="H1870" s="6" t="s">
        <v>17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10</v>
      </c>
      <c r="D1871" s="6" t="s">
        <v>9</v>
      </c>
      <c r="E1871" s="6">
        <v>5</v>
      </c>
      <c r="F1871" s="6">
        <v>0</v>
      </c>
      <c r="G1871" s="6" t="s">
        <v>17</v>
      </c>
      <c r="H1871" s="6" t="s">
        <v>50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12</v>
      </c>
      <c r="D1872" s="6" t="s">
        <v>11</v>
      </c>
      <c r="E1872" s="6">
        <v>4</v>
      </c>
      <c r="F1872" s="6">
        <v>6</v>
      </c>
      <c r="G1872" s="6" t="s">
        <v>14</v>
      </c>
      <c r="H1872" s="6" t="s">
        <v>41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10</v>
      </c>
      <c r="D1873" s="6" t="s">
        <v>17</v>
      </c>
      <c r="E1873" s="6">
        <v>5</v>
      </c>
      <c r="F1873" s="6">
        <v>3</v>
      </c>
      <c r="G1873" s="6" t="s">
        <v>9</v>
      </c>
      <c r="H1873" s="6" t="s">
        <v>50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26</v>
      </c>
      <c r="D1874" s="6" t="s">
        <v>41</v>
      </c>
      <c r="E1874" s="6">
        <v>2</v>
      </c>
      <c r="F1874" s="6">
        <v>6</v>
      </c>
      <c r="G1874" s="6" t="s">
        <v>14</v>
      </c>
      <c r="H1874" s="6" t="s">
        <v>27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10</v>
      </c>
      <c r="D1875" s="6" t="s">
        <v>12</v>
      </c>
      <c r="E1875" s="6">
        <v>5</v>
      </c>
      <c r="F1875" s="6">
        <v>3</v>
      </c>
      <c r="G1875" s="6" t="s">
        <v>11</v>
      </c>
      <c r="H1875" s="6" t="s">
        <v>17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27</v>
      </c>
      <c r="D1876" s="6" t="s">
        <v>41</v>
      </c>
      <c r="E1876" s="6">
        <v>5</v>
      </c>
      <c r="F1876" s="6">
        <v>2</v>
      </c>
      <c r="G1876" s="6" t="s">
        <v>14</v>
      </c>
      <c r="H1876" s="6" t="s">
        <v>9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9</v>
      </c>
      <c r="D1877" s="6" t="s">
        <v>41</v>
      </c>
      <c r="E1877" s="6">
        <v>0</v>
      </c>
      <c r="F1877" s="6">
        <v>6</v>
      </c>
      <c r="G1877" s="6" t="s">
        <v>14</v>
      </c>
      <c r="H1877" s="6" t="s">
        <v>27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12</v>
      </c>
      <c r="D1878" s="6" t="s">
        <v>17</v>
      </c>
      <c r="E1878" s="6">
        <v>5</v>
      </c>
      <c r="F1878" s="6">
        <v>2</v>
      </c>
      <c r="G1878" s="6" t="s">
        <v>10</v>
      </c>
      <c r="H1878" s="6" t="s">
        <v>26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41</v>
      </c>
      <c r="D1879" s="6" t="s">
        <v>10</v>
      </c>
      <c r="E1879" s="6">
        <v>1</v>
      </c>
      <c r="F1879" s="6">
        <v>6</v>
      </c>
      <c r="G1879" s="6" t="s">
        <v>26</v>
      </c>
      <c r="H1879" s="6" t="s">
        <v>50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12</v>
      </c>
      <c r="D1880" s="6" t="s">
        <v>27</v>
      </c>
      <c r="E1880" s="6">
        <v>2</v>
      </c>
      <c r="F1880" s="6">
        <v>5</v>
      </c>
      <c r="G1880" s="6" t="s">
        <v>14</v>
      </c>
      <c r="H1880" s="6" t="s">
        <v>17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26</v>
      </c>
      <c r="D1881" s="6" t="s">
        <v>41</v>
      </c>
      <c r="E1881" s="6">
        <v>6</v>
      </c>
      <c r="F1881" s="6">
        <v>0</v>
      </c>
      <c r="G1881" s="6" t="s">
        <v>10</v>
      </c>
      <c r="H1881" s="6" t="s">
        <v>50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10</v>
      </c>
      <c r="D1882" s="6" t="s">
        <v>26</v>
      </c>
      <c r="E1882" s="6">
        <v>5</v>
      </c>
      <c r="F1882" s="6">
        <v>4</v>
      </c>
      <c r="G1882" s="6" t="s">
        <v>41</v>
      </c>
      <c r="H1882" s="6" t="s">
        <v>50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12</v>
      </c>
      <c r="D1883" s="6" t="s">
        <v>14</v>
      </c>
      <c r="E1883" s="6">
        <v>5</v>
      </c>
      <c r="F1883" s="6">
        <v>3</v>
      </c>
      <c r="G1883" s="6" t="s">
        <v>17</v>
      </c>
      <c r="H1883" s="6" t="s">
        <v>27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26</v>
      </c>
      <c r="D1884" s="6" t="s">
        <v>50</v>
      </c>
      <c r="E1884" s="6">
        <v>5</v>
      </c>
      <c r="F1884" s="6">
        <v>0</v>
      </c>
      <c r="G1884" s="6" t="s">
        <v>41</v>
      </c>
      <c r="H1884" s="6" t="s">
        <v>10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12</v>
      </c>
      <c r="D1885" s="6" t="s">
        <v>17</v>
      </c>
      <c r="E1885" s="6">
        <v>2</v>
      </c>
      <c r="F1885" s="6">
        <v>6</v>
      </c>
      <c r="G1885" s="6" t="s">
        <v>27</v>
      </c>
      <c r="H1885" s="6" t="s">
        <v>14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10</v>
      </c>
      <c r="D1886" s="6" t="s">
        <v>50</v>
      </c>
      <c r="E1886" s="6">
        <v>5</v>
      </c>
      <c r="F1886" s="6">
        <v>1</v>
      </c>
      <c r="G1886" s="6" t="s">
        <v>26</v>
      </c>
      <c r="H1886" s="6" t="s">
        <v>41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12</v>
      </c>
      <c r="D1887" s="6" t="s">
        <v>27</v>
      </c>
      <c r="E1887" s="6">
        <v>7</v>
      </c>
      <c r="F1887" s="6">
        <v>4</v>
      </c>
      <c r="G1887" s="6" t="s">
        <v>17</v>
      </c>
      <c r="H1887" s="6" t="s">
        <v>14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10</v>
      </c>
      <c r="D1888" s="6" t="s">
        <v>27</v>
      </c>
      <c r="E1888" s="6">
        <v>5</v>
      </c>
      <c r="F1888" s="6">
        <v>3</v>
      </c>
      <c r="G1888" s="6" t="s">
        <v>17</v>
      </c>
      <c r="H1888" s="6" t="s">
        <v>12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41</v>
      </c>
      <c r="D1889" s="6" t="s">
        <v>11</v>
      </c>
      <c r="E1889" s="6">
        <v>7</v>
      </c>
      <c r="F1889" s="6">
        <v>3</v>
      </c>
      <c r="G1889" s="6" t="s">
        <v>50</v>
      </c>
      <c r="H1889" s="6" t="s">
        <v>14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10</v>
      </c>
      <c r="D1890" s="6" t="s">
        <v>11</v>
      </c>
      <c r="E1890" s="6">
        <v>5</v>
      </c>
      <c r="F1890" s="6">
        <v>0</v>
      </c>
      <c r="G1890" s="6" t="s">
        <v>12</v>
      </c>
      <c r="H1890" s="6" t="s">
        <v>41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41</v>
      </c>
      <c r="D1891" s="6" t="s">
        <v>26</v>
      </c>
      <c r="E1891" s="6">
        <v>5</v>
      </c>
      <c r="F1891" s="6">
        <v>3</v>
      </c>
      <c r="G1891" s="6" t="s">
        <v>50</v>
      </c>
      <c r="H1891" s="6" t="s">
        <v>12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10</v>
      </c>
      <c r="D1892" s="6" t="s">
        <v>27</v>
      </c>
      <c r="E1892" s="6">
        <v>6</v>
      </c>
      <c r="F1892" s="6">
        <v>4</v>
      </c>
      <c r="G1892" s="6" t="s">
        <v>14</v>
      </c>
      <c r="H1892" s="6" t="s">
        <v>11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12</v>
      </c>
      <c r="D1893" s="6" t="s">
        <v>26</v>
      </c>
      <c r="E1893" s="6">
        <v>4</v>
      </c>
      <c r="F1893" s="6">
        <v>5</v>
      </c>
      <c r="G1893" s="6" t="s">
        <v>41</v>
      </c>
      <c r="H1893" s="6" t="s">
        <v>54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14</v>
      </c>
      <c r="D1894" s="6" t="s">
        <v>27</v>
      </c>
      <c r="E1894" s="6">
        <v>5</v>
      </c>
      <c r="F1894" s="6">
        <v>4</v>
      </c>
      <c r="G1894" s="6" t="s">
        <v>50</v>
      </c>
      <c r="H1894" s="6" t="s">
        <v>10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27</v>
      </c>
      <c r="D1895" s="6" t="s">
        <v>50</v>
      </c>
      <c r="E1895" s="6">
        <v>5</v>
      </c>
      <c r="F1895" s="6">
        <v>4</v>
      </c>
      <c r="G1895" s="6" t="s">
        <v>14</v>
      </c>
      <c r="H1895" s="6" t="s">
        <v>10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26</v>
      </c>
      <c r="D1896" s="6" t="s">
        <v>54</v>
      </c>
      <c r="E1896" s="6">
        <v>6</v>
      </c>
      <c r="F1896" s="6">
        <v>4</v>
      </c>
      <c r="G1896" s="6" t="s">
        <v>12</v>
      </c>
      <c r="H1896" s="6" t="s">
        <v>41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12</v>
      </c>
      <c r="D1897" s="6" t="s">
        <v>54</v>
      </c>
      <c r="E1897" s="6">
        <v>3</v>
      </c>
      <c r="F1897" s="6">
        <v>5</v>
      </c>
      <c r="G1897" s="6" t="s">
        <v>41</v>
      </c>
      <c r="H1897" s="6" t="s">
        <v>26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10</v>
      </c>
      <c r="D1898" s="6" t="s">
        <v>27</v>
      </c>
      <c r="E1898" s="6">
        <v>5</v>
      </c>
      <c r="F1898" s="6">
        <v>4</v>
      </c>
      <c r="G1898" s="6" t="s">
        <v>14</v>
      </c>
      <c r="H1898" s="6" t="s">
        <v>50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26</v>
      </c>
      <c r="D1899" s="6" t="s">
        <v>12</v>
      </c>
      <c r="E1899" s="6">
        <v>5</v>
      </c>
      <c r="F1899" s="6">
        <v>0</v>
      </c>
      <c r="G1899" s="6" t="s">
        <v>41</v>
      </c>
      <c r="H1899" s="6" t="s">
        <v>54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10</v>
      </c>
      <c r="D1900" s="6" t="s">
        <v>50</v>
      </c>
      <c r="E1900" s="6">
        <v>5</v>
      </c>
      <c r="F1900" s="6">
        <v>1</v>
      </c>
      <c r="G1900" s="6" t="s">
        <v>14</v>
      </c>
      <c r="H1900" s="6" t="s">
        <v>27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26</v>
      </c>
      <c r="D1901" s="6" t="s">
        <v>54</v>
      </c>
      <c r="E1901" s="6">
        <v>6</v>
      </c>
      <c r="F1901" s="6">
        <v>3</v>
      </c>
      <c r="G1901" s="6" t="s">
        <v>12</v>
      </c>
      <c r="H1901" s="6" t="s">
        <v>41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10</v>
      </c>
      <c r="D1902" s="6" t="s">
        <v>14</v>
      </c>
      <c r="E1902" s="6">
        <v>5</v>
      </c>
      <c r="F1902" s="6">
        <v>1</v>
      </c>
      <c r="G1902" s="6" t="s">
        <v>27</v>
      </c>
      <c r="H1902" s="6" t="s">
        <v>50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26</v>
      </c>
      <c r="D1903" s="6" t="s">
        <v>41</v>
      </c>
      <c r="E1903" s="6">
        <v>5</v>
      </c>
      <c r="F1903" s="6">
        <v>3</v>
      </c>
      <c r="G1903" s="6" t="s">
        <v>12</v>
      </c>
      <c r="H1903" s="6" t="s">
        <v>54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26</v>
      </c>
      <c r="D1904" s="6" t="s">
        <v>12</v>
      </c>
      <c r="E1904" s="6">
        <v>5</v>
      </c>
      <c r="F1904" s="6">
        <v>3</v>
      </c>
      <c r="G1904" s="6" t="s">
        <v>41</v>
      </c>
      <c r="H1904" s="6" t="s">
        <v>10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41</v>
      </c>
      <c r="D1905" s="6" t="s">
        <v>17</v>
      </c>
      <c r="E1905" s="6">
        <v>6</v>
      </c>
      <c r="F1905" s="6">
        <v>3</v>
      </c>
      <c r="G1905" s="6" t="s">
        <v>12</v>
      </c>
      <c r="H1905" s="6" t="s">
        <v>27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41</v>
      </c>
      <c r="D1906" s="6" t="s">
        <v>14</v>
      </c>
      <c r="E1906" s="6">
        <v>1</v>
      </c>
      <c r="F1906" s="6">
        <v>5</v>
      </c>
      <c r="G1906" s="6" t="s">
        <v>17</v>
      </c>
      <c r="H1906" s="6" t="s">
        <v>11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54</v>
      </c>
      <c r="D1907" s="6" t="s">
        <v>17</v>
      </c>
      <c r="E1907" s="6">
        <v>5</v>
      </c>
      <c r="F1907" s="6">
        <v>1</v>
      </c>
      <c r="G1907" s="6" t="s">
        <v>27</v>
      </c>
      <c r="H1907" s="6" t="s">
        <v>11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12</v>
      </c>
      <c r="D1908" s="6" t="s">
        <v>14</v>
      </c>
      <c r="E1908" s="6">
        <v>5</v>
      </c>
      <c r="F1908" s="6">
        <v>4</v>
      </c>
      <c r="G1908" s="6" t="s">
        <v>41</v>
      </c>
      <c r="H1908" s="6" t="s">
        <v>26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12</v>
      </c>
      <c r="D1909" s="6" t="s">
        <v>17</v>
      </c>
      <c r="E1909" s="6">
        <v>7</v>
      </c>
      <c r="F1909" s="6">
        <v>3</v>
      </c>
      <c r="G1909" s="6" t="s">
        <v>14</v>
      </c>
      <c r="H1909" s="6" t="s">
        <v>54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41</v>
      </c>
      <c r="D1910" s="6" t="s">
        <v>12</v>
      </c>
      <c r="E1910" s="6">
        <v>5</v>
      </c>
      <c r="F1910" s="6">
        <v>0</v>
      </c>
      <c r="G1910" s="6" t="s">
        <v>26</v>
      </c>
      <c r="H1910" s="6" t="s">
        <v>17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12</v>
      </c>
      <c r="D1911" s="6" t="s">
        <v>54</v>
      </c>
      <c r="E1911" s="6">
        <v>3</v>
      </c>
      <c r="F1911" s="6">
        <v>5</v>
      </c>
      <c r="G1911" s="6" t="s">
        <v>41</v>
      </c>
      <c r="H1911" s="6" t="s">
        <v>14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41</v>
      </c>
      <c r="D1912" s="6" t="s">
        <v>12</v>
      </c>
      <c r="E1912" s="6">
        <v>5</v>
      </c>
      <c r="F1912" s="6">
        <v>3</v>
      </c>
      <c r="G1912" s="6" t="s">
        <v>14</v>
      </c>
      <c r="H1912" s="6" t="s">
        <v>26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14</v>
      </c>
      <c r="D1913" s="6" t="s">
        <v>17</v>
      </c>
      <c r="E1913" s="6">
        <v>6</v>
      </c>
      <c r="F1913" s="6">
        <v>0</v>
      </c>
      <c r="G1913" s="6" t="s">
        <v>54</v>
      </c>
      <c r="H1913" s="6" t="s">
        <v>12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10</v>
      </c>
      <c r="D1914" s="6" t="s">
        <v>14</v>
      </c>
      <c r="E1914" s="6">
        <v>5</v>
      </c>
      <c r="F1914" s="6">
        <v>1</v>
      </c>
      <c r="G1914" s="6" t="s">
        <v>17</v>
      </c>
      <c r="H1914" s="6" t="s">
        <v>12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12</v>
      </c>
      <c r="D1915" s="6" t="s">
        <v>11</v>
      </c>
      <c r="E1915" s="6">
        <v>1</v>
      </c>
      <c r="F1915" s="6">
        <v>5</v>
      </c>
      <c r="G1915" s="6" t="s">
        <v>10</v>
      </c>
      <c r="H1915" s="6" t="s">
        <v>17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14</v>
      </c>
      <c r="D1916" s="6" t="s">
        <v>17</v>
      </c>
      <c r="E1916" s="6">
        <v>6</v>
      </c>
      <c r="F1916" s="6">
        <v>3</v>
      </c>
      <c r="G1916" s="6" t="s">
        <v>10</v>
      </c>
      <c r="H1916" s="6" t="s">
        <v>41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17</v>
      </c>
      <c r="D1917" s="6" t="s">
        <v>12</v>
      </c>
      <c r="E1917" s="6">
        <v>5</v>
      </c>
      <c r="F1917" s="6">
        <v>1</v>
      </c>
      <c r="G1917" s="6" t="s">
        <v>14</v>
      </c>
      <c r="H1917" s="6" t="s">
        <v>11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12</v>
      </c>
      <c r="D1918" s="6" t="s">
        <v>10</v>
      </c>
      <c r="E1918" s="6">
        <v>1</v>
      </c>
      <c r="F1918" s="6">
        <v>5</v>
      </c>
      <c r="G1918" s="6" t="s">
        <v>17</v>
      </c>
      <c r="H1918" s="6" t="s">
        <v>41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14</v>
      </c>
      <c r="D1919" s="6" t="s">
        <v>41</v>
      </c>
      <c r="E1919" s="6">
        <v>1</v>
      </c>
      <c r="F1919" s="6">
        <v>5</v>
      </c>
      <c r="G1919" s="6" t="s">
        <v>17</v>
      </c>
      <c r="H1919" s="6" t="s">
        <v>11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12</v>
      </c>
      <c r="D1920" s="6" t="s">
        <v>17</v>
      </c>
      <c r="E1920" s="6">
        <v>1</v>
      </c>
      <c r="F1920" s="6">
        <v>5</v>
      </c>
      <c r="G1920" s="6" t="s">
        <v>10</v>
      </c>
      <c r="H1920" s="6" t="s">
        <v>11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27</v>
      </c>
      <c r="D1921" s="6" t="s">
        <v>14</v>
      </c>
      <c r="E1921" s="6">
        <v>5</v>
      </c>
      <c r="F1921" s="6">
        <v>2</v>
      </c>
      <c r="G1921" s="6" t="s">
        <v>10</v>
      </c>
      <c r="H1921" s="6" t="s">
        <v>12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12</v>
      </c>
      <c r="D1922" s="6" t="s">
        <v>14</v>
      </c>
      <c r="E1922" s="6">
        <v>5</v>
      </c>
      <c r="F1922" s="6">
        <v>3</v>
      </c>
      <c r="G1922" s="6" t="s">
        <v>10</v>
      </c>
      <c r="H1922" s="6" t="s">
        <v>27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10</v>
      </c>
      <c r="D1923" s="6" t="s">
        <v>14</v>
      </c>
      <c r="E1923" s="6">
        <v>5</v>
      </c>
      <c r="F1923" s="6">
        <v>2</v>
      </c>
      <c r="G1923" s="6" t="s">
        <v>12</v>
      </c>
      <c r="H1923" s="6" t="s">
        <v>27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9</v>
      </c>
      <c r="D1924" s="6" t="s">
        <v>14</v>
      </c>
      <c r="E1924" s="6">
        <v>5</v>
      </c>
      <c r="F1924" s="6">
        <v>2</v>
      </c>
      <c r="G1924" s="6" t="s">
        <v>41</v>
      </c>
      <c r="H1924" s="6" t="s">
        <v>10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9</v>
      </c>
      <c r="D1925" s="6" t="s">
        <v>12</v>
      </c>
      <c r="E1925" s="6">
        <v>3</v>
      </c>
      <c r="F1925" s="6">
        <v>5</v>
      </c>
      <c r="G1925" s="6" t="s">
        <v>14</v>
      </c>
      <c r="H1925" s="6" t="s">
        <v>41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14</v>
      </c>
      <c r="D1926" s="6" t="s">
        <v>10</v>
      </c>
      <c r="E1926" s="6">
        <v>5</v>
      </c>
      <c r="F1926" s="6">
        <v>0</v>
      </c>
      <c r="G1926" s="6" t="s">
        <v>41</v>
      </c>
      <c r="H1926" s="6" t="s">
        <v>12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9</v>
      </c>
      <c r="D1927" s="6" t="s">
        <v>10</v>
      </c>
      <c r="E1927" s="6">
        <v>3</v>
      </c>
      <c r="F1927" s="6">
        <v>5</v>
      </c>
      <c r="G1927" s="6" t="s">
        <v>14</v>
      </c>
      <c r="H1927" s="6" t="s">
        <v>27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14</v>
      </c>
      <c r="D1928" s="6" t="s">
        <v>12</v>
      </c>
      <c r="E1928" s="6">
        <v>5</v>
      </c>
      <c r="F1928" s="6">
        <v>0</v>
      </c>
      <c r="G1928" s="6" t="s">
        <v>41</v>
      </c>
      <c r="H1928" s="6" t="s">
        <v>27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54</v>
      </c>
      <c r="D1929" s="6" t="s">
        <v>14</v>
      </c>
      <c r="E1929" s="6">
        <v>3</v>
      </c>
      <c r="F1929" s="6">
        <v>5</v>
      </c>
      <c r="G1929" s="6" t="s">
        <v>12</v>
      </c>
      <c r="H1929" s="6" t="s">
        <v>10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9</v>
      </c>
      <c r="D1930" s="6" t="s">
        <v>12</v>
      </c>
      <c r="E1930" s="6">
        <v>5</v>
      </c>
      <c r="F1930" s="6">
        <v>1</v>
      </c>
      <c r="G1930" s="6" t="s">
        <v>41</v>
      </c>
      <c r="H1930" s="6" t="s">
        <v>10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9</v>
      </c>
      <c r="D1931" s="6" t="s">
        <v>14</v>
      </c>
      <c r="E1931" s="6">
        <v>0</v>
      </c>
      <c r="F1931" s="6">
        <v>5</v>
      </c>
      <c r="G1931" s="6" t="s">
        <v>12</v>
      </c>
      <c r="H1931" s="6" t="s">
        <v>54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12</v>
      </c>
      <c r="D1932" s="6" t="s">
        <v>41</v>
      </c>
      <c r="E1932" s="6">
        <v>4</v>
      </c>
      <c r="F1932" s="6">
        <v>6</v>
      </c>
      <c r="G1932" s="6" t="s">
        <v>10</v>
      </c>
      <c r="H1932" s="6" t="s">
        <v>54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10</v>
      </c>
      <c r="D1933" s="6" t="s">
        <v>14</v>
      </c>
      <c r="E1933" s="6">
        <v>6</v>
      </c>
      <c r="F1933" s="6">
        <v>3</v>
      </c>
      <c r="G1933" s="6" t="s">
        <v>26</v>
      </c>
      <c r="H1933" s="6" t="s">
        <v>54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12</v>
      </c>
      <c r="D1934" s="6" t="s">
        <v>10</v>
      </c>
      <c r="E1934" s="6">
        <v>4</v>
      </c>
      <c r="F1934" s="6">
        <v>8</v>
      </c>
      <c r="G1934" s="6" t="s">
        <v>14</v>
      </c>
      <c r="H1934" s="6" t="s">
        <v>26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14</v>
      </c>
      <c r="D1935" s="6" t="s">
        <v>54</v>
      </c>
      <c r="E1935" s="6">
        <v>5</v>
      </c>
      <c r="F1935" s="6">
        <v>4</v>
      </c>
      <c r="G1935" s="6" t="s">
        <v>17</v>
      </c>
      <c r="H1935" s="6" t="s">
        <v>26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10</v>
      </c>
      <c r="D1936" s="6" t="s">
        <v>17</v>
      </c>
      <c r="E1936" s="6">
        <v>5</v>
      </c>
      <c r="F1936" s="6">
        <v>2</v>
      </c>
      <c r="G1936" s="6" t="s">
        <v>14</v>
      </c>
      <c r="H1936" s="6" t="s">
        <v>12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10</v>
      </c>
      <c r="D1937" s="6" t="s">
        <v>14</v>
      </c>
      <c r="E1937" s="6">
        <v>0</v>
      </c>
      <c r="F1937" s="6">
        <v>5</v>
      </c>
      <c r="G1937" s="6" t="s">
        <v>12</v>
      </c>
      <c r="H1937" s="6" t="s">
        <v>17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14</v>
      </c>
      <c r="D1938" s="6" t="s">
        <v>10</v>
      </c>
      <c r="E1938" s="6">
        <v>3</v>
      </c>
      <c r="F1938" s="6">
        <v>5</v>
      </c>
      <c r="G1938" s="6" t="s">
        <v>12</v>
      </c>
      <c r="H1938" s="6" t="s">
        <v>17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10</v>
      </c>
      <c r="D1939" s="6" t="s">
        <v>17</v>
      </c>
      <c r="E1939" s="6">
        <v>2</v>
      </c>
      <c r="F1939" s="6">
        <v>5</v>
      </c>
      <c r="G1939" s="6" t="s">
        <v>11</v>
      </c>
      <c r="H1939" s="6" t="s">
        <v>12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11</v>
      </c>
      <c r="D1940" s="6" t="s">
        <v>26</v>
      </c>
      <c r="E1940" s="6">
        <v>3</v>
      </c>
      <c r="F1940" s="6">
        <v>5</v>
      </c>
      <c r="G1940" s="6" t="s">
        <v>14</v>
      </c>
      <c r="H1940" s="6" t="s">
        <v>12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10</v>
      </c>
      <c r="D1941" s="6" t="s">
        <v>12</v>
      </c>
      <c r="E1941" s="6">
        <v>1</v>
      </c>
      <c r="F1941" s="6">
        <v>5</v>
      </c>
      <c r="G1941" s="6" t="s">
        <v>14</v>
      </c>
      <c r="H1941" s="6" t="s">
        <v>17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26</v>
      </c>
      <c r="D1942" s="6" t="s">
        <v>14</v>
      </c>
      <c r="E1942" s="6">
        <v>3</v>
      </c>
      <c r="F1942" s="6">
        <v>5</v>
      </c>
      <c r="G1942" s="6" t="s">
        <v>27</v>
      </c>
      <c r="H1942" s="6" t="s">
        <v>17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12</v>
      </c>
      <c r="D1943" s="6" t="s">
        <v>17</v>
      </c>
      <c r="E1943" s="6">
        <v>2</v>
      </c>
      <c r="F1943" s="6">
        <v>5</v>
      </c>
      <c r="G1943" s="6" t="s">
        <v>10</v>
      </c>
      <c r="H1943" s="6" t="s">
        <v>27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26</v>
      </c>
      <c r="D1944" s="6" t="s">
        <v>10</v>
      </c>
      <c r="E1944" s="6">
        <v>3</v>
      </c>
      <c r="F1944" s="6">
        <v>5</v>
      </c>
      <c r="G1944" s="6" t="s">
        <v>14</v>
      </c>
      <c r="H1944" s="6" t="s">
        <v>27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27</v>
      </c>
      <c r="D1945" s="6" t="s">
        <v>12</v>
      </c>
      <c r="E1945" s="6">
        <v>5</v>
      </c>
      <c r="F1945" s="6">
        <v>2</v>
      </c>
      <c r="G1945" s="6" t="s">
        <v>17</v>
      </c>
      <c r="H1945" s="6" t="s">
        <v>14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27</v>
      </c>
      <c r="D1946" s="6" t="s">
        <v>17</v>
      </c>
      <c r="E1946" s="6">
        <v>6</v>
      </c>
      <c r="F1946" s="6">
        <v>0</v>
      </c>
      <c r="G1946" s="6" t="s">
        <v>10</v>
      </c>
      <c r="H1946" s="6" t="s">
        <v>12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10</v>
      </c>
      <c r="D1947" s="6" t="s">
        <v>17</v>
      </c>
      <c r="E1947" s="6">
        <v>3</v>
      </c>
      <c r="F1947" s="6">
        <v>8</v>
      </c>
      <c r="G1947" s="6" t="s">
        <v>41</v>
      </c>
      <c r="H1947" s="6" t="s">
        <v>27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12</v>
      </c>
      <c r="D1948" s="6" t="s">
        <v>17</v>
      </c>
      <c r="E1948" s="6">
        <v>6</v>
      </c>
      <c r="F1948" s="6">
        <v>0</v>
      </c>
      <c r="G1948" s="6" t="s">
        <v>41</v>
      </c>
      <c r="H1948" s="6" t="s">
        <v>10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10</v>
      </c>
      <c r="D1949" s="6" t="s">
        <v>12</v>
      </c>
      <c r="E1949" s="6">
        <v>5</v>
      </c>
      <c r="F1949" s="6">
        <v>2</v>
      </c>
      <c r="G1949" s="6" t="s">
        <v>41</v>
      </c>
      <c r="H1949" s="6" t="s">
        <v>17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10</v>
      </c>
      <c r="D1950" s="6" t="s">
        <v>17</v>
      </c>
      <c r="E1950" s="6">
        <v>4</v>
      </c>
      <c r="F1950" s="6">
        <v>6</v>
      </c>
      <c r="G1950" s="6" t="s">
        <v>12</v>
      </c>
      <c r="H1950" s="6" t="s">
        <v>41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41</v>
      </c>
      <c r="D1951" s="6" t="s">
        <v>9</v>
      </c>
      <c r="E1951" s="6">
        <v>3</v>
      </c>
      <c r="F1951" s="6">
        <v>5</v>
      </c>
      <c r="G1951" s="6" t="s">
        <v>12</v>
      </c>
      <c r="H1951" s="6" t="s">
        <v>14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14</v>
      </c>
      <c r="D1952" s="6" t="s">
        <v>10</v>
      </c>
      <c r="E1952" s="6">
        <v>6</v>
      </c>
      <c r="F1952" s="6">
        <v>3</v>
      </c>
      <c r="G1952" s="6" t="s">
        <v>12</v>
      </c>
      <c r="H1952" s="6" t="s">
        <v>9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11</v>
      </c>
      <c r="D1953" s="6" t="s">
        <v>14</v>
      </c>
      <c r="E1953" s="6">
        <v>1</v>
      </c>
      <c r="F1953" s="6">
        <v>5</v>
      </c>
      <c r="G1953" s="6" t="s">
        <v>10</v>
      </c>
      <c r="H1953" s="6" t="s">
        <v>17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10</v>
      </c>
      <c r="D1954" s="6" t="s">
        <v>41</v>
      </c>
      <c r="E1954" s="6">
        <v>1</v>
      </c>
      <c r="F1954" s="6">
        <v>6</v>
      </c>
      <c r="G1954" s="6" t="s">
        <v>17</v>
      </c>
      <c r="H1954" s="6" t="s">
        <v>9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17</v>
      </c>
      <c r="D1955" s="6" t="s">
        <v>12</v>
      </c>
      <c r="E1955" s="6">
        <v>6</v>
      </c>
      <c r="F1955" s="6">
        <v>3</v>
      </c>
      <c r="G1955" s="6" t="s">
        <v>9</v>
      </c>
      <c r="H1955" s="6" t="s">
        <v>14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12</v>
      </c>
      <c r="D1956" s="6" t="s">
        <v>10</v>
      </c>
      <c r="E1956" s="6">
        <v>5</v>
      </c>
      <c r="F1956" s="6">
        <v>3</v>
      </c>
      <c r="G1956" s="6" t="s">
        <v>11</v>
      </c>
      <c r="H1956" s="6" t="s">
        <v>17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9</v>
      </c>
      <c r="D1957" s="6" t="s">
        <v>26</v>
      </c>
      <c r="E1957" s="6">
        <v>2</v>
      </c>
      <c r="F1957" s="6">
        <v>5</v>
      </c>
      <c r="G1957" s="6" t="s">
        <v>14</v>
      </c>
      <c r="H1957" s="6" t="s">
        <v>41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9</v>
      </c>
      <c r="D1958" s="6" t="s">
        <v>41</v>
      </c>
      <c r="E1958" s="6">
        <v>2</v>
      </c>
      <c r="F1958" s="6">
        <v>5</v>
      </c>
      <c r="G1958" s="6" t="s">
        <v>26</v>
      </c>
      <c r="H1958" s="6" t="s">
        <v>10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9</v>
      </c>
      <c r="D1959" s="6" t="s">
        <v>14</v>
      </c>
      <c r="E1959" s="6">
        <v>5</v>
      </c>
      <c r="F1959" s="6">
        <v>4</v>
      </c>
      <c r="G1959" s="6" t="s">
        <v>26</v>
      </c>
      <c r="H1959" s="6" t="s">
        <v>17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12</v>
      </c>
      <c r="D1960" s="6" t="s">
        <v>11</v>
      </c>
      <c r="E1960" s="6">
        <v>5</v>
      </c>
      <c r="F1960" s="6">
        <v>2</v>
      </c>
      <c r="G1960" s="6" t="s">
        <v>10</v>
      </c>
      <c r="H1960" s="6" t="s">
        <v>27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41</v>
      </c>
      <c r="D1961" s="6" t="s">
        <v>26</v>
      </c>
      <c r="E1961" s="6">
        <v>5</v>
      </c>
      <c r="F1961" s="6">
        <v>0</v>
      </c>
      <c r="G1961" s="6" t="s">
        <v>14</v>
      </c>
      <c r="H1961" s="6" t="s">
        <v>17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10</v>
      </c>
      <c r="D1962" s="6" t="s">
        <v>26</v>
      </c>
      <c r="E1962" s="6">
        <v>2</v>
      </c>
      <c r="F1962" s="6">
        <v>6</v>
      </c>
      <c r="G1962" s="6" t="s">
        <v>12</v>
      </c>
      <c r="H1962" s="6" t="s">
        <v>41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12</v>
      </c>
      <c r="D1963" s="6" t="s">
        <v>17</v>
      </c>
      <c r="E1963" s="6">
        <v>0</v>
      </c>
      <c r="F1963" s="6">
        <v>6</v>
      </c>
      <c r="G1963" s="6" t="s">
        <v>41</v>
      </c>
      <c r="H1963" s="6" t="s">
        <v>27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10</v>
      </c>
      <c r="D1964" s="6" t="s">
        <v>41</v>
      </c>
      <c r="E1964" s="6">
        <v>3</v>
      </c>
      <c r="F1964" s="6">
        <v>5</v>
      </c>
      <c r="G1964" s="6" t="s">
        <v>14</v>
      </c>
      <c r="H1964" s="6" t="s">
        <v>27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27</v>
      </c>
      <c r="D1965" s="6" t="s">
        <v>17</v>
      </c>
      <c r="E1965" s="6">
        <v>5</v>
      </c>
      <c r="F1965" s="6">
        <v>0</v>
      </c>
      <c r="G1965" s="6" t="s">
        <v>12</v>
      </c>
      <c r="H1965" s="6" t="s">
        <v>14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27</v>
      </c>
      <c r="D1966" s="6" t="s">
        <v>12</v>
      </c>
      <c r="E1966" s="6">
        <v>5</v>
      </c>
      <c r="F1966" s="6">
        <v>3</v>
      </c>
      <c r="G1966" s="6" t="s">
        <v>10</v>
      </c>
      <c r="H1966" s="6" t="s">
        <v>17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41</v>
      </c>
      <c r="D1967" s="6" t="s">
        <v>14</v>
      </c>
      <c r="E1967" s="6">
        <v>5</v>
      </c>
      <c r="F1967" s="6">
        <v>4</v>
      </c>
      <c r="G1967" s="6" t="s">
        <v>10</v>
      </c>
      <c r="H1967" s="6" t="s">
        <v>17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41</v>
      </c>
      <c r="D1968" s="6" t="s">
        <v>12</v>
      </c>
      <c r="E1968" s="6">
        <v>4</v>
      </c>
      <c r="F1968" s="6">
        <v>5</v>
      </c>
      <c r="G1968" s="6" t="s">
        <v>14</v>
      </c>
      <c r="H1968" s="6" t="s">
        <v>9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14</v>
      </c>
      <c r="D1969" s="6" t="s">
        <v>17</v>
      </c>
      <c r="E1969" s="6">
        <v>5</v>
      </c>
      <c r="F1969" s="6">
        <v>2</v>
      </c>
      <c r="G1969" s="6" t="s">
        <v>9</v>
      </c>
      <c r="H1969" s="6" t="s">
        <v>11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14</v>
      </c>
      <c r="D1970" s="6" t="s">
        <v>10</v>
      </c>
      <c r="E1970" s="6">
        <v>3</v>
      </c>
      <c r="F1970" s="6">
        <v>6</v>
      </c>
      <c r="G1970" s="6" t="s">
        <v>26</v>
      </c>
      <c r="H1970" s="6" t="s">
        <v>17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12</v>
      </c>
      <c r="D1971" s="6" t="s">
        <v>26</v>
      </c>
      <c r="E1971" s="6">
        <v>5</v>
      </c>
      <c r="F1971" s="6">
        <v>4</v>
      </c>
      <c r="G1971" s="6" t="s">
        <v>27</v>
      </c>
      <c r="H1971" s="6" t="s">
        <v>17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26</v>
      </c>
      <c r="D1972" s="6" t="s">
        <v>41</v>
      </c>
      <c r="E1972" s="6">
        <v>5</v>
      </c>
      <c r="F1972" s="6">
        <v>1</v>
      </c>
      <c r="G1972" s="6" t="s">
        <v>12</v>
      </c>
      <c r="H1972" s="6" t="s">
        <v>11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9</v>
      </c>
      <c r="D1973" s="6" t="s">
        <v>26</v>
      </c>
      <c r="E1973" s="6">
        <v>2</v>
      </c>
      <c r="F1973" s="6">
        <v>5</v>
      </c>
      <c r="G1973" s="6" t="s">
        <v>10</v>
      </c>
      <c r="H1973" s="6" t="s">
        <v>41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10</v>
      </c>
      <c r="D1974" s="6" t="s">
        <v>14</v>
      </c>
      <c r="E1974" s="6">
        <v>2</v>
      </c>
      <c r="F1974" s="6">
        <v>5</v>
      </c>
      <c r="G1974" s="6" t="s">
        <v>41</v>
      </c>
      <c r="H1974" s="6" t="s">
        <v>17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17</v>
      </c>
      <c r="D1975" s="6" t="s">
        <v>12</v>
      </c>
      <c r="E1975" s="6">
        <v>5</v>
      </c>
      <c r="F1975" s="6">
        <v>1</v>
      </c>
      <c r="G1975" s="6" t="s">
        <v>14</v>
      </c>
      <c r="H1975" s="6" t="s">
        <v>41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10</v>
      </c>
      <c r="D1976" s="6" t="s">
        <v>17</v>
      </c>
      <c r="E1976" s="6">
        <v>5</v>
      </c>
      <c r="F1976" s="6">
        <v>0</v>
      </c>
      <c r="G1976" s="6" t="s">
        <v>27</v>
      </c>
      <c r="H1976" s="6" t="s">
        <v>12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12</v>
      </c>
      <c r="D1977" s="6" t="s">
        <v>17</v>
      </c>
      <c r="E1977" s="6">
        <v>8</v>
      </c>
      <c r="F1977" s="6">
        <v>0</v>
      </c>
      <c r="G1977" s="6" t="s">
        <v>41</v>
      </c>
      <c r="H1977" s="6" t="s">
        <v>10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12</v>
      </c>
      <c r="D1978" s="6" t="s">
        <v>41</v>
      </c>
      <c r="E1978" s="6">
        <v>5</v>
      </c>
      <c r="F1978" s="6">
        <v>1</v>
      </c>
      <c r="G1978" s="6" t="s">
        <v>17</v>
      </c>
      <c r="H1978" s="6" t="s">
        <v>27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12</v>
      </c>
      <c r="D1979" s="6" t="s">
        <v>10</v>
      </c>
      <c r="E1979" s="6">
        <v>1</v>
      </c>
      <c r="F1979" s="6">
        <v>5</v>
      </c>
      <c r="G1979" s="6" t="s">
        <v>41</v>
      </c>
      <c r="H1979" s="6" t="s">
        <v>27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17</v>
      </c>
      <c r="D1980" s="6" t="s">
        <v>41</v>
      </c>
      <c r="E1980" s="6">
        <v>5</v>
      </c>
      <c r="F1980" s="6">
        <v>3</v>
      </c>
      <c r="G1980" s="6" t="s">
        <v>27</v>
      </c>
      <c r="H1980" s="6" t="s">
        <v>12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12</v>
      </c>
      <c r="D1981" s="6" t="s">
        <v>17</v>
      </c>
      <c r="E1981" s="6">
        <v>5</v>
      </c>
      <c r="F1981" s="6">
        <v>3</v>
      </c>
      <c r="G1981" s="6" t="s">
        <v>10</v>
      </c>
      <c r="H1981" s="6" t="s">
        <v>41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27</v>
      </c>
      <c r="D1982" s="6" t="s">
        <v>41</v>
      </c>
      <c r="E1982" s="6">
        <v>5</v>
      </c>
      <c r="F1982" s="6">
        <v>3</v>
      </c>
      <c r="G1982" s="6" t="s">
        <v>14</v>
      </c>
      <c r="H1982" s="6" t="s">
        <v>17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27</v>
      </c>
      <c r="D1983" s="6" t="s">
        <v>10</v>
      </c>
      <c r="E1983" s="6">
        <v>2</v>
      </c>
      <c r="F1983" s="6">
        <v>5</v>
      </c>
      <c r="G1983" s="6" t="s">
        <v>41</v>
      </c>
      <c r="H1983" s="6" t="s">
        <v>17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14</v>
      </c>
      <c r="D1984" s="6" t="s">
        <v>41</v>
      </c>
      <c r="E1984" s="6">
        <v>5</v>
      </c>
      <c r="F1984" s="6">
        <v>4</v>
      </c>
      <c r="G1984" s="6" t="s">
        <v>17</v>
      </c>
      <c r="H1984" s="6" t="s">
        <v>11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12</v>
      </c>
      <c r="D1985" s="6" t="s">
        <v>41</v>
      </c>
      <c r="E1985" s="6">
        <v>1</v>
      </c>
      <c r="F1985" s="6">
        <v>6</v>
      </c>
      <c r="G1985" s="6" t="s">
        <v>17</v>
      </c>
      <c r="H1985" s="6" t="s">
        <v>14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10</v>
      </c>
      <c r="D1986" s="6" t="s">
        <v>41</v>
      </c>
      <c r="E1986" s="6">
        <v>3</v>
      </c>
      <c r="F1986" s="6">
        <v>5</v>
      </c>
      <c r="G1986" s="6" t="s">
        <v>12</v>
      </c>
      <c r="H1986" s="6" t="s">
        <v>14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10</v>
      </c>
      <c r="D1987" s="6" t="s">
        <v>14</v>
      </c>
      <c r="E1987" s="6">
        <v>4</v>
      </c>
      <c r="F1987" s="6">
        <v>5</v>
      </c>
      <c r="G1987" s="6" t="s">
        <v>17</v>
      </c>
      <c r="H1987" s="6" t="s">
        <v>41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12</v>
      </c>
      <c r="D1988" s="6" t="s">
        <v>17</v>
      </c>
      <c r="E1988" s="6">
        <v>0</v>
      </c>
      <c r="F1988" s="6">
        <v>5</v>
      </c>
      <c r="G1988" s="6" t="s">
        <v>14</v>
      </c>
      <c r="H1988" s="6" t="s">
        <v>41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10</v>
      </c>
      <c r="D1989" s="6" t="s">
        <v>41</v>
      </c>
      <c r="E1989" s="6">
        <v>5</v>
      </c>
      <c r="F1989" s="6">
        <v>2</v>
      </c>
      <c r="G1989" s="6" t="s">
        <v>14</v>
      </c>
      <c r="H1989" s="6" t="s">
        <v>12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26</v>
      </c>
      <c r="D1990" s="6" t="s">
        <v>41</v>
      </c>
      <c r="E1990" s="6">
        <v>3</v>
      </c>
      <c r="F1990" s="6">
        <v>7</v>
      </c>
      <c r="G1990" s="6" t="s">
        <v>17</v>
      </c>
      <c r="H1990" s="6" t="s">
        <v>10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10</v>
      </c>
      <c r="D1991" s="6" t="s">
        <v>12</v>
      </c>
      <c r="E1991" s="6">
        <v>5</v>
      </c>
      <c r="F1991" s="6">
        <v>4</v>
      </c>
      <c r="G1991" s="6" t="s">
        <v>14</v>
      </c>
      <c r="H1991" s="6" t="s">
        <v>17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26</v>
      </c>
      <c r="D1992" s="6" t="s">
        <v>14</v>
      </c>
      <c r="E1992" s="6">
        <v>6</v>
      </c>
      <c r="F1992" s="6">
        <v>0</v>
      </c>
      <c r="G1992" s="6" t="s">
        <v>17</v>
      </c>
      <c r="H1992" s="6" t="s">
        <v>41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12</v>
      </c>
      <c r="D1993" s="6" t="s">
        <v>14</v>
      </c>
      <c r="E1993" s="6">
        <v>2</v>
      </c>
      <c r="F1993" s="6">
        <v>5</v>
      </c>
      <c r="G1993" s="6" t="s">
        <v>10</v>
      </c>
      <c r="H1993" s="6" t="s">
        <v>26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12</v>
      </c>
      <c r="D1994" s="6" t="s">
        <v>26</v>
      </c>
      <c r="E1994" s="6">
        <v>6</v>
      </c>
      <c r="F1994" s="6">
        <v>1</v>
      </c>
      <c r="G1994" s="6" t="s">
        <v>10</v>
      </c>
      <c r="H1994" s="6" t="s">
        <v>14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12</v>
      </c>
      <c r="D1995" s="6" t="s">
        <v>10</v>
      </c>
      <c r="E1995" s="6">
        <v>1</v>
      </c>
      <c r="F1995" s="6">
        <v>6</v>
      </c>
      <c r="G1995" s="6" t="s">
        <v>26</v>
      </c>
      <c r="H1995" s="6" t="s">
        <v>14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10</v>
      </c>
      <c r="D1996" s="6" t="s">
        <v>41</v>
      </c>
      <c r="E1996" s="6">
        <v>5</v>
      </c>
      <c r="F1996" s="6">
        <v>2</v>
      </c>
      <c r="G1996" s="6" t="s">
        <v>9</v>
      </c>
      <c r="H1996" s="6" t="s">
        <v>14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10</v>
      </c>
      <c r="D1997" s="6" t="s">
        <v>17</v>
      </c>
      <c r="E1997" s="6">
        <v>5</v>
      </c>
      <c r="F1997" s="6">
        <v>4</v>
      </c>
      <c r="G1997" s="6" t="s">
        <v>11</v>
      </c>
      <c r="H1997" s="6" t="s">
        <v>41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10</v>
      </c>
      <c r="D1998" s="6" t="s">
        <v>12</v>
      </c>
      <c r="E1998" s="6">
        <v>4</v>
      </c>
      <c r="F1998" s="6">
        <v>5</v>
      </c>
      <c r="G1998" s="6" t="s">
        <v>14</v>
      </c>
      <c r="H1998" s="6" t="s">
        <v>17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9</v>
      </c>
      <c r="D1999" s="6" t="s">
        <v>17</v>
      </c>
      <c r="E1999" s="6">
        <v>2</v>
      </c>
      <c r="F1999" s="6">
        <v>5</v>
      </c>
      <c r="G1999" s="6" t="s">
        <v>41</v>
      </c>
      <c r="H1999" s="6" t="s">
        <v>14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10</v>
      </c>
      <c r="D2000" s="6" t="s">
        <v>11</v>
      </c>
      <c r="E2000" s="6">
        <v>5</v>
      </c>
      <c r="F2000" s="6">
        <v>2</v>
      </c>
      <c r="G2000" s="6" t="s">
        <v>26</v>
      </c>
      <c r="H2000" s="6" t="s">
        <v>12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41</v>
      </c>
      <c r="D2001" s="6" t="s">
        <v>17</v>
      </c>
      <c r="E2001" s="6">
        <v>5</v>
      </c>
      <c r="F2001" s="6">
        <v>2</v>
      </c>
      <c r="G2001" s="6" t="s">
        <v>9</v>
      </c>
      <c r="H2001" s="6" t="s">
        <v>14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10</v>
      </c>
      <c r="D2002" s="6" t="s">
        <v>26</v>
      </c>
      <c r="E2002" s="6">
        <v>5</v>
      </c>
      <c r="F2002" s="6">
        <v>0</v>
      </c>
      <c r="G2002" s="6" t="s">
        <v>11</v>
      </c>
      <c r="H2002" s="6" t="s">
        <v>12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9</v>
      </c>
      <c r="D2003" s="6" t="s">
        <v>41</v>
      </c>
      <c r="E2003" s="6">
        <v>8</v>
      </c>
      <c r="F2003" s="6">
        <v>2</v>
      </c>
      <c r="G2003" s="6" t="s">
        <v>14</v>
      </c>
      <c r="H2003" s="6" t="s">
        <v>17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26</v>
      </c>
      <c r="D2004" s="6" t="s">
        <v>11</v>
      </c>
      <c r="E2004" s="6">
        <v>5</v>
      </c>
      <c r="F2004" s="6">
        <v>1</v>
      </c>
      <c r="G2004" s="6" t="s">
        <v>10</v>
      </c>
      <c r="H2004" s="6" t="s">
        <v>12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41</v>
      </c>
      <c r="D2005" s="6" t="s">
        <v>26</v>
      </c>
      <c r="E2005" s="6">
        <v>5</v>
      </c>
      <c r="F2005" s="6">
        <v>3</v>
      </c>
      <c r="G2005" s="6" t="s">
        <v>12</v>
      </c>
      <c r="H2005" s="6" t="s">
        <v>14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17</v>
      </c>
      <c r="D2006" s="6" t="s">
        <v>26</v>
      </c>
      <c r="E2006" s="6">
        <v>3</v>
      </c>
      <c r="F2006" s="6">
        <v>5</v>
      </c>
      <c r="G2006" s="6" t="s">
        <v>41</v>
      </c>
      <c r="H2006" s="6" t="s">
        <v>10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41</v>
      </c>
      <c r="D2007" s="6" t="s">
        <v>12</v>
      </c>
      <c r="E2007" s="6">
        <v>7</v>
      </c>
      <c r="F2007" s="6">
        <v>2</v>
      </c>
      <c r="G2007" s="6" t="s">
        <v>15</v>
      </c>
      <c r="H2007" s="6" t="s">
        <v>10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41</v>
      </c>
      <c r="D2008" s="6" t="s">
        <v>14</v>
      </c>
      <c r="E2008" s="6">
        <v>5</v>
      </c>
      <c r="F2008" s="6">
        <v>0</v>
      </c>
      <c r="G2008" s="6" t="s">
        <v>17</v>
      </c>
      <c r="H2008" s="6" t="s">
        <v>12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41</v>
      </c>
      <c r="D2009" s="6" t="s">
        <v>17</v>
      </c>
      <c r="E2009" s="6">
        <v>1</v>
      </c>
      <c r="F2009" s="6">
        <v>5</v>
      </c>
      <c r="G2009" s="6" t="s">
        <v>10</v>
      </c>
      <c r="H2009" s="6" t="s">
        <v>14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9</v>
      </c>
      <c r="D2010" s="6" t="s">
        <v>17</v>
      </c>
      <c r="E2010" s="6">
        <v>5</v>
      </c>
      <c r="F2010" s="6">
        <v>0</v>
      </c>
      <c r="G2010" s="6" t="s">
        <v>14</v>
      </c>
      <c r="H2010" s="6" t="s">
        <v>41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9</v>
      </c>
      <c r="D2011" s="6" t="s">
        <v>10</v>
      </c>
      <c r="E2011" s="6">
        <v>4</v>
      </c>
      <c r="F2011" s="6">
        <v>5</v>
      </c>
      <c r="G2011" s="6" t="s">
        <v>17</v>
      </c>
      <c r="H2011" s="6" t="s">
        <v>12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17</v>
      </c>
      <c r="D2012" s="6" t="s">
        <v>41</v>
      </c>
      <c r="E2012" s="6">
        <v>5</v>
      </c>
      <c r="F2012" s="6">
        <v>0</v>
      </c>
      <c r="G2012" s="6" t="s">
        <v>12</v>
      </c>
      <c r="H2012" s="6" t="s">
        <v>11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41</v>
      </c>
      <c r="D2013" s="6" t="s">
        <v>9</v>
      </c>
      <c r="E2013" s="6">
        <v>4</v>
      </c>
      <c r="F2013" s="6">
        <v>5</v>
      </c>
      <c r="G2013" s="6" t="s">
        <v>14</v>
      </c>
      <c r="H2013" s="6" t="s">
        <v>17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14</v>
      </c>
      <c r="D2014" s="6" t="s">
        <v>27</v>
      </c>
      <c r="E2014" s="6">
        <v>5</v>
      </c>
      <c r="F2014" s="6">
        <v>1</v>
      </c>
      <c r="G2014" s="6" t="s">
        <v>17</v>
      </c>
      <c r="H2014" s="6" t="s">
        <v>10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9</v>
      </c>
      <c r="D2015" s="6" t="s">
        <v>27</v>
      </c>
      <c r="E2015" s="6">
        <v>7</v>
      </c>
      <c r="F2015" s="6">
        <v>2</v>
      </c>
      <c r="G2015" s="6" t="s">
        <v>14</v>
      </c>
      <c r="H2015" s="6" t="s">
        <v>12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9</v>
      </c>
      <c r="D2016" s="6" t="s">
        <v>10</v>
      </c>
      <c r="E2016" s="6">
        <v>5</v>
      </c>
      <c r="F2016" s="6">
        <v>3</v>
      </c>
      <c r="G2016" s="6" t="s">
        <v>27</v>
      </c>
      <c r="H2016" s="6" t="s">
        <v>14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12</v>
      </c>
      <c r="D2017" s="6" t="s">
        <v>41</v>
      </c>
      <c r="E2017" s="6">
        <v>5</v>
      </c>
      <c r="F2017" s="6">
        <v>2</v>
      </c>
      <c r="G2017" s="6" t="s">
        <v>10</v>
      </c>
      <c r="H2017" s="6" t="s">
        <v>14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12</v>
      </c>
      <c r="D2018" s="6" t="s">
        <v>14</v>
      </c>
      <c r="E2018" s="6">
        <v>5</v>
      </c>
      <c r="F2018" s="6">
        <v>4</v>
      </c>
      <c r="G2018" s="6" t="s">
        <v>41</v>
      </c>
      <c r="H2018" s="6" t="s">
        <v>10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12</v>
      </c>
      <c r="D2019" s="6" t="s">
        <v>41</v>
      </c>
      <c r="E2019" s="6">
        <v>5</v>
      </c>
      <c r="F2019" s="6">
        <v>4</v>
      </c>
      <c r="G2019" s="6" t="s">
        <v>10</v>
      </c>
      <c r="H2019" s="6" t="s">
        <v>14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14</v>
      </c>
      <c r="D2020" s="6" t="s">
        <v>26</v>
      </c>
      <c r="E2020" s="6">
        <v>0</v>
      </c>
      <c r="F2020" s="6">
        <v>5</v>
      </c>
      <c r="G2020" s="6" t="s">
        <v>41</v>
      </c>
      <c r="H2020" s="6" t="s">
        <v>9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9</v>
      </c>
      <c r="D2021" s="6" t="s">
        <v>17</v>
      </c>
      <c r="E2021" s="6">
        <v>5</v>
      </c>
      <c r="F2021" s="6">
        <v>2</v>
      </c>
      <c r="G2021" s="6" t="s">
        <v>41</v>
      </c>
      <c r="H2021" s="6" t="s">
        <v>10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14</v>
      </c>
      <c r="D2022" s="6" t="s">
        <v>9</v>
      </c>
      <c r="E2022" s="6">
        <v>4</v>
      </c>
      <c r="F2022" s="6">
        <v>5</v>
      </c>
      <c r="G2022" s="6" t="s">
        <v>26</v>
      </c>
      <c r="H2022" s="6" t="s">
        <v>17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9</v>
      </c>
      <c r="D2023" s="6" t="s">
        <v>10</v>
      </c>
      <c r="E2023" s="6">
        <v>3</v>
      </c>
      <c r="F2023" s="6">
        <v>6</v>
      </c>
      <c r="G2023" s="6" t="s">
        <v>17</v>
      </c>
      <c r="H2023" s="6" t="s">
        <v>12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26</v>
      </c>
      <c r="D2024" s="6" t="s">
        <v>41</v>
      </c>
      <c r="E2024" s="6">
        <v>1</v>
      </c>
      <c r="F2024" s="6">
        <v>7</v>
      </c>
      <c r="G2024" s="6" t="s">
        <v>17</v>
      </c>
      <c r="H2024" s="6" t="s">
        <v>10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12</v>
      </c>
      <c r="D2025" s="6" t="s">
        <v>41</v>
      </c>
      <c r="E2025" s="6">
        <v>2</v>
      </c>
      <c r="F2025" s="6">
        <v>5</v>
      </c>
      <c r="G2025" s="6" t="s">
        <v>17</v>
      </c>
      <c r="H2025" s="6" t="s">
        <v>14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14</v>
      </c>
      <c r="D2026" s="6" t="s">
        <v>27</v>
      </c>
      <c r="E2026" s="6">
        <v>2</v>
      </c>
      <c r="F2026" s="6">
        <v>7</v>
      </c>
      <c r="G2026" s="6" t="s">
        <v>17</v>
      </c>
      <c r="H2026" s="6" t="s">
        <v>11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12</v>
      </c>
      <c r="D2027" s="6" t="s">
        <v>10</v>
      </c>
      <c r="E2027" s="6">
        <v>1</v>
      </c>
      <c r="F2027" s="6">
        <v>5</v>
      </c>
      <c r="G2027" s="6" t="s">
        <v>41</v>
      </c>
      <c r="H2027" s="6" t="s">
        <v>17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17</v>
      </c>
      <c r="D2028" s="6" t="s">
        <v>27</v>
      </c>
      <c r="E2028" s="6">
        <v>5</v>
      </c>
      <c r="F2028" s="6">
        <v>2</v>
      </c>
      <c r="G2028" s="6" t="s">
        <v>41</v>
      </c>
      <c r="H2028" s="6" t="s">
        <v>14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17</v>
      </c>
      <c r="D2029" s="6" t="s">
        <v>10</v>
      </c>
      <c r="E2029" s="6">
        <v>4</v>
      </c>
      <c r="F2029" s="6">
        <v>6</v>
      </c>
      <c r="G2029" s="6" t="s">
        <v>27</v>
      </c>
      <c r="H2029" s="6" t="s">
        <v>12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12</v>
      </c>
      <c r="D2030" s="6" t="s">
        <v>14</v>
      </c>
      <c r="E2030" s="6">
        <v>8</v>
      </c>
      <c r="F2030" s="6">
        <v>2</v>
      </c>
      <c r="G2030" s="6" t="s">
        <v>17</v>
      </c>
      <c r="H2030" s="6" t="s">
        <v>27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12</v>
      </c>
      <c r="D2031" s="6" t="s">
        <v>10</v>
      </c>
      <c r="E2031" s="6">
        <v>2</v>
      </c>
      <c r="F2031" s="6">
        <v>5</v>
      </c>
      <c r="G2031" s="6" t="s">
        <v>17</v>
      </c>
      <c r="H2031" s="6" t="s">
        <v>8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17</v>
      </c>
      <c r="D2032" s="6" t="s">
        <v>12</v>
      </c>
      <c r="E2032" s="6">
        <v>6</v>
      </c>
      <c r="F2032" s="6">
        <v>2</v>
      </c>
      <c r="G2032" s="6" t="s">
        <v>8</v>
      </c>
      <c r="H2032" s="6" t="s">
        <v>10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17</v>
      </c>
      <c r="D2033" s="6" t="s">
        <v>10</v>
      </c>
      <c r="E2033" s="6">
        <v>5</v>
      </c>
      <c r="F2033" s="6">
        <v>2</v>
      </c>
      <c r="G2033" s="6" t="s">
        <v>8</v>
      </c>
      <c r="H2033" s="6" t="s">
        <v>12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12</v>
      </c>
      <c r="D2034" s="6" t="s">
        <v>10</v>
      </c>
      <c r="E2034" s="6">
        <v>1</v>
      </c>
      <c r="F2034" s="6">
        <v>5</v>
      </c>
      <c r="G2034" s="6" t="s">
        <v>14</v>
      </c>
      <c r="H2034" s="6" t="s">
        <v>10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17</v>
      </c>
      <c r="D2035" s="6" t="s">
        <v>10</v>
      </c>
      <c r="E2035" s="6">
        <v>2</v>
      </c>
      <c r="F2035" s="6">
        <v>5</v>
      </c>
      <c r="G2035" s="6" t="s">
        <v>11</v>
      </c>
      <c r="H2035" s="6" t="s">
        <v>14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14</v>
      </c>
      <c r="D2036" s="6" t="s">
        <v>26</v>
      </c>
      <c r="E2036" s="6">
        <v>5</v>
      </c>
      <c r="F2036" s="6">
        <v>2</v>
      </c>
      <c r="G2036" s="6" t="s">
        <v>11</v>
      </c>
      <c r="H2036" s="6" t="s">
        <v>27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12</v>
      </c>
      <c r="D2037" s="6" t="s">
        <v>14</v>
      </c>
      <c r="E2037" s="6">
        <v>1</v>
      </c>
      <c r="F2037" s="6">
        <v>5</v>
      </c>
      <c r="G2037" s="6" t="s">
        <v>26</v>
      </c>
      <c r="H2037" s="6" t="s">
        <v>10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10</v>
      </c>
      <c r="D2038" s="6" t="s">
        <v>27</v>
      </c>
      <c r="E2038" s="6">
        <v>5</v>
      </c>
      <c r="F2038" s="6">
        <v>3</v>
      </c>
      <c r="G2038" s="6" t="s">
        <v>17</v>
      </c>
      <c r="H2038" s="6" t="s">
        <v>26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12</v>
      </c>
      <c r="D2039" s="6" t="s">
        <v>10</v>
      </c>
      <c r="E2039" s="6">
        <v>1</v>
      </c>
      <c r="F2039" s="6">
        <v>5</v>
      </c>
      <c r="G2039" s="6" t="s">
        <v>14</v>
      </c>
      <c r="H2039" s="6" t="s">
        <v>27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10</v>
      </c>
      <c r="D2040" s="6" t="s">
        <v>14</v>
      </c>
      <c r="E2040" s="6">
        <v>4</v>
      </c>
      <c r="F2040" s="6">
        <v>5</v>
      </c>
      <c r="G2040" s="6" t="s">
        <v>17</v>
      </c>
      <c r="H2040" s="6" t="s">
        <v>27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41</v>
      </c>
      <c r="D2041" s="6" t="s">
        <v>27</v>
      </c>
      <c r="E2041" s="6">
        <v>5</v>
      </c>
      <c r="F2041" s="6">
        <v>0</v>
      </c>
      <c r="G2041" s="6" t="s">
        <v>26</v>
      </c>
      <c r="H2041" s="6" t="s">
        <v>17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10</v>
      </c>
      <c r="D2042" s="6" t="s">
        <v>12</v>
      </c>
      <c r="E2042" s="6">
        <v>7</v>
      </c>
      <c r="F2042" s="6">
        <v>2</v>
      </c>
      <c r="G2042" s="6" t="s">
        <v>27</v>
      </c>
      <c r="H2042" s="6" t="s">
        <v>14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10</v>
      </c>
      <c r="D2043" s="6" t="s">
        <v>27</v>
      </c>
      <c r="E2043" s="6">
        <v>5</v>
      </c>
      <c r="F2043" s="6">
        <v>4</v>
      </c>
      <c r="G2043" s="6" t="s">
        <v>12</v>
      </c>
      <c r="H2043" s="6" t="s">
        <v>17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10</v>
      </c>
      <c r="D2044" s="6" t="s">
        <v>17</v>
      </c>
      <c r="E2044" s="6">
        <v>5</v>
      </c>
      <c r="F2044" s="6">
        <v>2</v>
      </c>
      <c r="G2044" s="6" t="s">
        <v>12</v>
      </c>
      <c r="H2044" s="6" t="s">
        <v>27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27</v>
      </c>
      <c r="D2045" s="6" t="s">
        <v>17</v>
      </c>
      <c r="E2045" s="6">
        <v>3</v>
      </c>
      <c r="F2045" s="6">
        <v>5</v>
      </c>
      <c r="G2045" s="6" t="s">
        <v>12</v>
      </c>
      <c r="H2045" s="6" t="s">
        <v>10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10</v>
      </c>
      <c r="D2046" s="6" t="s">
        <v>8</v>
      </c>
      <c r="E2046" s="6">
        <v>5</v>
      </c>
      <c r="F2046" s="6">
        <v>3</v>
      </c>
      <c r="G2046" s="6" t="s">
        <v>12</v>
      </c>
      <c r="H2046" s="6" t="s">
        <v>17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9</v>
      </c>
      <c r="D2047" s="6" t="s">
        <v>17</v>
      </c>
      <c r="E2047" s="6">
        <v>5</v>
      </c>
      <c r="F2047" s="6">
        <v>1</v>
      </c>
      <c r="G2047" s="6" t="s">
        <v>14</v>
      </c>
      <c r="H2047" s="6" t="s">
        <v>41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9</v>
      </c>
      <c r="D2048" s="6" t="s">
        <v>8</v>
      </c>
      <c r="E2048" s="6">
        <v>5</v>
      </c>
      <c r="F2048" s="6">
        <v>3</v>
      </c>
      <c r="G2048" s="6" t="s">
        <v>17</v>
      </c>
      <c r="H2048" s="6" t="s">
        <v>10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9</v>
      </c>
      <c r="D2049" s="6" t="s">
        <v>41</v>
      </c>
      <c r="E2049" s="6">
        <v>1</v>
      </c>
      <c r="F2049" s="6">
        <v>5</v>
      </c>
      <c r="G2049" s="6" t="s">
        <v>12</v>
      </c>
      <c r="H2049" s="6" t="s">
        <v>8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54</v>
      </c>
      <c r="D2050" s="6" t="s">
        <v>9</v>
      </c>
      <c r="E2050" s="6">
        <v>5</v>
      </c>
      <c r="F2050" s="6">
        <v>0</v>
      </c>
      <c r="G2050" s="6" t="s">
        <v>41</v>
      </c>
      <c r="H2050" s="6" t="s">
        <v>17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8</v>
      </c>
      <c r="D2051" s="6" t="s">
        <v>14</v>
      </c>
      <c r="E2051" s="6">
        <v>5</v>
      </c>
      <c r="F2051" s="6">
        <v>2</v>
      </c>
      <c r="G2051" s="6" t="s">
        <v>10</v>
      </c>
      <c r="H2051" s="6" t="s">
        <v>12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41</v>
      </c>
      <c r="D2052" s="6" t="s">
        <v>54</v>
      </c>
      <c r="E2052" s="6">
        <v>5</v>
      </c>
      <c r="F2052" s="6">
        <v>3</v>
      </c>
      <c r="G2052" s="6" t="s">
        <v>9</v>
      </c>
      <c r="H2052" s="6" t="s">
        <v>17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12</v>
      </c>
      <c r="D2053" s="6" t="s">
        <v>14</v>
      </c>
      <c r="E2053" s="6">
        <v>5</v>
      </c>
      <c r="F2053" s="6">
        <v>3</v>
      </c>
      <c r="G2053" s="6" t="s">
        <v>8</v>
      </c>
      <c r="H2053" s="6" t="s">
        <v>10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54</v>
      </c>
      <c r="D2054" s="6" t="s">
        <v>17</v>
      </c>
      <c r="E2054" s="6">
        <v>5</v>
      </c>
      <c r="F2054" s="6">
        <v>2</v>
      </c>
      <c r="G2054" s="6" t="s">
        <v>9</v>
      </c>
      <c r="H2054" s="6" t="s">
        <v>41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26</v>
      </c>
      <c r="D2055" s="6" t="s">
        <v>12</v>
      </c>
      <c r="E2055" s="6">
        <v>5</v>
      </c>
      <c r="F2055" s="6">
        <v>2</v>
      </c>
      <c r="G2055" s="6" t="s">
        <v>14</v>
      </c>
      <c r="H2055" s="6" t="s">
        <v>10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8</v>
      </c>
      <c r="D2056" s="6" t="s">
        <v>41</v>
      </c>
      <c r="E2056" s="6">
        <v>6</v>
      </c>
      <c r="F2056" s="6">
        <v>1</v>
      </c>
      <c r="G2056" s="6" t="s">
        <v>14</v>
      </c>
      <c r="H2056" s="6" t="s">
        <v>10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8</v>
      </c>
      <c r="D2057" s="6" t="s">
        <v>12</v>
      </c>
      <c r="E2057" s="6">
        <v>5</v>
      </c>
      <c r="F2057" s="6">
        <v>1</v>
      </c>
      <c r="G2057" s="6" t="s">
        <v>10</v>
      </c>
      <c r="H2057" s="6" t="s">
        <v>17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26</v>
      </c>
      <c r="D2058" s="6" t="s">
        <v>17</v>
      </c>
      <c r="E2058" s="6">
        <v>6</v>
      </c>
      <c r="F2058" s="6">
        <v>3</v>
      </c>
      <c r="G2058" s="6" t="s">
        <v>12</v>
      </c>
      <c r="H2058" s="6" t="s">
        <v>54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10</v>
      </c>
      <c r="D2059" s="6" t="s">
        <v>41</v>
      </c>
      <c r="E2059" s="6">
        <v>5</v>
      </c>
      <c r="F2059" s="6">
        <v>1</v>
      </c>
      <c r="G2059" s="6" t="s">
        <v>8</v>
      </c>
      <c r="H2059" s="6" t="s">
        <v>14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26</v>
      </c>
      <c r="D2060" s="6" t="s">
        <v>54</v>
      </c>
      <c r="E2060" s="6">
        <v>5</v>
      </c>
      <c r="F2060" s="6">
        <v>3</v>
      </c>
      <c r="G2060" s="6" t="s">
        <v>9</v>
      </c>
      <c r="H2060" s="6" t="s">
        <v>17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12</v>
      </c>
      <c r="D2061" s="6" t="s">
        <v>41</v>
      </c>
      <c r="E2061" s="6">
        <v>3</v>
      </c>
      <c r="F2061" s="6">
        <v>6</v>
      </c>
      <c r="G2061" s="6" t="s">
        <v>14</v>
      </c>
      <c r="H2061" s="6" t="s">
        <v>10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12</v>
      </c>
      <c r="D2062" s="6" t="s">
        <v>10</v>
      </c>
      <c r="E2062" s="6">
        <v>3</v>
      </c>
      <c r="F2062" s="6">
        <v>6</v>
      </c>
      <c r="G2062" s="6" t="s">
        <v>14</v>
      </c>
      <c r="H2062" s="6" t="s">
        <v>41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26</v>
      </c>
      <c r="D2063" s="6" t="s">
        <v>17</v>
      </c>
      <c r="E2063" s="6">
        <v>6</v>
      </c>
      <c r="F2063" s="6">
        <v>1</v>
      </c>
      <c r="G2063" s="6" t="s">
        <v>54</v>
      </c>
      <c r="H2063" s="6" t="s">
        <v>8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54</v>
      </c>
      <c r="D2064" s="6" t="s">
        <v>17</v>
      </c>
      <c r="E2064" s="6">
        <v>5</v>
      </c>
      <c r="F2064" s="6">
        <v>4</v>
      </c>
      <c r="G2064" s="6" t="s">
        <v>8</v>
      </c>
      <c r="H2064" s="6" t="s">
        <v>26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41</v>
      </c>
      <c r="D2065" s="6" t="s">
        <v>27</v>
      </c>
      <c r="E2065" s="6">
        <v>7</v>
      </c>
      <c r="F2065" s="6">
        <v>4</v>
      </c>
      <c r="G2065" s="6" t="s">
        <v>12</v>
      </c>
      <c r="H2065" s="6" t="s">
        <v>14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8</v>
      </c>
      <c r="D2066" s="6" t="s">
        <v>17</v>
      </c>
      <c r="E2066" s="6">
        <v>4</v>
      </c>
      <c r="F2066" s="6">
        <v>6</v>
      </c>
      <c r="G2066" s="6" t="s">
        <v>10</v>
      </c>
      <c r="H2066" s="6" t="s">
        <v>54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12</v>
      </c>
      <c r="D2067" s="6" t="s">
        <v>17</v>
      </c>
      <c r="E2067" s="6">
        <v>6</v>
      </c>
      <c r="F2067" s="6">
        <v>3</v>
      </c>
      <c r="G2067" s="6" t="s">
        <v>8</v>
      </c>
      <c r="H2067" s="6" t="s">
        <v>10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8</v>
      </c>
      <c r="D2068" s="6" t="s">
        <v>17</v>
      </c>
      <c r="E2068" s="6">
        <v>5</v>
      </c>
      <c r="F2068" s="6">
        <v>1</v>
      </c>
      <c r="G2068" s="6" t="s">
        <v>12</v>
      </c>
      <c r="H2068" s="6" t="s">
        <v>10</v>
      </c>
      <c r="I2068" s="6">
        <f>TabJogos[[#This Row],[PontosTime1]]-TabJogos[[#This Row],[PontosTime2]]</f>
        <v>4</v>
      </c>
    </row>
    <row r="2069" spans="1:9" ht="15" customHeight="1" x14ac:dyDescent="0.25">
      <c r="I2069" s="6"/>
    </row>
    <row r="2070" spans="1:9" ht="15" customHeight="1" x14ac:dyDescent="0.25">
      <c r="I2070" s="6"/>
    </row>
    <row r="2071" spans="1:9" ht="15" customHeight="1" x14ac:dyDescent="0.25">
      <c r="I2071" s="6"/>
    </row>
    <row r="2072" spans="1:9" ht="15" customHeight="1" x14ac:dyDescent="0.25">
      <c r="I2072" s="6"/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17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90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50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40</v>
      </c>
      <c r="E2" s="3">
        <f t="shared" ref="E2:E28" ca="1" si="0">C2-D2</f>
        <v>10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8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49</v>
      </c>
      <c r="H2" s="4">
        <f t="shared" ref="H2:H28" ca="1" si="1">IFERROR(C2/B2,-0.000001)</f>
        <v>0.55555555555555558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55.555555555555557</v>
      </c>
      <c r="M2" s="15"/>
      <c r="N2" s="15"/>
    </row>
    <row r="3" spans="1:16" s="5" customFormat="1" ht="12.75" customHeight="1" x14ac:dyDescent="0.25">
      <c r="A3" s="3" t="s">
        <v>10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93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37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56</v>
      </c>
      <c r="E3" s="3">
        <f t="shared" ca="1" si="0"/>
        <v>-19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3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-68</v>
      </c>
      <c r="H3" s="4">
        <f t="shared" ca="1" si="1"/>
        <v>0.39784946236559138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39.784946236559136</v>
      </c>
      <c r="L3" s="12" t="s">
        <v>36</v>
      </c>
      <c r="M3" s="14">
        <f ca="1">IF(DAY(TODAY())&lt;=3,DATE(YEAR(TODAY()),MONTH(TODAY())-1,1),DATE(YEAR(TODAY()),MONTH(TODAY()),1))</f>
        <v>43374</v>
      </c>
    </row>
    <row r="4" spans="1:16" s="5" customFormat="1" ht="12.75" customHeight="1" x14ac:dyDescent="0.25">
      <c r="A4" s="3" t="s">
        <v>16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ca="1" si="0"/>
        <v>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ca="1" si="1"/>
        <v>-9.9999999999999995E-7</v>
      </c>
      <c r="I4" s="29">
        <f ca="1">IF(TabResultados3[[#This Row],[Jogos]]&lt;20,0,IF(TabResultados3[[#This Row],[Jogos]]&lt;=40,0.9+0.1*(TabResultados3[[#This Row],[Jogos]]-20)/20,1))</f>
        <v>0</v>
      </c>
      <c r="J4" s="22">
        <f ca="1">100*TabResultados3[[#This Row],[Aprov]]*TabResultados3[[#This Row],[KJogos]]</f>
        <v>0</v>
      </c>
      <c r="L4" s="12" t="s">
        <v>37</v>
      </c>
      <c r="M4" s="14">
        <f ca="1">EOMONTH(TODAY(),0)</f>
        <v>43404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83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42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41</v>
      </c>
      <c r="E5" s="3">
        <f t="shared" ca="1" si="0"/>
        <v>1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5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-11</v>
      </c>
      <c r="H5" s="4">
        <f t="shared" ca="1" si="1"/>
        <v>0.50602409638554213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50.602409638554214</v>
      </c>
      <c r="K5" s="30"/>
      <c r="M5" s="31"/>
      <c r="N5" s="31"/>
    </row>
    <row r="6" spans="1:16" s="5" customFormat="1" ht="12.75" customHeight="1" x14ac:dyDescent="0.25">
      <c r="A6" s="3" t="s">
        <v>8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16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8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8</v>
      </c>
      <c r="E6" s="3">
        <f t="shared" ca="1" si="0"/>
        <v>0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0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3</v>
      </c>
      <c r="H6" s="4">
        <f t="shared" ca="1" si="1"/>
        <v>0.5</v>
      </c>
      <c r="I6" s="29">
        <f ca="1">IF(TabResultados3[[#This Row],[Jogos]]&lt;20,0,IF(TabResultados3[[#This Row],[Jogos]]&lt;=40,0.9+0.1*(TabResultados3[[#This Row],[Jogos]]-20)/20,1))</f>
        <v>0</v>
      </c>
      <c r="J6" s="22">
        <f ca="1">100*TabResultados3[[#This Row],[Aprov]]*TabResultados3[[#This Row],[KJogos]]</f>
        <v>0</v>
      </c>
    </row>
    <row r="7" spans="1:16" s="5" customFormat="1" ht="12.75" customHeight="1" x14ac:dyDescent="0.25">
      <c r="A7" s="3" t="s">
        <v>12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87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42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45</v>
      </c>
      <c r="E7" s="3">
        <f t="shared" ca="1" si="0"/>
        <v>-3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5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-26</v>
      </c>
      <c r="H7" s="4">
        <f t="shared" ca="1" si="1"/>
        <v>0.48275862068965519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48.275862068965516</v>
      </c>
    </row>
    <row r="8" spans="1:16" s="5" customFormat="1" ht="12.75" customHeight="1" x14ac:dyDescent="0.25">
      <c r="A8" s="3" t="s">
        <v>27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37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23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14</v>
      </c>
      <c r="E8" s="3">
        <f t="shared" ca="1" si="0"/>
        <v>9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4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25</v>
      </c>
      <c r="H8" s="4">
        <f t="shared" ca="1" si="1"/>
        <v>0.6216216216216216</v>
      </c>
      <c r="I8" s="29">
        <f ca="1">IF(TabResultados3[[#This Row],[Jogos]]&lt;20,0,IF(TabResultados3[[#This Row],[Jogos]]&lt;=40,0.9+0.1*(TabResultados3[[#This Row],[Jogos]]-20)/20,1))</f>
        <v>0.98499999999999999</v>
      </c>
      <c r="J8" s="22">
        <f ca="1">100*TabResultados3[[#This Row],[Aprov]]*TabResultados3[[#This Row],[KJogos]]</f>
        <v>61.229729729729726</v>
      </c>
    </row>
    <row r="9" spans="1:16" s="5" customFormat="1" ht="12.75" customHeight="1" x14ac:dyDescent="0.25">
      <c r="A9" s="3" t="s">
        <v>38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0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0</v>
      </c>
      <c r="H9" s="4">
        <f t="shared" ca="1" si="1"/>
        <v>-9.9999999999999995E-7</v>
      </c>
      <c r="I9" s="29">
        <f ca="1">IF(TabResultados3[[#This Row],[Jogos]]&lt;20,0,IF(TabResultados3[[#This Row],[Jogos]]&lt;=40,0.9+0.1*(TabResultados3[[#This Row],[Jogos]]-20)/20,1))</f>
        <v>0</v>
      </c>
      <c r="J9" s="22">
        <f ca="1">100*TabResultados3[[#This Row],[Aprov]]*TabResultados3[[#This Row],[KJogos]]</f>
        <v>0</v>
      </c>
      <c r="K9" s="30"/>
      <c r="M9" s="31"/>
      <c r="N9" s="31"/>
    </row>
    <row r="10" spans="1:16" s="5" customFormat="1" ht="12.75" customHeight="1" x14ac:dyDescent="0.25">
      <c r="A10" s="3" t="s">
        <v>51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0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0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0</v>
      </c>
      <c r="E10" s="3">
        <f t="shared" ca="1" si="0"/>
        <v>0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0</v>
      </c>
      <c r="H10" s="4">
        <f t="shared" ca="1" si="1"/>
        <v>-9.9999999999999995E-7</v>
      </c>
      <c r="I10" s="29">
        <f ca="1">IF(TabResultados3[[#This Row],[Jogos]]&lt;20,0,IF(TabResultados3[[#This Row],[Jogos]]&lt;=40,0.9+0.1*(TabResultados3[[#This Row],[Jogos]]-20)/20,1))</f>
        <v>0</v>
      </c>
      <c r="J10" s="22">
        <f ca="1">100*TabResultados3[[#This Row],[Aprov]]*TabResultados3[[#This Row],[KJogos]]</f>
        <v>0</v>
      </c>
      <c r="K10" s="30"/>
      <c r="M10" s="31"/>
    </row>
    <row r="11" spans="1:16" s="5" customFormat="1" ht="12.75" customHeight="1" x14ac:dyDescent="0.25">
      <c r="A11" s="3" t="s">
        <v>9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35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14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21</v>
      </c>
      <c r="E11" s="3">
        <f t="shared" ca="1" si="0"/>
        <v>-7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3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-4</v>
      </c>
      <c r="H11" s="4">
        <f t="shared" ca="1" si="1"/>
        <v>0.4</v>
      </c>
      <c r="I11" s="29">
        <f ca="1">IF(TabResultados3[[#This Row],[Jogos]]&lt;20,0,IF(TabResultados3[[#This Row],[Jogos]]&lt;=40,0.9+0.1*(TabResultados3[[#This Row],[Jogos]]-20)/20,1))</f>
        <v>0.97499999999999998</v>
      </c>
      <c r="J11" s="22">
        <f ca="1">100*TabResultados3[[#This Row],[Aprov]]*TabResultados3[[#This Row],[KJogos]]</f>
        <v>39</v>
      </c>
    </row>
    <row r="12" spans="1:16" s="5" customFormat="1" ht="12.75" customHeight="1" x14ac:dyDescent="0.25">
      <c r="A12" s="3" t="s">
        <v>15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1</v>
      </c>
      <c r="E12" s="3">
        <f t="shared" ca="1" si="0"/>
        <v>-1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-5</v>
      </c>
      <c r="H12" s="4">
        <f t="shared" ca="1" si="1"/>
        <v>0</v>
      </c>
      <c r="I12" s="29">
        <f ca="1">IF(TabResultados3[[#This Row],[Jogos]]&lt;20,0,IF(TabResultados3[[#This Row],[Jogos]]&lt;=40,0.9+0.1*(TabResultados3[[#This Row],[Jogos]]-20)/20,1))</f>
        <v>0</v>
      </c>
      <c r="J12" s="22">
        <f ca="1">100*TabResultados3[[#This Row],[Aprov]]*TabResultados3[[#This Row],[KJogos]]</f>
        <v>0</v>
      </c>
      <c r="K12" s="30"/>
      <c r="M12" s="31"/>
      <c r="N12" s="31"/>
    </row>
    <row r="13" spans="1:16" s="5" customFormat="1" ht="12.75" customHeight="1" x14ac:dyDescent="0.25">
      <c r="A13" s="3" t="s">
        <v>11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16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6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10</v>
      </c>
      <c r="E13" s="3">
        <f t="shared" ca="1" si="0"/>
        <v>-4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0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-9</v>
      </c>
      <c r="H13" s="4">
        <f t="shared" ca="1" si="1"/>
        <v>0.375</v>
      </c>
      <c r="I13" s="29">
        <f ca="1">IF(TabResultados3[[#This Row],[Jogos]]&lt;20,0,IF(TabResultados3[[#This Row],[Jogos]]&lt;=40,0.9+0.1*(TabResultados3[[#This Row],[Jogos]]-20)/20,1))</f>
        <v>0</v>
      </c>
      <c r="J13" s="22">
        <f ca="1">100*TabResultados3[[#This Row],[Aprov]]*TabResultados3[[#This Row],[KJogos]]</f>
        <v>0</v>
      </c>
    </row>
    <row r="14" spans="1:16" s="5" customFormat="1" ht="12.75" customHeight="1" x14ac:dyDescent="0.25">
      <c r="A14" s="3" t="s">
        <v>26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37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20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17</v>
      </c>
      <c r="E14" s="3">
        <f t="shared" ca="1" si="0"/>
        <v>3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3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22</v>
      </c>
      <c r="H14" s="4">
        <f t="shared" ca="1" si="1"/>
        <v>0.54054054054054057</v>
      </c>
      <c r="I14" s="29">
        <f ca="1">IF(TabResultados3[[#This Row],[Jogos]]&lt;20,0,IF(TabResultados3[[#This Row],[Jogos]]&lt;=40,0.9+0.1*(TabResultados3[[#This Row],[Jogos]]-20)/20,1))</f>
        <v>0.98499999999999999</v>
      </c>
      <c r="J14" s="22">
        <f ca="1">100*TabResultados3[[#This Row],[Aprov]]*TabResultados3[[#This Row],[KJogos]]</f>
        <v>53.243243243243242</v>
      </c>
    </row>
    <row r="15" spans="1:16" s="5" customFormat="1" ht="12.75" customHeight="1" x14ac:dyDescent="0.25">
      <c r="A15" s="3" t="s">
        <v>24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ca="1" si="0"/>
        <v>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ca="1" si="1"/>
        <v>-9.9999999999999995E-7</v>
      </c>
      <c r="I15" s="29">
        <f ca="1">IF(TabResultados3[[#This Row],[Jogos]]&lt;20,0,IF(TabResultados3[[#This Row],[Jogos]]&lt;=40,0.9+0.1*(TabResultados3[[#This Row],[Jogos]]-20)/20,1))</f>
        <v>0</v>
      </c>
      <c r="J15" s="22">
        <f ca="1">100*TabResultados3[[#This Row],[Aprov]]*TabResultados3[[#This Row],[KJogos]]</f>
        <v>0</v>
      </c>
    </row>
    <row r="16" spans="1:16" s="5" customFormat="1" ht="12.75" customHeight="1" x14ac:dyDescent="0.25">
      <c r="A16" s="3" t="s">
        <v>49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ca="1" si="0"/>
        <v>0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ca="1" si="1"/>
        <v>-9.9999999999999995E-7</v>
      </c>
      <c r="I16" s="29">
        <f ca="1">IF(TabResultados3[[#This Row],[Jogos]]&lt;20,0,IF(TabResultados3[[#This Row],[Jogos]]&lt;=40,0.9+0.1*(TabResultados3[[#This Row],[Jogos]]-20)/20,1))</f>
        <v>0</v>
      </c>
      <c r="J16" s="22">
        <f ca="1">100*TabResultados3[[#This Row],[Aprov]]*TabResultados3[[#This Row],[KJogos]]</f>
        <v>0</v>
      </c>
    </row>
    <row r="17" spans="1:15" s="5" customFormat="1" ht="12.75" customHeight="1" x14ac:dyDescent="0.25">
      <c r="A17" s="3" t="s">
        <v>25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0</v>
      </c>
      <c r="E17" s="3">
        <f t="shared" ca="1" si="0"/>
        <v>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 t="shared" ca="1" si="1"/>
        <v>-9.9999999999999995E-7</v>
      </c>
      <c r="I17" s="29">
        <f ca="1">IF(TabResultados3[[#This Row],[Jogos]]&lt;20,0,IF(TabResultados3[[#This Row],[Jogos]]&lt;=40,0.9+0.1*(TabResultados3[[#This Row],[Jogos]]-20)/20,1))</f>
        <v>0</v>
      </c>
      <c r="J17" s="22">
        <f ca="1">100*TabResultados3[[#This Row],[Aprov]]*TabResultados3[[#This Row],[KJogos]]</f>
        <v>0</v>
      </c>
    </row>
    <row r="18" spans="1:15" s="5" customFormat="1" ht="12.75" customHeight="1" x14ac:dyDescent="0.25">
      <c r="A18" s="3" t="s">
        <v>39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0</v>
      </c>
      <c r="E18" s="3">
        <f t="shared" ca="1" si="0"/>
        <v>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0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0</v>
      </c>
      <c r="H18" s="4">
        <f t="shared" ca="1" si="1"/>
        <v>-9.9999999999999995E-7</v>
      </c>
      <c r="I18" s="29">
        <f ca="1">IF(TabResultados3[[#This Row],[Jogos]]&lt;20,0,IF(TabResultados3[[#This Row],[Jogos]]&lt;=40,0.9+0.1*(TabResultados3[[#This Row],[Jogos]]-20)/20,1))</f>
        <v>0</v>
      </c>
      <c r="J18" s="22">
        <f ca="1">100*TabResultados3[[#This Row],[Aprov]]*TabResultados3[[#This Row],[KJogos]]</f>
        <v>0</v>
      </c>
    </row>
    <row r="19" spans="1:15" s="5" customFormat="1" ht="12.75" customHeight="1" x14ac:dyDescent="0.25">
      <c r="A19" s="3" t="s">
        <v>41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72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39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33</v>
      </c>
      <c r="E19" s="3">
        <f t="shared" ca="1" si="0"/>
        <v>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7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14</v>
      </c>
      <c r="H19" s="4">
        <f t="shared" ca="1" si="1"/>
        <v>0.54166666666666663</v>
      </c>
      <c r="I19" s="29">
        <f ca="1">IF(TabResultados3[[#This Row],[Jogos]]&lt;20,0,IF(TabResultados3[[#This Row],[Jogos]]&lt;=40,0.9+0.1*(TabResultados3[[#This Row],[Jogos]]-20)/20,1))</f>
        <v>1</v>
      </c>
      <c r="J19" s="22">
        <f ca="1">100*TabResultados3[[#This Row],[Aprov]]*TabResultados3[[#This Row],[KJogos]]</f>
        <v>54.166666666666664</v>
      </c>
    </row>
    <row r="20" spans="1:15" s="5" customFormat="1" ht="12.75" customHeight="1" x14ac:dyDescent="0.25">
      <c r="A20" s="3" t="s">
        <v>13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ca="1" si="0"/>
        <v>0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ca="1" si="1"/>
        <v>-9.9999999999999995E-7</v>
      </c>
      <c r="I20" s="29">
        <f ca="1">IF(TabResultados3[[#This Row],[Jogos]]&lt;20,0,IF(TabResultados3[[#This Row],[Jogos]]&lt;=40,0.9+0.1*(TabResultados3[[#This Row],[Jogos]]-20)/20,1))</f>
        <v>0</v>
      </c>
      <c r="J20" s="22">
        <f ca="1">100*TabResultados3[[#This Row],[Aprov]]*TabResultados3[[#This Row],[KJogos]]</f>
        <v>0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ca="1" si="0"/>
        <v>0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ca="1" si="1"/>
        <v>-9.9999999999999995E-7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22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ca="1" si="0"/>
        <v>0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ca="1" si="1"/>
        <v>-9.9999999999999995E-7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ca="1" si="1"/>
        <v>-9.9999999999999995E-7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19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ca="1" si="0"/>
        <v>0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ca="1" si="1"/>
        <v>-9.9999999999999995E-7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20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ca="1" si="0"/>
        <v>0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ca="1" si="1"/>
        <v>-9.9999999999999995E-7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18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ca="1" si="0"/>
        <v>0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ca="1" si="1"/>
        <v>-9.9999999999999995E-7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42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ca="1" si="0"/>
        <v>0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ca="1" si="1"/>
        <v>-9.9999999999999995E-7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40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ca="1" si="0"/>
        <v>0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ca="1" si="1"/>
        <v>-9.9999999999999995E-7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/>
      <c r="B29" s="3"/>
      <c r="C29" s="3"/>
      <c r="D29" s="3"/>
      <c r="E29" s="3"/>
      <c r="F29" s="17"/>
      <c r="G29" s="3"/>
      <c r="H29" s="4"/>
      <c r="I29" s="33"/>
      <c r="J29" s="20"/>
      <c r="K29" s="5"/>
      <c r="L29" s="5"/>
      <c r="M29" s="5"/>
      <c r="N29" s="5"/>
      <c r="O29" s="5"/>
    </row>
    <row r="30" spans="1:15" s="8" customFormat="1" ht="12.75" customHeight="1" x14ac:dyDescent="0.25">
      <c r="A30" s="3"/>
      <c r="B30" s="3"/>
      <c r="C30" s="3"/>
      <c r="D30" s="3"/>
      <c r="E30" s="3"/>
      <c r="F30" s="17"/>
      <c r="G30" s="3"/>
      <c r="H30" s="4"/>
      <c r="I30" s="33"/>
      <c r="J30" s="20"/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2018-10-15T18:25:48Z</dcterms:modified>
</cp:coreProperties>
</file>
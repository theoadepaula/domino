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OneDrive\Data Science\Projetos\Dominó\"/>
    </mc:Choice>
  </mc:AlternateContent>
  <xr:revisionPtr revIDLastSave="0" documentId="8_{FAB87D3D-7610-4C97-976D-9BED97BFBA31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<sst xmlns="http://schemas.openxmlformats.org/spreadsheetml/2006/main" count="6904" uniqueCount="55">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</sst>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71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715"/>
  <sheetViews>
    <sheetView tabSelected="1" zoomScale="80" zoomScaleNormal="80" workbookViewId="0">
      <pane ySplit="1" topLeftCell="A1691" activePane="bottomLeft" state="frozenSplit"/>
      <selection activeCell="D1" sqref="D1 D1"/>
      <selection pane="bottomLeft" activeCell="I1715" sqref="I1715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18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10</v>
      </c>
      <c r="E2" s="3">
        <f t="shared" ref="E2:E28" ca="1" si="0">C2-D2</f>
        <v>-2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0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-5</v>
      </c>
      <c r="H2" s="4">
        <f t="shared" ref="H2:H28" ca="1" si="1">IFERROR(C2/B2,-0.000001)</f>
        <v>0.44444444444444442</v>
      </c>
      <c r="I2" s="29">
        <f ca="1">IF(TabResultados3[[#This Row],[Jogos]]&lt;20,0,IF(TabResultados3[[#This Row],[Jogos]]&lt;=40,0.9+0.1*(TabResultados3[[#This Row],[Jogos]]-20)/20,1))</f>
        <v>0</v>
      </c>
      <c r="J2" s="22">
        <f ca="1">100*TabResultados3[[#This Row],[Aprov]]*TabResultados3[[#This Row],[KJogos]]</f>
        <v>0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18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12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6</v>
      </c>
      <c r="E3" s="3">
        <f t="shared" ca="1" si="0"/>
        <v>6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18</v>
      </c>
      <c r="H3" s="4">
        <f t="shared" ca="1" si="1"/>
        <v>0.66666666666666663</v>
      </c>
      <c r="I3" s="29">
        <f ca="1">IF(TabResultados3[[#This Row],[Jogos]]&lt;20,0,IF(TabResultados3[[#This Row],[Jogos]]&lt;=40,0.9+0.1*(TabResultados3[[#This Row],[Jogos]]-20)/20,1))</f>
        <v>0</v>
      </c>
      <c r="J3" s="22">
        <f ca="1">100*TabResultados3[[#This Row],[Aprov]]*TabResultados3[[#This Row],[KJogos]]</f>
        <v>0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5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2</v>
      </c>
      <c r="E5" s="3">
        <f t="shared" ca="1" si="0"/>
        <v>3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2</v>
      </c>
      <c r="H5" s="4">
        <f t="shared" ca="1" si="1"/>
        <v>0.7142857142857143</v>
      </c>
      <c r="I5" s="29">
        <f ca="1">IF(TabResultados3[[#This Row],[Jogos]]&lt;20,0,IF(TabResultados3[[#This Row],[Jogos]]&lt;=40,0.9+0.1*(TabResultados3[[#This Row],[Jogos]]-20)/20,1))</f>
        <v>0</v>
      </c>
      <c r="J5" s="22">
        <f ca="1">100*TabResultados3[[#This Row],[Aprov]]*TabResultados3[[#This Row],[KJogos]]</f>
        <v>0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3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2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</v>
      </c>
      <c r="E6" s="3">
        <f t="shared" ca="1" si="0"/>
        <v>1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3</v>
      </c>
      <c r="H6" s="4">
        <f t="shared" ca="1" si="1"/>
        <v>0.66666666666666663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8</v>
      </c>
      <c r="E7" s="3">
        <f t="shared" ca="1" si="0"/>
        <v>-2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-6</v>
      </c>
      <c r="H7" s="4">
        <f t="shared" ca="1" si="1"/>
        <v>0.42857142857142855</v>
      </c>
      <c r="I7" s="29">
        <f ca="1">IF(TabResultados3[[#This Row],[Jogos]]&lt;20,0,IF(TabResultados3[[#This Row],[Jogos]]&lt;=40,0.9+0.1*(TabResultados3[[#This Row],[Jogos]]-20)/20,1))</f>
        <v>0</v>
      </c>
      <c r="J7" s="22">
        <f ca="1">100*TabResultados3[[#This Row],[Aprov]]*TabResultados3[[#This Row],[KJogos]]</f>
        <v>0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4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0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4</v>
      </c>
      <c r="E8" s="3">
        <f t="shared" ca="1" si="0"/>
        <v>-4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0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-9</v>
      </c>
      <c r="H8" s="4">
        <f t="shared" ca="1" si="1"/>
        <v>0</v>
      </c>
      <c r="I8" s="29">
        <f ca="1">IF(TabResultados3[[#This Row],[Jogos]]&lt;20,0,IF(TabResultados3[[#This Row],[Jogos]]&lt;=40,0.9+0.1*(TabResultados3[[#This Row],[Jogos]]-20)/20,1))</f>
        <v>0</v>
      </c>
      <c r="J8" s="22">
        <f ca="1">100*TabResultados3[[#This Row],[Aprov]]*TabResultados3[[#This Row],[KJogos]]</f>
        <v>0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2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1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1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0.5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7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2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0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-9</v>
      </c>
      <c r="H11" s="4">
        <f t="shared" ca="1" si="1"/>
        <v>0.2857142857142857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3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2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</v>
      </c>
      <c r="E13" s="3">
        <f t="shared" ca="1" si="0"/>
        <v>1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2</v>
      </c>
      <c r="H13" s="4">
        <f t="shared" ca="1" si="1"/>
        <v>0.66666666666666663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</v>
      </c>
      <c r="E14" s="3">
        <f t="shared" ca="1" si="0"/>
        <v>3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9</v>
      </c>
      <c r="H14" s="4">
        <f t="shared" ca="1" si="1"/>
        <v>0.8</v>
      </c>
      <c r="I14" s="29">
        <f ca="1">IF(TabResultados3[[#This Row],[Jogos]]&lt;20,0,IF(TabResultados3[[#This Row],[Jogos]]&lt;=40,0.9+0.1*(TabResultados3[[#This Row],[Jogos]]-20)/20,1))</f>
        <v>0</v>
      </c>
      <c r="J14" s="22">
        <f ca="1">100*TabResultados3[[#This Row],[Aprov]]*TabResultados3[[#This Row],[KJogos]]</f>
        <v>0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0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2</v>
      </c>
      <c r="E19" s="3">
        <f t="shared" ca="1" si="0"/>
        <v>-2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-8</v>
      </c>
      <c r="H19" s="4">
        <f t="shared" ca="1" si="1"/>
        <v>0</v>
      </c>
      <c r="I19" s="29">
        <f ca="1">IF(TabResultados3[[#This Row],[Jogos]]&lt;20,0,IF(TabResultados3[[#This Row],[Jogos]]&lt;=40,0.9+0.1*(TabResultados3[[#This Row],[Jogos]]-20)/20,1))</f>
        <v>0</v>
      </c>
      <c r="J19" s="22">
        <f ca="1">100*TabResultados3[[#This Row],[Aprov]]*TabResultados3[[#This Row],[KJogos]]</f>
        <v>0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2018-09-04T17:47:10Z</dcterms:modified>
</cp:coreProperties>
</file>
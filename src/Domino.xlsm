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1A3595B-8143-4F80-A08B-6FE105E872D9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<sst xmlns="http://schemas.openxmlformats.org/spreadsheetml/2006/main" count="8620" uniqueCount="56">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</sst>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14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144"/>
  <sheetViews>
    <sheetView tabSelected="1" zoomScale="80" zoomScaleNormal="80" workbookViewId="0">
      <pane ySplit="1" topLeftCell="A2107" activePane="bottomLeft" state="frozenSplit"/>
      <selection activeCell="D1" sqref="D1 D1"/>
      <selection pane="bottomLeft" activeCell="A2144" sqref="A214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130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70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60</v>
      </c>
      <c r="E2" s="3">
        <f t="shared" ref="E2:E28" ca="1" si="0">C2-D2</f>
        <v>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53</v>
      </c>
      <c r="H2" s="4">
        <f t="shared" ref="H2:H28" ca="1" si="1">IFERROR(C2/B2,-0.000001)</f>
        <v>0.53846153846153844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53.846153846153847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130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58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72</v>
      </c>
      <c r="E3" s="3">
        <f t="shared" ca="1" si="0"/>
        <v>-14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-69</v>
      </c>
      <c r="H3" s="4">
        <f t="shared" ca="1" si="1"/>
        <v>0.44615384615384618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44.61538461538462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54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66</v>
      </c>
      <c r="E5" s="3">
        <f t="shared" ca="1" si="0"/>
        <v>-12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-62</v>
      </c>
      <c r="H5" s="4">
        <f t="shared" ca="1" si="1"/>
        <v>0.45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45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49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27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-3</v>
      </c>
      <c r="H6" s="4">
        <f t="shared" ca="1" si="1"/>
        <v>0.44897959183673469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44.897959183673471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126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67</v>
      </c>
      <c r="E7" s="3">
        <f t="shared" ca="1" si="0"/>
        <v>-8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-45</v>
      </c>
      <c r="H7" s="4">
        <f t="shared" ca="1" si="1"/>
        <v>0.46825396825396826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46.825396825396822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23</v>
      </c>
      <c r="E8" s="3">
        <f t="shared" ca="1" si="0"/>
        <v>11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25</v>
      </c>
      <c r="H8" s="4">
        <f t="shared" ca="1" si="1"/>
        <v>0.59649122807017541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59.649122807017541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52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24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28</v>
      </c>
      <c r="E11" s="3">
        <f t="shared" ca="1" si="0"/>
        <v>-4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5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14</v>
      </c>
      <c r="H11" s="4">
        <f t="shared" ca="1" si="1"/>
        <v>0.46153846153846156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46.153846153846153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13</v>
      </c>
      <c r="E13" s="3">
        <f t="shared" ca="1" si="0"/>
        <v>-5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-11</v>
      </c>
      <c r="H13" s="4">
        <f t="shared" ca="1" si="1"/>
        <v>0.38095238095238093</v>
      </c>
      <c r="I13" s="29">
        <f ca="1">IF(TabResultados3[[#This Row],[Jogos]]&lt;20,0,IF(TabResultados3[[#This Row],[Jogos]]&lt;=40,0.9+0.1*(TabResultados3[[#This Row],[Jogos]]-20)/20,1))</f>
        <v>0.90500000000000003</v>
      </c>
      <c r="J13" s="22">
        <f ca="1">100*TabResultados3[[#This Row],[Aprov]]*TabResultados3[[#This Row],[KJogos]]</f>
        <v>34.476190476190474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</v>
      </c>
      <c r="E14" s="3">
        <f t="shared" ca="1" si="0"/>
        <v>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67</v>
      </c>
      <c r="H14" s="4">
        <f t="shared" ca="1" si="1"/>
        <v>0.64516129032258063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64.516129032258064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109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60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49</v>
      </c>
      <c r="E19" s="3">
        <f t="shared" ca="1" si="0"/>
        <v>11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10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42</v>
      </c>
      <c r="H19" s="4">
        <f t="shared" ca="1" si="1"/>
        <v>0.55045871559633031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55.045871559633028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2018-10-19T18:23:58Z</dcterms:modified>
</cp:coreProperties>
</file>
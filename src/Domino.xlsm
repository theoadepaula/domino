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C74203BB-8177-4E26-8DCA-770C523A6C0E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215" i="3" l="1"/>
  <c r="I4216" i="3"/>
  <c r="I4217" i="3"/>
  <c r="I4218" i="3"/>
  <c r="I4219" i="3"/>
  <c r="I4220" i="3"/>
  <c r="I4221" i="3"/>
  <c r="I4222" i="3"/>
  <c r="I4223" i="3"/>
  <c r="I4224" i="3"/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<sst xmlns="http://schemas.openxmlformats.org/spreadsheetml/2006/main" count="16942" uniqueCount="63">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</sst>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224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224"/>
  <sheetViews>
    <sheetView tabSelected="1" zoomScaleNormal="100" workbookViewId="0">
      <pane ySplit="1" topLeftCell="A4200" activePane="bottomLeft" state="frozenSplit"/>
      <selection activeCell="D1" sqref="D1 D1"/>
      <selection pane="bottomLeft" activeCell="A4224" sqref="A4224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  <row r="4215" spans="1:9" ht="15" customHeight="1" x14ac:dyDescent="0.25">
      <c r="A4215" s="7">
        <v>4214</v>
      </c>
      <c r="B4215" s="1">
        <v>43703</v>
      </c>
      <c r="C4215" s="6" t="s">
        <v>32</v>
      </c>
      <c r="D4215" s="6" t="s">
        <v>11</v>
      </c>
      <c r="E4215" s="6">
        <v>3</v>
      </c>
      <c r="F4215" s="6">
        <v>1</v>
      </c>
      <c r="G4215" s="6" t="s">
        <v>13</v>
      </c>
      <c r="H4215" s="6" t="s">
        <v>18</v>
      </c>
      <c r="I4215" s="6">
        <f>TabJogos[[#This Row],[PontosTime1]]-TabJogos[[#This Row],[PontosTime2]]</f>
        <v>2</v>
      </c>
    </row>
    <row r="4216" spans="1:9" ht="15" customHeight="1" x14ac:dyDescent="0.25">
      <c r="A4216" s="7">
        <v>4215</v>
      </c>
      <c r="B4216" s="1">
        <v>43703</v>
      </c>
      <c r="C4216" s="6" t="s">
        <v>11</v>
      </c>
      <c r="D4216" s="6" t="s">
        <v>18</v>
      </c>
      <c r="E4216" s="6">
        <v>3</v>
      </c>
      <c r="F4216" s="6">
        <v>1</v>
      </c>
      <c r="G4216" s="6" t="s">
        <v>13</v>
      </c>
      <c r="H4216" s="6" t="s">
        <v>32</v>
      </c>
      <c r="I4216" s="6">
        <f>TabJogos[[#This Row],[PontosTime1]]-TabJogos[[#This Row],[PontosTime2]]</f>
        <v>2</v>
      </c>
    </row>
    <row r="4217" spans="1:9" ht="15" customHeight="1" x14ac:dyDescent="0.25">
      <c r="A4217" s="7">
        <v>4216</v>
      </c>
      <c r="B4217" s="1">
        <v>43703</v>
      </c>
      <c r="C4217" s="6" t="s">
        <v>11</v>
      </c>
      <c r="D4217" s="6" t="s">
        <v>41</v>
      </c>
      <c r="E4217" s="6">
        <v>1</v>
      </c>
      <c r="F4217" s="6">
        <v>3</v>
      </c>
      <c r="G4217" s="6" t="s">
        <v>32</v>
      </c>
      <c r="H4217" s="6" t="s">
        <v>18</v>
      </c>
      <c r="I4217" s="6">
        <f>TabJogos[[#This Row],[PontosTime1]]-TabJogos[[#This Row],[PontosTime2]]</f>
        <v>-2</v>
      </c>
    </row>
    <row r="4218" spans="1:9" ht="15" customHeight="1" x14ac:dyDescent="0.25">
      <c r="A4218" s="7">
        <v>4217</v>
      </c>
      <c r="B4218" s="1">
        <v>43703</v>
      </c>
      <c r="C4218" s="6" t="s">
        <v>16</v>
      </c>
      <c r="D4218" s="6" t="s">
        <v>32</v>
      </c>
      <c r="E4218" s="6">
        <v>5</v>
      </c>
      <c r="F4218" s="6">
        <v>1</v>
      </c>
      <c r="G4218" s="6" t="s">
        <v>13</v>
      </c>
      <c r="H4218" s="6" t="s">
        <v>18</v>
      </c>
      <c r="I4218" s="6">
        <f>TabJogos[[#This Row],[PontosTime1]]-TabJogos[[#This Row],[PontosTime2]]</f>
        <v>4</v>
      </c>
    </row>
    <row r="4219" spans="1:9" ht="15" customHeight="1" x14ac:dyDescent="0.25">
      <c r="A4219" s="7">
        <v>4218</v>
      </c>
      <c r="B4219" s="1">
        <v>43703</v>
      </c>
      <c r="C4219" s="6" t="s">
        <v>16</v>
      </c>
      <c r="D4219" s="6" t="s">
        <v>11</v>
      </c>
      <c r="E4219" s="6">
        <v>3</v>
      </c>
      <c r="F4219" s="6">
        <v>0</v>
      </c>
      <c r="G4219" s="6" t="s">
        <v>41</v>
      </c>
      <c r="H4219" s="6" t="s">
        <v>32</v>
      </c>
      <c r="I4219" s="6">
        <f>TabJogos[[#This Row],[PontosTime1]]-TabJogos[[#This Row],[PontosTime2]]</f>
        <v>3</v>
      </c>
    </row>
    <row r="4220" spans="1:9" ht="15" customHeight="1" x14ac:dyDescent="0.25">
      <c r="A4220" s="7">
        <v>4219</v>
      </c>
      <c r="B4220" s="1">
        <v>43703</v>
      </c>
      <c r="C4220" s="6" t="s">
        <v>16</v>
      </c>
      <c r="D4220" s="6" t="s">
        <v>18</v>
      </c>
      <c r="E4220" s="6">
        <v>3</v>
      </c>
      <c r="F4220" s="6">
        <v>2</v>
      </c>
      <c r="G4220" s="6" t="s">
        <v>11</v>
      </c>
      <c r="H4220" s="6" t="s">
        <v>13</v>
      </c>
      <c r="I4220" s="6">
        <f>TabJogos[[#This Row],[PontosTime1]]-TabJogos[[#This Row],[PontosTime2]]</f>
        <v>1</v>
      </c>
    </row>
    <row r="4221" spans="1:9" ht="15" customHeight="1" x14ac:dyDescent="0.25">
      <c r="A4221" s="7">
        <v>4220</v>
      </c>
      <c r="B4221" s="1">
        <v>43703</v>
      </c>
      <c r="C4221" s="6" t="s">
        <v>16</v>
      </c>
      <c r="D4221" s="6" t="s">
        <v>41</v>
      </c>
      <c r="E4221" s="6">
        <v>0</v>
      </c>
      <c r="F4221" s="6">
        <v>3</v>
      </c>
      <c r="G4221" s="6" t="s">
        <v>32</v>
      </c>
      <c r="H4221" s="6" t="s">
        <v>18</v>
      </c>
      <c r="I4221" s="6">
        <f>TabJogos[[#This Row],[PontosTime1]]-TabJogos[[#This Row],[PontosTime2]]</f>
        <v>-3</v>
      </c>
    </row>
    <row r="4222" spans="1:9" ht="15" customHeight="1" x14ac:dyDescent="0.25">
      <c r="A4222" s="7">
        <v>4221</v>
      </c>
      <c r="B4222" s="1">
        <v>43703</v>
      </c>
      <c r="C4222" s="6" t="s">
        <v>11</v>
      </c>
      <c r="D4222" s="6" t="s">
        <v>32</v>
      </c>
      <c r="E4222" s="6">
        <v>1</v>
      </c>
      <c r="F4222" s="6">
        <v>3</v>
      </c>
      <c r="G4222" s="6" t="s">
        <v>13</v>
      </c>
      <c r="H4222" s="6" t="s">
        <v>11</v>
      </c>
      <c r="I4222" s="6">
        <f>TabJogos[[#This Row],[PontosTime1]]-TabJogos[[#This Row],[PontosTime2]]</f>
        <v>-2</v>
      </c>
    </row>
    <row r="4223" spans="1:9" ht="15" customHeight="1" x14ac:dyDescent="0.25">
      <c r="A4223" s="7">
        <v>4222</v>
      </c>
      <c r="B4223" s="1">
        <v>43703</v>
      </c>
      <c r="C4223" s="6" t="s">
        <v>32</v>
      </c>
      <c r="D4223" s="6" t="s">
        <v>13</v>
      </c>
      <c r="E4223" s="6">
        <v>3</v>
      </c>
      <c r="F4223" s="6">
        <v>2</v>
      </c>
      <c r="G4223" s="6" t="s">
        <v>18</v>
      </c>
      <c r="H4223" s="6" t="s">
        <v>41</v>
      </c>
      <c r="I4223" s="6">
        <f>TabJogos[[#This Row],[PontosTime1]]-TabJogos[[#This Row],[PontosTime2]]</f>
        <v>1</v>
      </c>
    </row>
    <row r="4224" spans="1:9" ht="15" customHeight="1" x14ac:dyDescent="0.25">
      <c r="A4224" s="7">
        <v>4223</v>
      </c>
      <c r="B4224" s="1">
        <v>43703</v>
      </c>
      <c r="C4224" s="6" t="s">
        <v>11</v>
      </c>
      <c r="D4224" s="6" t="s">
        <v>13</v>
      </c>
      <c r="E4224" s="6">
        <v>1</v>
      </c>
      <c r="F4224" s="6">
        <v>5</v>
      </c>
      <c r="G4224" s="6" t="s">
        <v>18</v>
      </c>
      <c r="H4224" s="6" t="s">
        <v>32</v>
      </c>
      <c r="I4224" s="6">
        <f>TabJogos[[#This Row],[PontosTime1]]-TabJogos[[#This Row],[PontosTime2]]</f>
        <v>-4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783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426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357</v>
      </c>
      <c r="E3" s="3">
        <f t="shared" ca="1" si="0"/>
        <v>69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68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157</v>
      </c>
      <c r="H3" s="4">
        <f t="shared" ca="1" si="1"/>
        <v>0.54406130268199238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54.406130268199234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732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399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333</v>
      </c>
      <c r="E4" s="3">
        <f t="shared" ca="1" si="0"/>
        <v>66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94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185</v>
      </c>
      <c r="H4" s="4">
        <f t="shared" ca="1" si="1"/>
        <v>0.54508196721311475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54.508196721311478</v>
      </c>
      <c r="L4" s="12" t="s">
        <v>54</v>
      </c>
      <c r="M4" s="14">
        <f ca="1">EOMONTH(TODAY(),0)</f>
        <v>43708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1338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700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638</v>
      </c>
      <c r="E6" s="3">
        <f t="shared" ca="1" si="0"/>
        <v>62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129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128</v>
      </c>
      <c r="H6" s="4">
        <f t="shared" ca="1" si="1"/>
        <v>0.52316890881913303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52.316890881913302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393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194</v>
      </c>
      <c r="E7" s="3">
        <f t="shared" ca="1" si="0"/>
        <v>5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38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22</v>
      </c>
      <c r="H7" s="4">
        <f t="shared" ca="1" si="1"/>
        <v>0.50636132315521631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50.636132315521628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2667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1402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1265</v>
      </c>
      <c r="E8" s="3">
        <f t="shared" ca="1" si="0"/>
        <v>137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262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476</v>
      </c>
      <c r="H8" s="4">
        <f t="shared" ca="1" si="1"/>
        <v>0.52568428946381707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52.568428946381708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2254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1144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1110</v>
      </c>
      <c r="E9" s="3">
        <f t="shared" ca="1" si="0"/>
        <v>34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216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120</v>
      </c>
      <c r="H9" s="4">
        <f t="shared" ca="1" si="1"/>
        <v>0.50754214729370006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50.754214729370005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978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480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498</v>
      </c>
      <c r="E10" s="3">
        <f t="shared" ca="1" si="0"/>
        <v>-18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79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-67</v>
      </c>
      <c r="H10" s="4">
        <f t="shared" ca="1" si="1"/>
        <v>0.49079754601226994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49.079754601226995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1152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569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583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119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-27</v>
      </c>
      <c r="H12" s="4">
        <f t="shared" ca="1" si="1"/>
        <v>0.4939236111111111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49.392361111111107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740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361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379</v>
      </c>
      <c r="E14" s="3">
        <f t="shared" ca="1" si="0"/>
        <v>-18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92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-46</v>
      </c>
      <c r="H14" s="4">
        <f t="shared" ca="1" si="1"/>
        <v>0.48783783783783785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48.783783783783782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2416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1054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1362</v>
      </c>
      <c r="E17" s="3">
        <f t="shared" ca="1" si="0"/>
        <v>-308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208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-1046</v>
      </c>
      <c r="H17" s="4">
        <f t="shared" ca="1" si="1"/>
        <v>0.43625827814569534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43.625827814569533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516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224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292</v>
      </c>
      <c r="E18" s="3">
        <f t="shared" ca="1" si="0"/>
        <v>-68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-205</v>
      </c>
      <c r="H18" s="4">
        <f t="shared" ca="1" si="1"/>
        <v>0.43410852713178294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43.410852713178294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2019-08-26T19:07:22Z</dcterms:modified>
  <cp:category/>
  <cp:contentStatus/>
</cp:coreProperties>
</file>
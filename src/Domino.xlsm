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65547C48-BBBC-4D0A-AD2D-855822E5767E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<sst xmlns="http://schemas.openxmlformats.org/spreadsheetml/2006/main" count="8224" uniqueCount="56">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</sst>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04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046"/>
  <sheetViews>
    <sheetView tabSelected="1" zoomScale="80" zoomScaleNormal="80" workbookViewId="0">
      <pane ySplit="1" topLeftCell="A2006" activePane="bottomLeft" state="frozenSplit"/>
      <selection activeCell="D1" sqref="D1 D1"/>
      <selection pane="bottomLeft" activeCell="I2045" sqref="I204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I2046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76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43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33</v>
      </c>
      <c r="E2" s="3">
        <f t="shared" ref="E2:E28" ca="1" si="0">C2-D2</f>
        <v>10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8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45</v>
      </c>
      <c r="H2" s="4">
        <f t="shared" ref="H2:H28" ca="1" si="1">IFERROR(C2/B2,-0.000001)</f>
        <v>0.56578947368421051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56.578947368421048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80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47</v>
      </c>
      <c r="E3" s="3">
        <f t="shared" ca="1" si="0"/>
        <v>-14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-50</v>
      </c>
      <c r="H3" s="4">
        <f t="shared" ca="1" si="1"/>
        <v>0.41249999999999998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41.25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74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36</v>
      </c>
      <c r="E5" s="3">
        <f t="shared" ca="1" si="0"/>
        <v>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-3</v>
      </c>
      <c r="H5" s="4">
        <f t="shared" ca="1" si="1"/>
        <v>0.51351351351351349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51.351351351351347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</v>
      </c>
      <c r="E6" s="3">
        <f t="shared" ca="1" si="0"/>
        <v>-1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-4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75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37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38</v>
      </c>
      <c r="E7" s="3">
        <f t="shared" ca="1" si="0"/>
        <v>-1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-21</v>
      </c>
      <c r="H7" s="4">
        <f t="shared" ca="1" si="1"/>
        <v>0.49333333333333335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49.333333333333336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14</v>
      </c>
      <c r="E8" s="3">
        <f t="shared" ca="1" si="0"/>
        <v>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22</v>
      </c>
      <c r="H8" s="4">
        <f t="shared" ca="1" si="1"/>
        <v>0.61111111111111116</v>
      </c>
      <c r="I8" s="29">
        <f ca="1">IF(TabResultados3[[#This Row],[Jogos]]&lt;20,0,IF(TabResultados3[[#This Row],[Jogos]]&lt;=40,0.9+0.1*(TabResultados3[[#This Row],[Jogos]]-20)/20,1))</f>
        <v>0.98</v>
      </c>
      <c r="J8" s="22">
        <f ca="1">100*TabResultados3[[#This Row],[Aprov]]*TabResultados3[[#This Row],[KJogos]]</f>
        <v>59.888888888888893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28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17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-4</v>
      </c>
      <c r="H11" s="4">
        <f t="shared" ca="1" si="1"/>
        <v>0.39285714285714285</v>
      </c>
      <c r="I11" s="29">
        <f ca="1">IF(TabResultados3[[#This Row],[Jogos]]&lt;20,0,IF(TabResultados3[[#This Row],[Jogos]]&lt;=40,0.9+0.1*(TabResultados3[[#This Row],[Jogos]]-20)/20,1))</f>
        <v>0.94000000000000006</v>
      </c>
      <c r="J11" s="22">
        <f ca="1">100*TabResultados3[[#This Row],[Aprov]]*TabResultados3[[#This Row],[KJogos]]</f>
        <v>36.928571428571431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16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6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10</v>
      </c>
      <c r="E13" s="3">
        <f t="shared" ca="1" si="0"/>
        <v>-4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-9</v>
      </c>
      <c r="H13" s="4">
        <f t="shared" ca="1" si="1"/>
        <v>0.375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16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10</v>
      </c>
      <c r="H14" s="4">
        <f t="shared" ca="1" si="1"/>
        <v>0.5</v>
      </c>
      <c r="I14" s="29">
        <f ca="1">IF(TabResultados3[[#This Row],[Jogos]]&lt;20,0,IF(TabResultados3[[#This Row],[Jogos]]&lt;=40,0.9+0.1*(TabResultados3[[#This Row],[Jogos]]-20)/20,1))</f>
        <v>0.96000000000000008</v>
      </c>
      <c r="J14" s="22">
        <f ca="1">100*TabResultados3[[#This Row],[Aprov]]*TabResultados3[[#This Row],[KJogos]]</f>
        <v>48.000000000000007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62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34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28</v>
      </c>
      <c r="E19" s="3">
        <f t="shared" ca="1" si="0"/>
        <v>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7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16</v>
      </c>
      <c r="H19" s="4">
        <f t="shared" ca="1" si="1"/>
        <v>0.54838709677419351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54.838709677419352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2018-10-11T18:52:23Z</dcterms:modified>
</cp:coreProperties>
</file>
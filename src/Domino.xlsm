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ilson.santos\Desktop\"/>
    </mc:Choice>
  </mc:AlternateContent>
  <bookViews>
    <workbookView xWindow="0" yWindow="0" windowWidth="28800" windowHeight="12300"/>
  </bookViews>
  <sheets>
    <sheet name="Historico" sheetId="3" r:id="rId1"/>
    <sheet name="Planilha2" sheetId="6" r:id="rId2"/>
    <sheet name="Desempenho" sheetId="4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<sst xmlns="http://schemas.openxmlformats.org/spreadsheetml/2006/main" count="14234" uniqueCount="62">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</sst>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abJogos" displayName="TabJogos" ref="A1:I3655" totalsRowShown="0" headerRowDxfId="10" dataDxfId="9">
  <tableColumns count="9">
    <tableColumn id="1" name="IdJogo" dataDxfId="8"/>
    <tableColumn id="2" name="DataJogo" dataDxfId="7"/>
    <tableColumn id="3" name="Time1Jogador1" dataDxfId="6"/>
    <tableColumn id="4" name="Time1Jogador2" dataDxfId="5"/>
    <tableColumn id="5" name="PontosTime1" dataDxfId="4"/>
    <tableColumn id="6" name="PontosTime2" dataDxfId="3"/>
    <tableColumn id="7" name="Time2Jogador1" dataDxfId="2"/>
    <tableColumn id="8" name="Time2Jogador2" dataDxfId="1"/>
    <tableColumn id="9" name="SaldoPt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Resultados3" displayName="TabResultados3" ref="A1:J40" totalsRowShown="0">
  <sortState ref="A2:J40">
    <sortCondition descending="1" ref="J2"/>
  </sortState>
  <tableColumns count="10">
    <tableColumn id="1" name="Jogador"/>
    <tableColumn id="2" name="Jogos"/>
    <tableColumn id="3" name="Vitórias"/>
    <tableColumn id="4" name="Derrotas"/>
    <tableColumn id="5" name="Saldo Vt"/>
    <tableColumn id="6" name="Buchudas"/>
    <tableColumn id="7" name="Saldo Pt"/>
    <tableColumn id="16" name="Aprov" dataDxfId="14">
      <calculatedColumnFormula>IFERROR(C2/B2,-0.000001)</calculatedColumnFormula>
    </tableColumn>
    <tableColumn id="15" name="KJogos" dataDxfId="13">
      <calculatedColumnFormula>_xlfn.FORECAST.LINEAR(TabResultados3[[#This Row],[Jogos]],$N$10:$N$11,$M$9:$M$11)</calculatedColumnFormula>
    </tableColumn>
    <tableColumn id="9" name="Pontuação" dataDxfId="12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I3655"/>
  <sheetViews>
    <sheetView tabSelected="1" zoomScale="130" zoomScaleNormal="130" workbookViewId="0">
      <pane ySplit="1" topLeftCell="A3526" activePane="bottomLeft" state="frozenSplit"/>
      <selection activeCell="D1" sqref="D1 D1"/>
      <selection pane="bottomLeft" activeCell="G3540" sqref="G3540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61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6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5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I3548" s="6">
        <f>TabJogos[[#This Row],[PontosTime1]]-TabJogos[[#This Row],[PontosTime2]]</f>
        <v>0</v>
      </c>
    </row>
    <row r="3549" spans="1:9" ht="15" customHeight="1" x14ac:dyDescent="0.25">
      <c r="A3549" s="7">
        <v>3548</v>
      </c>
      <c r="I3549" s="6">
        <f>TabJogos[[#This Row],[PontosTime1]]-TabJogos[[#This Row],[PontosTime2]]</f>
        <v>0</v>
      </c>
    </row>
    <row r="3550" spans="1:9" ht="15" customHeight="1" x14ac:dyDescent="0.25">
      <c r="A3550" s="7">
        <v>3549</v>
      </c>
      <c r="I3550" s="6">
        <f>TabJogos[[#This Row],[PontosTime1]]-TabJogos[[#This Row],[PontosTime2]]</f>
        <v>0</v>
      </c>
    </row>
    <row r="3551" spans="1:9" ht="15" customHeight="1" x14ac:dyDescent="0.25">
      <c r="A3551" s="7">
        <v>3550</v>
      </c>
      <c r="I3551" s="6">
        <f>TabJogos[[#This Row],[PontosTime1]]-TabJogos[[#This Row],[PontosTime2]]</f>
        <v>0</v>
      </c>
    </row>
    <row r="3552" spans="1:9" ht="15" customHeight="1" x14ac:dyDescent="0.25">
      <c r="A3552" s="7">
        <v>3551</v>
      </c>
      <c r="I3552" s="6">
        <f>TabJogos[[#This Row],[PontosTime1]]-TabJogos[[#This Row],[PontosTime2]]</f>
        <v>0</v>
      </c>
    </row>
    <row r="3553" spans="1:9" ht="15" customHeight="1" x14ac:dyDescent="0.25">
      <c r="A3553" s="7">
        <v>3552</v>
      </c>
      <c r="I3553" s="6">
        <f>TabJogos[[#This Row],[PontosTime1]]-TabJogos[[#This Row],[PontosTime2]]</f>
        <v>0</v>
      </c>
    </row>
    <row r="3554" spans="1:9" ht="15" customHeight="1" x14ac:dyDescent="0.25">
      <c r="A3554" s="7">
        <v>3553</v>
      </c>
      <c r="I3554" s="6">
        <f>TabJogos[[#This Row],[PontosTime1]]-TabJogos[[#This Row],[PontosTime2]]</f>
        <v>0</v>
      </c>
    </row>
    <row r="3555" spans="1:9" ht="15" customHeight="1" x14ac:dyDescent="0.25">
      <c r="A3555" s="7">
        <v>3554</v>
      </c>
      <c r="I3555" s="6">
        <f>TabJogos[[#This Row],[PontosTime1]]-TabJogos[[#This Row],[PontosTime2]]</f>
        <v>0</v>
      </c>
    </row>
    <row r="3556" spans="1:9" ht="15" customHeight="1" x14ac:dyDescent="0.25">
      <c r="A3556" s="7">
        <v>3555</v>
      </c>
      <c r="I3556" s="6">
        <f>TabJogos[[#This Row],[PontosTime1]]-TabJogos[[#This Row],[PontosTime2]]</f>
        <v>0</v>
      </c>
    </row>
    <row r="3557" spans="1:9" ht="15" customHeight="1" x14ac:dyDescent="0.25">
      <c r="A3557" s="7">
        <v>3556</v>
      </c>
      <c r="I3557" s="6">
        <f>TabJogos[[#This Row],[PontosTime1]]-TabJogos[[#This Row],[PontosTime2]]</f>
        <v>0</v>
      </c>
    </row>
    <row r="3558" spans="1:9" ht="15" customHeight="1" x14ac:dyDescent="0.25">
      <c r="A3558" s="7">
        <v>3557</v>
      </c>
      <c r="I3558" s="6">
        <f>TabJogos[[#This Row],[PontosTime1]]-TabJogos[[#This Row],[PontosTime2]]</f>
        <v>0</v>
      </c>
    </row>
    <row r="3559" spans="1:9" ht="15" customHeight="1" x14ac:dyDescent="0.25">
      <c r="A3559" s="7">
        <v>3558</v>
      </c>
      <c r="I3559" s="6">
        <f>TabJogos[[#This Row],[PontosTime1]]-TabJogos[[#This Row],[PontosTime2]]</f>
        <v>0</v>
      </c>
    </row>
    <row r="3560" spans="1:9" ht="15" customHeight="1" x14ac:dyDescent="0.25">
      <c r="A3560" s="7">
        <v>3559</v>
      </c>
      <c r="I3560" s="6">
        <f>TabJogos[[#This Row],[PontosTime1]]-TabJogos[[#This Row],[PontosTime2]]</f>
        <v>0</v>
      </c>
    </row>
    <row r="3561" spans="1:9" ht="15" customHeight="1" x14ac:dyDescent="0.25">
      <c r="A3561" s="7">
        <v>3560</v>
      </c>
      <c r="I3561" s="6">
        <f>TabJogos[[#This Row],[PontosTime1]]-TabJogos[[#This Row],[PontosTime2]]</f>
        <v>0</v>
      </c>
    </row>
    <row r="3562" spans="1:9" ht="15" customHeight="1" x14ac:dyDescent="0.25">
      <c r="A3562" s="7">
        <v>3561</v>
      </c>
      <c r="I3562" s="6">
        <f>TabJogos[[#This Row],[PontosTime1]]-TabJogos[[#This Row],[PontosTime2]]</f>
        <v>0</v>
      </c>
    </row>
    <row r="3563" spans="1:9" ht="15" customHeight="1" x14ac:dyDescent="0.25">
      <c r="A3563" s="7">
        <v>3562</v>
      </c>
      <c r="I3563" s="6">
        <f>TabJogos[[#This Row],[PontosTime1]]-TabJogos[[#This Row],[PontosTime2]]</f>
        <v>0</v>
      </c>
    </row>
    <row r="3564" spans="1:9" ht="15" customHeight="1" x14ac:dyDescent="0.25">
      <c r="A3564" s="7">
        <v>3563</v>
      </c>
      <c r="I3564" s="6">
        <f>TabJogos[[#This Row],[PontosTime1]]-TabJogos[[#This Row],[PontosTime2]]</f>
        <v>0</v>
      </c>
    </row>
    <row r="3565" spans="1:9" ht="15" customHeight="1" x14ac:dyDescent="0.25">
      <c r="A3565" s="7">
        <v>3564</v>
      </c>
      <c r="I3565" s="6">
        <f>TabJogos[[#This Row],[PontosTime1]]-TabJogos[[#This Row],[PontosTime2]]</f>
        <v>0</v>
      </c>
    </row>
    <row r="3566" spans="1:9" ht="15" customHeight="1" x14ac:dyDescent="0.25">
      <c r="A3566" s="7">
        <v>3565</v>
      </c>
      <c r="I3566" s="6">
        <f>TabJogos[[#This Row],[PontosTime1]]-TabJogos[[#This Row],[PontosTime2]]</f>
        <v>0</v>
      </c>
    </row>
    <row r="3567" spans="1:9" ht="15" customHeight="1" x14ac:dyDescent="0.25">
      <c r="A3567" s="7">
        <v>3566</v>
      </c>
      <c r="I3567" s="6">
        <f>TabJogos[[#This Row],[PontosTime1]]-TabJogos[[#This Row],[PontosTime2]]</f>
        <v>0</v>
      </c>
    </row>
    <row r="3568" spans="1:9" ht="15" customHeight="1" x14ac:dyDescent="0.25">
      <c r="A3568" s="7">
        <v>3567</v>
      </c>
      <c r="I3568" s="6">
        <f>TabJogos[[#This Row],[PontosTime1]]-TabJogos[[#This Row],[PontosTime2]]</f>
        <v>0</v>
      </c>
    </row>
    <row r="3569" spans="1:9" ht="15" customHeight="1" x14ac:dyDescent="0.25">
      <c r="A3569" s="7">
        <v>3568</v>
      </c>
      <c r="I3569" s="6">
        <f>TabJogos[[#This Row],[PontosTime1]]-TabJogos[[#This Row],[PontosTime2]]</f>
        <v>0</v>
      </c>
    </row>
    <row r="3570" spans="1:9" ht="15" customHeight="1" x14ac:dyDescent="0.25">
      <c r="A3570" s="7">
        <v>3569</v>
      </c>
      <c r="I3570" s="6">
        <f>TabJogos[[#This Row],[PontosTime1]]-TabJogos[[#This Row],[PontosTime2]]</f>
        <v>0</v>
      </c>
    </row>
    <row r="3571" spans="1:9" ht="15" customHeight="1" x14ac:dyDescent="0.25">
      <c r="A3571" s="7">
        <v>3570</v>
      </c>
      <c r="I3571" s="6">
        <f>TabJogos[[#This Row],[PontosTime1]]-TabJogos[[#This Row],[PontosTime2]]</f>
        <v>0</v>
      </c>
    </row>
    <row r="3572" spans="1:9" ht="15" customHeight="1" x14ac:dyDescent="0.25">
      <c r="A3572" s="7">
        <v>3571</v>
      </c>
      <c r="I3572" s="6">
        <f>TabJogos[[#This Row],[PontosTime1]]-TabJogos[[#This Row],[PontosTime2]]</f>
        <v>0</v>
      </c>
    </row>
    <row r="3573" spans="1:9" ht="15" customHeight="1" x14ac:dyDescent="0.25">
      <c r="A3573" s="7">
        <v>3572</v>
      </c>
      <c r="I3573" s="6">
        <f>TabJogos[[#This Row],[PontosTime1]]-TabJogos[[#This Row],[PontosTime2]]</f>
        <v>0</v>
      </c>
    </row>
    <row r="3574" spans="1:9" ht="15" customHeight="1" x14ac:dyDescent="0.25">
      <c r="A3574" s="7">
        <v>3573</v>
      </c>
      <c r="I3574" s="6">
        <f>TabJogos[[#This Row],[PontosTime1]]-TabJogos[[#This Row],[PontosTime2]]</f>
        <v>0</v>
      </c>
    </row>
    <row r="3575" spans="1:9" ht="15" customHeight="1" x14ac:dyDescent="0.25">
      <c r="A3575" s="7">
        <v>3574</v>
      </c>
      <c r="I3575" s="6">
        <f>TabJogos[[#This Row],[PontosTime1]]-TabJogos[[#This Row],[PontosTime2]]</f>
        <v>0</v>
      </c>
    </row>
    <row r="3576" spans="1:9" ht="15" customHeight="1" x14ac:dyDescent="0.25">
      <c r="A3576" s="7">
        <v>3575</v>
      </c>
      <c r="I3576" s="6">
        <f>TabJogos[[#This Row],[PontosTime1]]-TabJogos[[#This Row],[PontosTime2]]</f>
        <v>0</v>
      </c>
    </row>
    <row r="3577" spans="1:9" ht="15" customHeight="1" x14ac:dyDescent="0.25">
      <c r="A3577" s="7">
        <v>3576</v>
      </c>
      <c r="I3577" s="6">
        <f>TabJogos[[#This Row],[PontosTime1]]-TabJogos[[#This Row],[PontosTime2]]</f>
        <v>0</v>
      </c>
    </row>
    <row r="3578" spans="1:9" ht="15" customHeight="1" x14ac:dyDescent="0.25">
      <c r="A3578" s="7">
        <v>3577</v>
      </c>
      <c r="I3578" s="6">
        <f>TabJogos[[#This Row],[PontosTime1]]-TabJogos[[#This Row],[PontosTime2]]</f>
        <v>0</v>
      </c>
    </row>
    <row r="3579" spans="1:9" ht="15" customHeight="1" x14ac:dyDescent="0.25">
      <c r="A3579" s="7">
        <v>3578</v>
      </c>
      <c r="I3579" s="6">
        <f>TabJogos[[#This Row],[PontosTime1]]-TabJogos[[#This Row],[PontosTime2]]</f>
        <v>0</v>
      </c>
    </row>
    <row r="3580" spans="1:9" ht="15" customHeight="1" x14ac:dyDescent="0.25">
      <c r="A3580" s="7">
        <v>3579</v>
      </c>
      <c r="I3580" s="6">
        <f>TabJogos[[#This Row],[PontosTime1]]-TabJogos[[#This Row],[PontosTime2]]</f>
        <v>0</v>
      </c>
    </row>
    <row r="3581" spans="1:9" ht="15" customHeight="1" x14ac:dyDescent="0.25">
      <c r="A3581" s="7">
        <v>3580</v>
      </c>
      <c r="I3581" s="6">
        <f>TabJogos[[#This Row],[PontosTime1]]-TabJogos[[#This Row],[PontosTime2]]</f>
        <v>0</v>
      </c>
    </row>
    <row r="3582" spans="1:9" ht="15" customHeight="1" x14ac:dyDescent="0.25">
      <c r="A3582" s="7">
        <v>3581</v>
      </c>
      <c r="I3582" s="6">
        <f>TabJogos[[#This Row],[PontosTime1]]-TabJogos[[#This Row],[PontosTime2]]</f>
        <v>0</v>
      </c>
    </row>
    <row r="3583" spans="1:9" ht="15" customHeight="1" x14ac:dyDescent="0.25">
      <c r="A3583" s="7">
        <v>3582</v>
      </c>
      <c r="I3583" s="6">
        <f>TabJogos[[#This Row],[PontosTime1]]-TabJogos[[#This Row],[PontosTime2]]</f>
        <v>0</v>
      </c>
    </row>
    <row r="3584" spans="1:9" ht="15" customHeight="1" x14ac:dyDescent="0.25">
      <c r="A3584" s="7">
        <v>3583</v>
      </c>
      <c r="I3584" s="6">
        <f>TabJogos[[#This Row],[PontosTime1]]-TabJogos[[#This Row],[PontosTime2]]</f>
        <v>0</v>
      </c>
    </row>
    <row r="3585" spans="1:9" ht="15" customHeight="1" x14ac:dyDescent="0.25">
      <c r="A3585" s="7">
        <v>3584</v>
      </c>
      <c r="I3585" s="6">
        <f>TabJogos[[#This Row],[PontosTime1]]-TabJogos[[#This Row],[PontosTime2]]</f>
        <v>0</v>
      </c>
    </row>
    <row r="3586" spans="1:9" ht="15" customHeight="1" x14ac:dyDescent="0.25">
      <c r="A3586" s="7">
        <v>3585</v>
      </c>
      <c r="I3586" s="6">
        <f>TabJogos[[#This Row],[PontosTime1]]-TabJogos[[#This Row],[PontosTime2]]</f>
        <v>0</v>
      </c>
    </row>
    <row r="3587" spans="1:9" ht="15" customHeight="1" x14ac:dyDescent="0.25">
      <c r="A3587" s="7">
        <v>3586</v>
      </c>
      <c r="I3587" s="6">
        <f>TabJogos[[#This Row],[PontosTime1]]-TabJogos[[#This Row],[PontosTime2]]</f>
        <v>0</v>
      </c>
    </row>
    <row r="3588" spans="1:9" ht="15" customHeight="1" x14ac:dyDescent="0.25">
      <c r="A3588" s="7">
        <v>3587</v>
      </c>
      <c r="I3588" s="6">
        <f>TabJogos[[#This Row],[PontosTime1]]-TabJogos[[#This Row],[PontosTime2]]</f>
        <v>0</v>
      </c>
    </row>
    <row r="3589" spans="1:9" ht="15" customHeight="1" x14ac:dyDescent="0.25">
      <c r="A3589" s="7">
        <v>3588</v>
      </c>
      <c r="I3589" s="6">
        <f>TabJogos[[#This Row],[PontosTime1]]-TabJogos[[#This Row],[PontosTime2]]</f>
        <v>0</v>
      </c>
    </row>
    <row r="3590" spans="1:9" ht="15" customHeight="1" x14ac:dyDescent="0.25">
      <c r="A3590" s="7">
        <v>3589</v>
      </c>
      <c r="I3590" s="6">
        <f>TabJogos[[#This Row],[PontosTime1]]-TabJogos[[#This Row],[PontosTime2]]</f>
        <v>0</v>
      </c>
    </row>
    <row r="3591" spans="1:9" ht="15" customHeight="1" x14ac:dyDescent="0.25">
      <c r="A3591" s="7">
        <v>3590</v>
      </c>
      <c r="I3591" s="6">
        <f>TabJogos[[#This Row],[PontosTime1]]-TabJogos[[#This Row],[PontosTime2]]</f>
        <v>0</v>
      </c>
    </row>
    <row r="3592" spans="1:9" ht="15" customHeight="1" x14ac:dyDescent="0.25">
      <c r="A3592" s="7">
        <v>3591</v>
      </c>
      <c r="I3592" s="6">
        <f>TabJogos[[#This Row],[PontosTime1]]-TabJogos[[#This Row],[PontosTime2]]</f>
        <v>0</v>
      </c>
    </row>
    <row r="3593" spans="1:9" ht="15" customHeight="1" x14ac:dyDescent="0.25">
      <c r="A3593" s="7">
        <v>3592</v>
      </c>
      <c r="I3593" s="6">
        <f>TabJogos[[#This Row],[PontosTime1]]-TabJogos[[#This Row],[PontosTime2]]</f>
        <v>0</v>
      </c>
    </row>
    <row r="3594" spans="1:9" ht="15" customHeight="1" x14ac:dyDescent="0.25">
      <c r="A3594" s="7">
        <v>3593</v>
      </c>
      <c r="I3594" s="6">
        <f>TabJogos[[#This Row],[PontosTime1]]-TabJogos[[#This Row],[PontosTime2]]</f>
        <v>0</v>
      </c>
    </row>
    <row r="3595" spans="1:9" ht="15" customHeight="1" x14ac:dyDescent="0.25">
      <c r="A3595" s="7">
        <v>3594</v>
      </c>
      <c r="I3595" s="6">
        <f>TabJogos[[#This Row],[PontosTime1]]-TabJogos[[#This Row],[PontosTime2]]</f>
        <v>0</v>
      </c>
    </row>
    <row r="3596" spans="1:9" ht="15" customHeight="1" x14ac:dyDescent="0.25">
      <c r="A3596" s="7">
        <v>3595</v>
      </c>
      <c r="I3596" s="6">
        <f>TabJogos[[#This Row],[PontosTime1]]-TabJogos[[#This Row],[PontosTime2]]</f>
        <v>0</v>
      </c>
    </row>
    <row r="3597" spans="1:9" ht="15" customHeight="1" x14ac:dyDescent="0.25">
      <c r="A3597" s="7">
        <v>3596</v>
      </c>
      <c r="I3597" s="6">
        <f>TabJogos[[#This Row],[PontosTime1]]-TabJogos[[#This Row],[PontosTime2]]</f>
        <v>0</v>
      </c>
    </row>
    <row r="3598" spans="1:9" ht="15" customHeight="1" x14ac:dyDescent="0.25">
      <c r="A3598" s="7">
        <v>3597</v>
      </c>
      <c r="I3598" s="6">
        <f>TabJogos[[#This Row],[PontosTime1]]-TabJogos[[#This Row],[PontosTime2]]</f>
        <v>0</v>
      </c>
    </row>
    <row r="3599" spans="1:9" ht="15" customHeight="1" x14ac:dyDescent="0.25">
      <c r="A3599" s="7">
        <v>3598</v>
      </c>
      <c r="I3599" s="6">
        <f>TabJogos[[#This Row],[PontosTime1]]-TabJogos[[#This Row],[PontosTime2]]</f>
        <v>0</v>
      </c>
    </row>
    <row r="3600" spans="1:9" ht="15" customHeight="1" x14ac:dyDescent="0.25">
      <c r="A3600" s="7">
        <v>3599</v>
      </c>
      <c r="I3600" s="6">
        <f>TabJogos[[#This Row],[PontosTime1]]-TabJogos[[#This Row],[PontosTime2]]</f>
        <v>0</v>
      </c>
    </row>
    <row r="3601" spans="1:9" ht="15" customHeight="1" x14ac:dyDescent="0.25">
      <c r="A3601" s="7">
        <v>3600</v>
      </c>
      <c r="I3601" s="6">
        <f>TabJogos[[#This Row],[PontosTime1]]-TabJogos[[#This Row],[PontosTime2]]</f>
        <v>0</v>
      </c>
    </row>
    <row r="3602" spans="1:9" ht="15" customHeight="1" x14ac:dyDescent="0.25">
      <c r="A3602" s="7">
        <v>3601</v>
      </c>
      <c r="I3602" s="6">
        <f>TabJogos[[#This Row],[PontosTime1]]-TabJogos[[#This Row],[PontosTime2]]</f>
        <v>0</v>
      </c>
    </row>
    <row r="3603" spans="1:9" ht="15" customHeight="1" x14ac:dyDescent="0.25">
      <c r="A3603" s="7">
        <v>3602</v>
      </c>
      <c r="I3603" s="6">
        <f>TabJogos[[#This Row],[PontosTime1]]-TabJogos[[#This Row],[PontosTime2]]</f>
        <v>0</v>
      </c>
    </row>
    <row r="3604" spans="1:9" ht="15" customHeight="1" x14ac:dyDescent="0.25">
      <c r="A3604" s="7">
        <v>3603</v>
      </c>
      <c r="I3604" s="6">
        <f>TabJogos[[#This Row],[PontosTime1]]-TabJogos[[#This Row],[PontosTime2]]</f>
        <v>0</v>
      </c>
    </row>
    <row r="3605" spans="1:9" ht="15" customHeight="1" x14ac:dyDescent="0.25">
      <c r="A3605" s="7">
        <v>3604</v>
      </c>
      <c r="I3605" s="6">
        <f>TabJogos[[#This Row],[PontosTime1]]-TabJogos[[#This Row],[PontosTime2]]</f>
        <v>0</v>
      </c>
    </row>
    <row r="3606" spans="1:9" ht="15" customHeight="1" x14ac:dyDescent="0.25">
      <c r="A3606" s="7">
        <v>3605</v>
      </c>
      <c r="I3606" s="6">
        <f>TabJogos[[#This Row],[PontosTime1]]-TabJogos[[#This Row],[PontosTime2]]</f>
        <v>0</v>
      </c>
    </row>
    <row r="3607" spans="1:9" ht="15" customHeight="1" x14ac:dyDescent="0.25">
      <c r="A3607" s="7">
        <v>3606</v>
      </c>
      <c r="I3607" s="6">
        <f>TabJogos[[#This Row],[PontosTime1]]-TabJogos[[#This Row],[PontosTime2]]</f>
        <v>0</v>
      </c>
    </row>
    <row r="3608" spans="1:9" ht="15" customHeight="1" x14ac:dyDescent="0.25">
      <c r="A3608" s="7">
        <v>3607</v>
      </c>
      <c r="I3608" s="6">
        <f>TabJogos[[#This Row],[PontosTime1]]-TabJogos[[#This Row],[PontosTime2]]</f>
        <v>0</v>
      </c>
    </row>
    <row r="3609" spans="1:9" ht="15" customHeight="1" x14ac:dyDescent="0.25">
      <c r="A3609" s="7">
        <v>3608</v>
      </c>
      <c r="I3609" s="6">
        <f>TabJogos[[#This Row],[PontosTime1]]-TabJogos[[#This Row],[PontosTime2]]</f>
        <v>0</v>
      </c>
    </row>
    <row r="3610" spans="1:9" ht="15" customHeight="1" x14ac:dyDescent="0.25">
      <c r="A3610" s="7">
        <v>3609</v>
      </c>
      <c r="I3610" s="6">
        <f>TabJogos[[#This Row],[PontosTime1]]-TabJogos[[#This Row],[PontosTime2]]</f>
        <v>0</v>
      </c>
    </row>
    <row r="3611" spans="1:9" ht="15" customHeight="1" x14ac:dyDescent="0.25">
      <c r="A3611" s="7">
        <v>3610</v>
      </c>
      <c r="I3611" s="6">
        <f>TabJogos[[#This Row],[PontosTime1]]-TabJogos[[#This Row],[PontosTime2]]</f>
        <v>0</v>
      </c>
    </row>
    <row r="3612" spans="1:9" ht="15" customHeight="1" x14ac:dyDescent="0.25">
      <c r="A3612" s="7">
        <v>3611</v>
      </c>
      <c r="I3612" s="6">
        <f>TabJogos[[#This Row],[PontosTime1]]-TabJogos[[#This Row],[PontosTime2]]</f>
        <v>0</v>
      </c>
    </row>
    <row r="3613" spans="1:9" ht="15" customHeight="1" x14ac:dyDescent="0.25">
      <c r="A3613" s="7">
        <v>3612</v>
      </c>
      <c r="I3613" s="6">
        <f>TabJogos[[#This Row],[PontosTime1]]-TabJogos[[#This Row],[PontosTime2]]</f>
        <v>0</v>
      </c>
    </row>
    <row r="3614" spans="1:9" ht="15" customHeight="1" x14ac:dyDescent="0.25">
      <c r="A3614" s="7">
        <v>3613</v>
      </c>
      <c r="I3614" s="6">
        <f>TabJogos[[#This Row],[PontosTime1]]-TabJogos[[#This Row],[PontosTime2]]</f>
        <v>0</v>
      </c>
    </row>
    <row r="3615" spans="1:9" ht="15" customHeight="1" x14ac:dyDescent="0.25">
      <c r="A3615" s="7">
        <v>3614</v>
      </c>
      <c r="I3615" s="6">
        <f>TabJogos[[#This Row],[PontosTime1]]-TabJogos[[#This Row],[PontosTime2]]</f>
        <v>0</v>
      </c>
    </row>
    <row r="3616" spans="1:9" ht="15" customHeight="1" x14ac:dyDescent="0.25">
      <c r="A3616" s="7">
        <v>3615</v>
      </c>
      <c r="I3616" s="6">
        <f>TabJogos[[#This Row],[PontosTime1]]-TabJogos[[#This Row],[PontosTime2]]</f>
        <v>0</v>
      </c>
    </row>
    <row r="3617" spans="1:9" ht="15" customHeight="1" x14ac:dyDescent="0.25">
      <c r="A3617" s="7">
        <v>3616</v>
      </c>
      <c r="I3617" s="6">
        <f>TabJogos[[#This Row],[PontosTime1]]-TabJogos[[#This Row],[PontosTime2]]</f>
        <v>0</v>
      </c>
    </row>
    <row r="3618" spans="1:9" ht="15" customHeight="1" x14ac:dyDescent="0.25">
      <c r="A3618" s="7">
        <v>3617</v>
      </c>
      <c r="I3618" s="6">
        <f>TabJogos[[#This Row],[PontosTime1]]-TabJogos[[#This Row],[PontosTime2]]</f>
        <v>0</v>
      </c>
    </row>
    <row r="3619" spans="1:9" ht="15" customHeight="1" x14ac:dyDescent="0.25">
      <c r="A3619" s="7">
        <v>3618</v>
      </c>
      <c r="I3619" s="6">
        <f>TabJogos[[#This Row],[PontosTime1]]-TabJogos[[#This Row],[PontosTime2]]</f>
        <v>0</v>
      </c>
    </row>
    <row r="3620" spans="1:9" ht="15" customHeight="1" x14ac:dyDescent="0.25">
      <c r="A3620" s="7">
        <v>3619</v>
      </c>
      <c r="I3620" s="6">
        <f>TabJogos[[#This Row],[PontosTime1]]-TabJogos[[#This Row],[PontosTime2]]</f>
        <v>0</v>
      </c>
    </row>
    <row r="3621" spans="1:9" ht="15" customHeight="1" x14ac:dyDescent="0.25">
      <c r="A3621" s="7">
        <v>3620</v>
      </c>
      <c r="I3621" s="6">
        <f>TabJogos[[#This Row],[PontosTime1]]-TabJogos[[#This Row],[PontosTime2]]</f>
        <v>0</v>
      </c>
    </row>
    <row r="3622" spans="1:9" ht="15" customHeight="1" x14ac:dyDescent="0.25">
      <c r="A3622" s="7">
        <v>3621</v>
      </c>
      <c r="I3622" s="6">
        <f>TabJogos[[#This Row],[PontosTime1]]-TabJogos[[#This Row],[PontosTime2]]</f>
        <v>0</v>
      </c>
    </row>
    <row r="3623" spans="1:9" ht="15" customHeight="1" x14ac:dyDescent="0.25">
      <c r="A3623" s="7">
        <v>3622</v>
      </c>
      <c r="I3623" s="6">
        <f>TabJogos[[#This Row],[PontosTime1]]-TabJogos[[#This Row],[PontosTime2]]</f>
        <v>0</v>
      </c>
    </row>
    <row r="3624" spans="1:9" ht="15" customHeight="1" x14ac:dyDescent="0.25">
      <c r="A3624" s="7">
        <v>3623</v>
      </c>
      <c r="I3624" s="6">
        <f>TabJogos[[#This Row],[PontosTime1]]-TabJogos[[#This Row],[PontosTime2]]</f>
        <v>0</v>
      </c>
    </row>
    <row r="3625" spans="1:9" ht="15" customHeight="1" x14ac:dyDescent="0.25">
      <c r="A3625" s="7">
        <v>3624</v>
      </c>
      <c r="I3625" s="6">
        <f>TabJogos[[#This Row],[PontosTime1]]-TabJogos[[#This Row],[PontosTime2]]</f>
        <v>0</v>
      </c>
    </row>
    <row r="3626" spans="1:9" ht="15" customHeight="1" x14ac:dyDescent="0.25">
      <c r="A3626" s="7">
        <v>3625</v>
      </c>
      <c r="I3626" s="6">
        <f>TabJogos[[#This Row],[PontosTime1]]-TabJogos[[#This Row],[PontosTime2]]</f>
        <v>0</v>
      </c>
    </row>
    <row r="3627" spans="1:9" ht="15" customHeight="1" x14ac:dyDescent="0.25">
      <c r="A3627" s="7">
        <v>3626</v>
      </c>
      <c r="I3627" s="6">
        <f>TabJogos[[#This Row],[PontosTime1]]-TabJogos[[#This Row],[PontosTime2]]</f>
        <v>0</v>
      </c>
    </row>
    <row r="3628" spans="1:9" ht="15" customHeight="1" x14ac:dyDescent="0.25">
      <c r="A3628" s="7">
        <v>3627</v>
      </c>
      <c r="I3628" s="6">
        <f>TabJogos[[#This Row],[PontosTime1]]-TabJogos[[#This Row],[PontosTime2]]</f>
        <v>0</v>
      </c>
    </row>
    <row r="3629" spans="1:9" ht="15" customHeight="1" x14ac:dyDescent="0.25">
      <c r="A3629" s="7">
        <v>3628</v>
      </c>
      <c r="I3629" s="6">
        <f>TabJogos[[#This Row],[PontosTime1]]-TabJogos[[#This Row],[PontosTime2]]</f>
        <v>0</v>
      </c>
    </row>
    <row r="3630" spans="1:9" ht="15" customHeight="1" x14ac:dyDescent="0.25">
      <c r="A3630" s="7">
        <v>3629</v>
      </c>
      <c r="I3630" s="6">
        <f>TabJogos[[#This Row],[PontosTime1]]-TabJogos[[#This Row],[PontosTime2]]</f>
        <v>0</v>
      </c>
    </row>
    <row r="3631" spans="1:9" ht="15" customHeight="1" x14ac:dyDescent="0.25">
      <c r="A3631" s="7">
        <v>3630</v>
      </c>
      <c r="I3631" s="6">
        <f>TabJogos[[#This Row],[PontosTime1]]-TabJogos[[#This Row],[PontosTime2]]</f>
        <v>0</v>
      </c>
    </row>
    <row r="3632" spans="1:9" ht="15" customHeight="1" x14ac:dyDescent="0.25">
      <c r="A3632" s="7">
        <v>3631</v>
      </c>
      <c r="I3632" s="6">
        <f>TabJogos[[#This Row],[PontosTime1]]-TabJogos[[#This Row],[PontosTime2]]</f>
        <v>0</v>
      </c>
    </row>
    <row r="3633" spans="1:9" ht="15" customHeight="1" x14ac:dyDescent="0.25">
      <c r="A3633" s="7">
        <v>3632</v>
      </c>
      <c r="I3633" s="6">
        <f>TabJogos[[#This Row],[PontosTime1]]-TabJogos[[#This Row],[PontosTime2]]</f>
        <v>0</v>
      </c>
    </row>
    <row r="3634" spans="1:9" ht="15" customHeight="1" x14ac:dyDescent="0.25">
      <c r="A3634" s="7">
        <v>3633</v>
      </c>
      <c r="I3634" s="6">
        <f>TabJogos[[#This Row],[PontosTime1]]-TabJogos[[#This Row],[PontosTime2]]</f>
        <v>0</v>
      </c>
    </row>
    <row r="3635" spans="1:9" ht="15" customHeight="1" x14ac:dyDescent="0.25">
      <c r="A3635" s="7">
        <v>3634</v>
      </c>
      <c r="I3635" s="6">
        <f>TabJogos[[#This Row],[PontosTime1]]-TabJogos[[#This Row],[PontosTime2]]</f>
        <v>0</v>
      </c>
    </row>
    <row r="3636" spans="1:9" ht="15" customHeight="1" x14ac:dyDescent="0.25">
      <c r="A3636" s="7">
        <v>3635</v>
      </c>
      <c r="I3636" s="6">
        <f>TabJogos[[#This Row],[PontosTime1]]-TabJogos[[#This Row],[PontosTime2]]</f>
        <v>0</v>
      </c>
    </row>
    <row r="3637" spans="1:9" ht="15" customHeight="1" x14ac:dyDescent="0.25">
      <c r="A3637" s="7">
        <v>3636</v>
      </c>
      <c r="I3637" s="6">
        <f>TabJogos[[#This Row],[PontosTime1]]-TabJogos[[#This Row],[PontosTime2]]</f>
        <v>0</v>
      </c>
    </row>
    <row r="3638" spans="1:9" ht="15" customHeight="1" x14ac:dyDescent="0.25">
      <c r="A3638" s="7">
        <v>3637</v>
      </c>
      <c r="I3638" s="6">
        <f>TabJogos[[#This Row],[PontosTime1]]-TabJogos[[#This Row],[PontosTime2]]</f>
        <v>0</v>
      </c>
    </row>
    <row r="3639" spans="1:9" ht="15" customHeight="1" x14ac:dyDescent="0.25">
      <c r="A3639" s="7">
        <v>3638</v>
      </c>
      <c r="I3639" s="6">
        <f>TabJogos[[#This Row],[PontosTime1]]-TabJogos[[#This Row],[PontosTime2]]</f>
        <v>0</v>
      </c>
    </row>
    <row r="3640" spans="1:9" ht="15" customHeight="1" x14ac:dyDescent="0.25">
      <c r="A3640" s="7">
        <v>3639</v>
      </c>
      <c r="I3640" s="6">
        <f>TabJogos[[#This Row],[PontosTime1]]-TabJogos[[#This Row],[PontosTime2]]</f>
        <v>0</v>
      </c>
    </row>
    <row r="3641" spans="1:9" ht="15" customHeight="1" x14ac:dyDescent="0.25">
      <c r="A3641" s="7">
        <v>3640</v>
      </c>
      <c r="I3641" s="6">
        <f>TabJogos[[#This Row],[PontosTime1]]-TabJogos[[#This Row],[PontosTime2]]</f>
        <v>0</v>
      </c>
    </row>
    <row r="3642" spans="1:9" ht="15" customHeight="1" x14ac:dyDescent="0.25">
      <c r="A3642" s="7">
        <v>3641</v>
      </c>
      <c r="I3642" s="6">
        <f>TabJogos[[#This Row],[PontosTime1]]-TabJogos[[#This Row],[PontosTime2]]</f>
        <v>0</v>
      </c>
    </row>
    <row r="3643" spans="1:9" ht="15" customHeight="1" x14ac:dyDescent="0.25">
      <c r="A3643" s="7">
        <v>3642</v>
      </c>
      <c r="I3643" s="6">
        <f>TabJogos[[#This Row],[PontosTime1]]-TabJogos[[#This Row],[PontosTime2]]</f>
        <v>0</v>
      </c>
    </row>
    <row r="3644" spans="1:9" ht="15" customHeight="1" x14ac:dyDescent="0.25">
      <c r="A3644" s="7">
        <v>3643</v>
      </c>
      <c r="I3644" s="6">
        <f>TabJogos[[#This Row],[PontosTime1]]-TabJogos[[#This Row],[PontosTime2]]</f>
        <v>0</v>
      </c>
    </row>
    <row r="3645" spans="1:9" ht="15" customHeight="1" x14ac:dyDescent="0.25">
      <c r="A3645" s="7">
        <v>3644</v>
      </c>
      <c r="I3645" s="6">
        <f>TabJogos[[#This Row],[PontosTime1]]-TabJogos[[#This Row],[PontosTime2]]</f>
        <v>0</v>
      </c>
    </row>
    <row r="3646" spans="1:9" ht="15" customHeight="1" x14ac:dyDescent="0.25">
      <c r="A3646" s="7">
        <v>3645</v>
      </c>
      <c r="I3646" s="6">
        <f>TabJogos[[#This Row],[PontosTime1]]-TabJogos[[#This Row],[PontosTime2]]</f>
        <v>0</v>
      </c>
    </row>
    <row r="3647" spans="1:9" ht="15" customHeight="1" x14ac:dyDescent="0.25">
      <c r="A3647" s="7">
        <v>3646</v>
      </c>
      <c r="I3647" s="6">
        <f>TabJogos[[#This Row],[PontosTime1]]-TabJogos[[#This Row],[PontosTime2]]</f>
        <v>0</v>
      </c>
    </row>
    <row r="3648" spans="1:9" ht="15" customHeight="1" x14ac:dyDescent="0.25">
      <c r="A3648" s="7">
        <v>3647</v>
      </c>
      <c r="I3648" s="6">
        <f>TabJogos[[#This Row],[PontosTime1]]-TabJogos[[#This Row],[PontosTime2]]</f>
        <v>0</v>
      </c>
    </row>
    <row r="3649" spans="1:9" ht="15" customHeight="1" x14ac:dyDescent="0.25">
      <c r="A3649" s="7">
        <v>3648</v>
      </c>
      <c r="I3649" s="6">
        <f>TabJogos[[#This Row],[PontosTime1]]-TabJogos[[#This Row],[PontosTime2]]</f>
        <v>0</v>
      </c>
    </row>
    <row r="3650" spans="1:9" ht="15" customHeight="1" x14ac:dyDescent="0.25">
      <c r="A3650" s="7">
        <v>3649</v>
      </c>
      <c r="I3650" s="6">
        <f>TabJogos[[#This Row],[PontosTime1]]-TabJogos[[#This Row],[PontosTime2]]</f>
        <v>0</v>
      </c>
    </row>
    <row r="3651" spans="1:9" ht="15" customHeight="1" x14ac:dyDescent="0.25">
      <c r="A3651" s="7">
        <v>3650</v>
      </c>
      <c r="I3651" s="6">
        <f>TabJogos[[#This Row],[PontosTime1]]-TabJogos[[#This Row],[PontosTime2]]</f>
        <v>0</v>
      </c>
    </row>
    <row r="3652" spans="1:9" ht="15" customHeight="1" x14ac:dyDescent="0.25">
      <c r="A3652" s="7">
        <v>3651</v>
      </c>
      <c r="I3652" s="6">
        <f>TabJogos[[#This Row],[PontosTime1]]-TabJogos[[#This Row],[PontosTime2]]</f>
        <v>0</v>
      </c>
    </row>
    <row r="3653" spans="1:9" ht="15" customHeight="1" x14ac:dyDescent="0.25">
      <c r="A3653" s="7">
        <v>3652</v>
      </c>
      <c r="I3653" s="6">
        <f>TabJogos[[#This Row],[PontosTime1]]-TabJogos[[#This Row],[PontosTime2]]</f>
        <v>0</v>
      </c>
    </row>
    <row r="3654" spans="1:9" ht="15" customHeight="1" x14ac:dyDescent="0.25">
      <c r="A3654" s="7">
        <v>3653</v>
      </c>
      <c r="I3654" s="6">
        <f>TabJogos[[#This Row],[PontosTime1]]-TabJogos[[#This Row],[PontosTime2]]</f>
        <v>0</v>
      </c>
    </row>
    <row r="3655" spans="1:9" ht="15" customHeight="1" x14ac:dyDescent="0.25">
      <c r="A3655" s="7">
        <v>3654</v>
      </c>
      <c r="I3655" s="6">
        <f>TabJogos[[#This Row],[PontosTime1]]-TabJogos[[#This Row],[PontosTime2]]</f>
        <v>0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701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378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323</v>
      </c>
      <c r="E3" s="3">
        <f t="shared" ca="1" si="0"/>
        <v>55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50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136</v>
      </c>
      <c r="H3" s="4">
        <f t="shared" ca="1" si="1"/>
        <v>0.53922967189728954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53.922967189728951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595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314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281</v>
      </c>
      <c r="E4" s="3">
        <f t="shared" ca="1" si="0"/>
        <v>33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73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115</v>
      </c>
      <c r="H4" s="4">
        <f t="shared" ca="1" si="1"/>
        <v>0.5277310924369748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52.773109243697483</v>
      </c>
      <c r="L4" s="12" t="s">
        <v>54</v>
      </c>
      <c r="M4" s="14">
        <f ca="1">EOMONTH(TODAY(),0)</f>
        <v>43616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1042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555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487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157</v>
      </c>
      <c r="H6" s="4">
        <f t="shared" ca="1" si="1"/>
        <v>0.53262955854126681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53.26295585412668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374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190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184</v>
      </c>
      <c r="E7" s="3">
        <f t="shared" ca="1" si="0"/>
        <v>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27</v>
      </c>
      <c r="H7" s="4">
        <f t="shared" ca="1" si="1"/>
        <v>0.50802139037433158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50.802139037433157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2207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1166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1041</v>
      </c>
      <c r="E8" s="3">
        <f t="shared" ca="1" si="0"/>
        <v>125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183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454</v>
      </c>
      <c r="H8" s="4">
        <f t="shared" ca="1" si="1"/>
        <v>0.52831898504757591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52.831898504757589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1790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909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881</v>
      </c>
      <c r="E9" s="3">
        <f t="shared" ca="1" si="0"/>
        <v>28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141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64</v>
      </c>
      <c r="H9" s="4">
        <f t="shared" ca="1" si="1"/>
        <v>0.50782122905027938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50.78212290502794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807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398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409</v>
      </c>
      <c r="E10" s="3">
        <f t="shared" ca="1" si="0"/>
        <v>-11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54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-49</v>
      </c>
      <c r="H10" s="4">
        <f t="shared" ca="1" si="1"/>
        <v>0.49318463444857497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49.3184634448575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882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435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447</v>
      </c>
      <c r="E12" s="3">
        <f t="shared" ca="1" si="0"/>
        <v>-12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78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-27</v>
      </c>
      <c r="H12" s="4">
        <f t="shared" ca="1" si="1"/>
        <v>0.49319727891156462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49.319727891156461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506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251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255</v>
      </c>
      <c r="E14" s="3">
        <f t="shared" ca="1" si="0"/>
        <v>-4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56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-34</v>
      </c>
      <c r="H14" s="4">
        <f t="shared" ca="1" si="1"/>
        <v>0.49604743083003955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49.604743083003953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609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279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-117</v>
      </c>
      <c r="H15" s="4">
        <f t="shared" ca="1" si="1"/>
        <v>0.45812807881773399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45.812807881773395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2027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875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1152</v>
      </c>
      <c r="E17" s="3">
        <f t="shared" ca="1" si="0"/>
        <v>-277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155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-949</v>
      </c>
      <c r="H17" s="4">
        <f t="shared" ca="1" si="1"/>
        <v>0.43167242229896396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43.167242229896395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394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163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231</v>
      </c>
      <c r="E18" s="3">
        <f t="shared" ca="1" si="0"/>
        <v>-68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24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-200</v>
      </c>
      <c r="H18" s="4">
        <f t="shared" ca="1" si="1"/>
        <v>0.4137055837563452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41.370558375634516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11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Usuário do Windows</cp:lastModifiedBy>
  <cp:revision/>
  <dcterms:created xsi:type="dcterms:W3CDTF">2017-08-15T16:47:38Z</dcterms:created>
  <dcterms:modified xsi:type="dcterms:W3CDTF">2019-05-20T18:32:48Z</dcterms:modified>
  <cp:category/>
  <cp:contentStatus/>
</cp:coreProperties>
</file>
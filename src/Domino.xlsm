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F3D4D32B-5D4F-47E3-AE88-AC10E9EF8A43}" xr6:coauthVersionLast="41" xr6:coauthVersionMax="41" xr10:uidLastSave="{00000000-0000-0000-0000-000000000000}"/>
  <bookViews>
    <workbookView xWindow="-120" yWindow="-120" windowWidth="29040" windowHeight="15840" xr2:uid="{00000000-000D-0000-FFFF-FFFF00000000}"/>
  </bookViews>
  <sheets>
    <sheet name="Historico" sheetId="3" r:id="rId1"/>
    <sheet name="Desempenho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315" i="3" l="1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08" i="3" l="1"/>
  <c r="I3309" i="3"/>
  <c r="I3310" i="3"/>
  <c r="I3311" i="3"/>
  <c r="I3312" i="3"/>
  <c r="I3313" i="3"/>
  <c r="I3314" i="3"/>
  <c r="I3297" i="3" l="1"/>
  <c r="I3298" i="3"/>
  <c r="I3299" i="3"/>
  <c r="I3300" i="3"/>
  <c r="I3301" i="3"/>
  <c r="I3302" i="3"/>
  <c r="I3303" i="3"/>
  <c r="I3304" i="3"/>
  <c r="I3305" i="3"/>
  <c r="I3306" i="3"/>
  <c r="I3307" i="3"/>
  <c r="I3288" i="3" l="1"/>
  <c r="I3289" i="3"/>
  <c r="I3290" i="3"/>
  <c r="I3291" i="3"/>
  <c r="I3292" i="3"/>
  <c r="I3293" i="3"/>
  <c r="I3294" i="3"/>
  <c r="I3295" i="3"/>
  <c r="I3296" i="3"/>
  <c r="I3271" i="3" l="1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63" i="3" l="1"/>
  <c r="I3264" i="3"/>
  <c r="I3265" i="3"/>
  <c r="I3266" i="3"/>
  <c r="I3267" i="3"/>
  <c r="I3268" i="3"/>
  <c r="I3269" i="3"/>
  <c r="I3270" i="3"/>
  <c r="I3254" i="3" l="1"/>
  <c r="I3255" i="3"/>
  <c r="I3256" i="3"/>
  <c r="I3257" i="3"/>
  <c r="I3258" i="3"/>
  <c r="I3259" i="3"/>
  <c r="I3260" i="3"/>
  <c r="I3261" i="3"/>
  <c r="I3262" i="3"/>
  <c r="I3248" i="3" l="1"/>
  <c r="I3249" i="3"/>
  <c r="I3250" i="3"/>
  <c r="I3251" i="3"/>
  <c r="I3252" i="3"/>
  <c r="I3253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23" i="3" l="1"/>
  <c r="I3224" i="3"/>
  <c r="I3225" i="3"/>
  <c r="I3226" i="3"/>
  <c r="I3227" i="3"/>
  <c r="I3228" i="3"/>
  <c r="I3229" i="3"/>
  <c r="I3230" i="3"/>
  <c r="I3231" i="3"/>
  <c r="I3210" i="3" l="1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192" i="3" l="1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190" i="3" l="1"/>
  <c r="I3191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20" i="3" l="1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05" i="3" l="1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03" i="3" l="1"/>
  <c r="I3104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076" i="3" l="1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37" i="3" l="1"/>
  <c r="I3038" i="3"/>
  <c r="I3039" i="3"/>
  <c r="I3040" i="3"/>
  <c r="I3041" i="3"/>
  <c r="I3042" i="3"/>
  <c r="I3043" i="3"/>
  <c r="I3044" i="3"/>
  <c r="I3045" i="3"/>
  <c r="I3030" i="3" l="1"/>
  <c r="I3031" i="3"/>
  <c r="I3032" i="3"/>
  <c r="I3033" i="3"/>
  <c r="I3034" i="3"/>
  <c r="I3035" i="3"/>
  <c r="I3036" i="3"/>
  <c r="I3022" i="3" l="1"/>
  <c r="I3023" i="3"/>
  <c r="I3024" i="3"/>
  <c r="I3025" i="3"/>
  <c r="I3026" i="3"/>
  <c r="I3027" i="3"/>
  <c r="I3028" i="3"/>
  <c r="I3029" i="3"/>
  <c r="I3021" i="3" l="1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01" i="3" l="1"/>
  <c r="I3002" i="3"/>
  <c r="I3003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2974" i="3" l="1"/>
  <c r="I2975" i="3"/>
  <c r="I2976" i="3"/>
  <c r="I2977" i="3"/>
  <c r="I2978" i="3"/>
  <c r="I2979" i="3"/>
  <c r="I2980" i="3"/>
  <c r="I2968" i="3" l="1"/>
  <c r="I2969" i="3"/>
  <c r="I2970" i="3"/>
  <c r="I2971" i="3"/>
  <c r="I2972" i="3"/>
  <c r="I2973" i="3"/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<sst xmlns="http://schemas.openxmlformats.org/spreadsheetml/2006/main" count="13370" uniqueCount="61">
  <si>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</si>
  <si>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</si>
  <si>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</si>
  <si>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</si>
  <si>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</si>
  <si>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</si>
  <si>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</si>
  <si>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</si>
  <si>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</si>
  <si>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</si>
  <si>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</si>
  <si>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</si>
  <si>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</si>
  <si>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</si>
  <si>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</si>
  <si>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</si>
  <si>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</si>
  <si>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</si>
  <si>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</si>
  <si>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</si>
  <si>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</si>
  <si>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</si>
  <si>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</si>
  <si>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</si>
  <si>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</si>
  <si>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</si>
  <si>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</si>
  <si>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</si>
  <si>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</si>
  <si>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</si>
  <si>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</si>
  <si>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</si>
  <si>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</si>
  <si>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</si>
  <si>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</si>
  <si>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</si>
  <si>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</si>
  <si>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</si>
  <si>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</si>
  <si>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</si>
  <si>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</si>
  <si>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</si>
  <si>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</si>
  <si>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</si>
  <si>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</si>
  <si>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</si>
  <si>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</si>
  <si>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</si>
  <si>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</si>
  <si>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</si>
  <si>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</si>
  <si>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</si>
  <si>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</si>
  <si>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</si>
  <si>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</si>
  <si>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</si>
  <si>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</si>
  <si>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</si>
  <si>
    <t>João Vitor</t>
  </si>
  <si>
    <t>Juliana Lopes</t>
  </si>
  <si>
    <t>Lidiane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</si>
</sst>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3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3331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3331"/>
  <sheetViews>
    <sheetView tabSelected="1" zoomScale="80" zoomScaleNormal="80" workbookViewId="0">
      <pane ySplit="1" topLeftCell="A3289" activePane="bottomLeft" state="frozenSplit"/>
      <selection activeCell="D1" sqref="D1 D1"/>
      <selection pane="bottomLeft" activeCell="A3331" sqref="A3331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25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25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25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25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25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25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25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  <row r="2968" spans="1:9" ht="15" customHeight="1" x14ac:dyDescent="0.25">
      <c r="A2968" s="7">
        <v>2967</v>
      </c>
      <c r="B2968" s="1">
        <v>43538</v>
      </c>
      <c r="C2968" s="6" t="s">
        <v>18</v>
      </c>
      <c r="D2968" s="6" t="s">
        <v>41</v>
      </c>
      <c r="E2968" s="6">
        <v>5</v>
      </c>
      <c r="F2968" s="6">
        <v>4</v>
      </c>
      <c r="G2968" s="6" t="s">
        <v>13</v>
      </c>
      <c r="H2968" s="6" t="s">
        <v>11</v>
      </c>
      <c r="I2968" s="6">
        <f>TabJogos[[#This Row],[PontosTime1]]-TabJogos[[#This Row],[PontosTime2]]</f>
        <v>1</v>
      </c>
    </row>
    <row r="2969" spans="1:9" ht="15" customHeight="1" x14ac:dyDescent="0.25">
      <c r="A2969" s="7">
        <v>2968</v>
      </c>
      <c r="B2969" s="1">
        <v>43538</v>
      </c>
      <c r="C2969" s="6" t="s">
        <v>18</v>
      </c>
      <c r="D2969" s="6" t="s">
        <v>11</v>
      </c>
      <c r="E2969" s="6">
        <v>6</v>
      </c>
      <c r="F2969" s="6">
        <v>1</v>
      </c>
      <c r="G2969" s="6" t="s">
        <v>13</v>
      </c>
      <c r="H2969" s="6" t="s">
        <v>41</v>
      </c>
      <c r="I2969" s="6">
        <f>TabJogos[[#This Row],[PontosTime1]]-TabJogos[[#This Row],[PontosTime2]]</f>
        <v>5</v>
      </c>
    </row>
    <row r="2970" spans="1:9" ht="15" customHeight="1" x14ac:dyDescent="0.25">
      <c r="A2970" s="7">
        <v>2969</v>
      </c>
      <c r="B2970" s="1">
        <v>43538</v>
      </c>
      <c r="C2970" s="6" t="s">
        <v>11</v>
      </c>
      <c r="D2970" s="6" t="s">
        <v>41</v>
      </c>
      <c r="E2970" s="6">
        <v>5</v>
      </c>
      <c r="F2970" s="6">
        <v>1</v>
      </c>
      <c r="G2970" s="6" t="s">
        <v>13</v>
      </c>
      <c r="H2970" s="6" t="s">
        <v>18</v>
      </c>
      <c r="I2970" s="6">
        <f>TabJogos[[#This Row],[PontosTime1]]-TabJogos[[#This Row],[PontosTime2]]</f>
        <v>4</v>
      </c>
    </row>
    <row r="2971" spans="1:9" ht="15" customHeight="1" x14ac:dyDescent="0.25">
      <c r="A2971" s="7">
        <v>2970</v>
      </c>
      <c r="B2971" s="1">
        <v>43538</v>
      </c>
      <c r="C2971" s="6" t="s">
        <v>41</v>
      </c>
      <c r="D2971" s="6" t="s">
        <v>13</v>
      </c>
      <c r="E2971" s="6">
        <v>3</v>
      </c>
      <c r="F2971" s="6">
        <v>5</v>
      </c>
      <c r="G2971" s="6" t="s">
        <v>27</v>
      </c>
      <c r="H2971" s="6" t="s">
        <v>11</v>
      </c>
      <c r="I2971" s="6">
        <f>TabJogos[[#This Row],[PontosTime1]]-TabJogos[[#This Row],[PontosTime2]]</f>
        <v>-2</v>
      </c>
    </row>
    <row r="2972" spans="1:9" ht="15" customHeight="1" x14ac:dyDescent="0.25">
      <c r="A2972" s="7">
        <v>2971</v>
      </c>
      <c r="B2972" s="1">
        <v>43538</v>
      </c>
      <c r="C2972" s="6" t="s">
        <v>27</v>
      </c>
      <c r="D2972" s="6" t="s">
        <v>17</v>
      </c>
      <c r="E2972" s="6">
        <v>2</v>
      </c>
      <c r="F2972" s="6">
        <v>5</v>
      </c>
      <c r="G2972" s="6" t="s">
        <v>11</v>
      </c>
      <c r="H2972" s="6" t="s">
        <v>18</v>
      </c>
      <c r="I2972" s="6">
        <f>TabJogos[[#This Row],[PontosTime1]]-TabJogos[[#This Row],[PontosTime2]]</f>
        <v>-3</v>
      </c>
    </row>
    <row r="2973" spans="1:9" ht="15" customHeight="1" x14ac:dyDescent="0.25">
      <c r="A2973" s="7">
        <v>2972</v>
      </c>
      <c r="B2973" s="1">
        <v>43538</v>
      </c>
      <c r="C2973" s="6" t="s">
        <v>11</v>
      </c>
      <c r="D2973" s="6" t="s">
        <v>17</v>
      </c>
      <c r="E2973" s="6">
        <v>5</v>
      </c>
      <c r="F2973" s="6">
        <v>3</v>
      </c>
      <c r="G2973" s="6" t="s">
        <v>18</v>
      </c>
      <c r="H2973" s="6" t="s">
        <v>13</v>
      </c>
      <c r="I2973" s="6">
        <f>TabJogos[[#This Row],[PontosTime1]]-TabJogos[[#This Row],[PontosTime2]]</f>
        <v>2</v>
      </c>
    </row>
    <row r="2974" spans="1:9" ht="15" customHeight="1" x14ac:dyDescent="0.25">
      <c r="A2974" s="7">
        <v>2973</v>
      </c>
      <c r="B2974" s="1">
        <v>43539</v>
      </c>
      <c r="C2974" s="6" t="s">
        <v>13</v>
      </c>
      <c r="D2974" s="6" t="s">
        <v>41</v>
      </c>
      <c r="E2974" s="6">
        <v>6</v>
      </c>
      <c r="F2974" s="6">
        <v>3</v>
      </c>
      <c r="G2974" s="6" t="s">
        <v>18</v>
      </c>
      <c r="H2974" s="6" t="s">
        <v>11</v>
      </c>
      <c r="I2974" s="6">
        <f>TabJogos[[#This Row],[PontosTime1]]-TabJogos[[#This Row],[PontosTime2]]</f>
        <v>3</v>
      </c>
    </row>
    <row r="2975" spans="1:9" ht="15" customHeight="1" x14ac:dyDescent="0.25">
      <c r="A2975" s="7">
        <v>2974</v>
      </c>
      <c r="B2975" s="1">
        <v>43539</v>
      </c>
      <c r="C2975" s="6" t="s">
        <v>41</v>
      </c>
      <c r="D2975" s="6" t="s">
        <v>11</v>
      </c>
      <c r="E2975" s="6">
        <v>5</v>
      </c>
      <c r="F2975" s="6">
        <v>4</v>
      </c>
      <c r="G2975" s="6" t="s">
        <v>18</v>
      </c>
      <c r="H2975" s="6" t="s">
        <v>13</v>
      </c>
      <c r="I2975" s="6">
        <f>TabJogos[[#This Row],[PontosTime1]]-TabJogos[[#This Row],[PontosTime2]]</f>
        <v>1</v>
      </c>
    </row>
    <row r="2976" spans="1:9" ht="15" customHeight="1" x14ac:dyDescent="0.25">
      <c r="A2976" s="7">
        <v>2975</v>
      </c>
      <c r="B2976" s="1">
        <v>43539</v>
      </c>
      <c r="C2976" s="6" t="s">
        <v>13</v>
      </c>
      <c r="D2976" s="6" t="s">
        <v>11</v>
      </c>
      <c r="E2976" s="6">
        <v>2</v>
      </c>
      <c r="F2976" s="6">
        <v>6</v>
      </c>
      <c r="G2976" s="6" t="s">
        <v>18</v>
      </c>
      <c r="H2976" s="6" t="s">
        <v>41</v>
      </c>
      <c r="I2976" s="6">
        <f>TabJogos[[#This Row],[PontosTime1]]-TabJogos[[#This Row],[PontosTime2]]</f>
        <v>-4</v>
      </c>
    </row>
    <row r="2977" spans="1:9" ht="15" customHeight="1" x14ac:dyDescent="0.25">
      <c r="A2977" s="7">
        <v>2976</v>
      </c>
      <c r="B2977" s="1">
        <v>43539</v>
      </c>
      <c r="C2977" s="6" t="s">
        <v>41</v>
      </c>
      <c r="D2977" s="6" t="s">
        <v>13</v>
      </c>
      <c r="E2977" s="6">
        <v>5</v>
      </c>
      <c r="F2977" s="6">
        <v>3</v>
      </c>
      <c r="G2977" s="6" t="s">
        <v>18</v>
      </c>
      <c r="H2977" s="6" t="s">
        <v>17</v>
      </c>
      <c r="I2977" s="6">
        <f>TabJogos[[#This Row],[PontosTime1]]-TabJogos[[#This Row],[PontosTime2]]</f>
        <v>2</v>
      </c>
    </row>
    <row r="2978" spans="1:9" ht="15" customHeight="1" x14ac:dyDescent="0.25">
      <c r="A2978" s="7">
        <v>2977</v>
      </c>
      <c r="B2978" s="1">
        <v>43539</v>
      </c>
      <c r="C2978" s="6" t="s">
        <v>32</v>
      </c>
      <c r="D2978" s="6" t="s">
        <v>11</v>
      </c>
      <c r="E2978" s="6">
        <v>0</v>
      </c>
      <c r="F2978" s="6">
        <v>5</v>
      </c>
      <c r="G2978" s="6" t="s">
        <v>28</v>
      </c>
      <c r="H2978" s="6" t="s">
        <v>13</v>
      </c>
      <c r="I2978" s="6">
        <f>TabJogos[[#This Row],[PontosTime1]]-TabJogos[[#This Row],[PontosTime2]]</f>
        <v>-5</v>
      </c>
    </row>
    <row r="2979" spans="1:9" ht="15" customHeight="1" x14ac:dyDescent="0.25">
      <c r="A2979" s="7">
        <v>2978</v>
      </c>
      <c r="B2979" s="1">
        <v>43539</v>
      </c>
      <c r="C2979" s="6" t="s">
        <v>28</v>
      </c>
      <c r="D2979" s="6" t="s">
        <v>18</v>
      </c>
      <c r="E2979" s="6">
        <v>4</v>
      </c>
      <c r="F2979" s="6">
        <v>5</v>
      </c>
      <c r="G2979" s="6" t="s">
        <v>17</v>
      </c>
      <c r="H2979" s="6" t="s">
        <v>13</v>
      </c>
      <c r="I2979" s="6">
        <f>TabJogos[[#This Row],[PontosTime1]]-TabJogos[[#This Row],[PontosTime2]]</f>
        <v>-1</v>
      </c>
    </row>
    <row r="2980" spans="1:9" ht="15" customHeight="1" x14ac:dyDescent="0.25">
      <c r="A2980" s="7">
        <v>2979</v>
      </c>
      <c r="B2980" s="1">
        <v>43539</v>
      </c>
      <c r="C2980" s="6" t="s">
        <v>17</v>
      </c>
      <c r="D2980" s="6" t="s">
        <v>11</v>
      </c>
      <c r="E2980" s="6">
        <v>5</v>
      </c>
      <c r="F2980" s="6">
        <v>2</v>
      </c>
      <c r="G2980" s="6" t="s">
        <v>18</v>
      </c>
      <c r="H2980" s="6" t="s">
        <v>13</v>
      </c>
      <c r="I2980" s="6">
        <f>TabJogos[[#This Row],[PontosTime1]]-TabJogos[[#This Row],[PontosTime2]]</f>
        <v>3</v>
      </c>
    </row>
    <row r="2981" spans="1:9" ht="15" customHeight="1" x14ac:dyDescent="0.25">
      <c r="A2981" s="7">
        <v>2980</v>
      </c>
      <c r="B2981" s="1">
        <v>43542</v>
      </c>
      <c r="C2981" s="6" t="s">
        <v>13</v>
      </c>
      <c r="D2981" s="6" t="s">
        <v>16</v>
      </c>
      <c r="E2981" s="6">
        <v>6</v>
      </c>
      <c r="F2981" s="6">
        <v>1</v>
      </c>
      <c r="G2981" s="6" t="s">
        <v>18</v>
      </c>
      <c r="H2981" s="6" t="s">
        <v>11</v>
      </c>
      <c r="I2981" s="6">
        <f>TabJogos[[#This Row],[PontosTime1]]-TabJogos[[#This Row],[PontosTime2]]</f>
        <v>5</v>
      </c>
    </row>
    <row r="2982" spans="1:9" ht="15" customHeight="1" x14ac:dyDescent="0.25">
      <c r="A2982" s="7">
        <v>2981</v>
      </c>
      <c r="B2982" s="1">
        <v>43542</v>
      </c>
      <c r="C2982" s="6" t="s">
        <v>16</v>
      </c>
      <c r="D2982" s="6" t="s">
        <v>11</v>
      </c>
      <c r="E2982" s="6">
        <v>5</v>
      </c>
      <c r="F2982" s="6">
        <v>2</v>
      </c>
      <c r="G2982" s="6" t="s">
        <v>13</v>
      </c>
      <c r="H2982" s="6" t="s">
        <v>18</v>
      </c>
      <c r="I2982" s="6">
        <f>TabJogos[[#This Row],[PontosTime1]]-TabJogos[[#This Row],[PontosTime2]]</f>
        <v>3</v>
      </c>
    </row>
    <row r="2983" spans="1:9" ht="15" customHeight="1" x14ac:dyDescent="0.25">
      <c r="A2983" s="7">
        <v>2982</v>
      </c>
      <c r="B2983" s="1">
        <v>43542</v>
      </c>
      <c r="C2983" s="6" t="s">
        <v>32</v>
      </c>
      <c r="D2983" s="6" t="s">
        <v>18</v>
      </c>
      <c r="E2983" s="6">
        <v>3</v>
      </c>
      <c r="F2983" s="6">
        <v>5</v>
      </c>
      <c r="G2983" s="6" t="s">
        <v>41</v>
      </c>
      <c r="H2983" s="6" t="s">
        <v>11</v>
      </c>
      <c r="I2983" s="6">
        <f>TabJogos[[#This Row],[PontosTime1]]-TabJogos[[#This Row],[PontosTime2]]</f>
        <v>-2</v>
      </c>
    </row>
    <row r="2984" spans="1:9" ht="15" customHeight="1" x14ac:dyDescent="0.25">
      <c r="A2984" s="7">
        <v>2983</v>
      </c>
      <c r="B2984" s="1">
        <v>43542</v>
      </c>
      <c r="C2984" s="6" t="s">
        <v>41</v>
      </c>
      <c r="D2984" s="6" t="s">
        <v>28</v>
      </c>
      <c r="E2984" s="6">
        <v>6</v>
      </c>
      <c r="F2984" s="6">
        <v>3</v>
      </c>
      <c r="G2984" s="6" t="s">
        <v>13</v>
      </c>
      <c r="H2984" s="6" t="s">
        <v>11</v>
      </c>
      <c r="I2984" s="6">
        <f>TabJogos[[#This Row],[PontosTime1]]-TabJogos[[#This Row],[PontosTime2]]</f>
        <v>3</v>
      </c>
    </row>
    <row r="2985" spans="1:9" ht="15" customHeight="1" x14ac:dyDescent="0.25">
      <c r="A2985" s="7">
        <v>2984</v>
      </c>
      <c r="B2985" s="1">
        <v>43542</v>
      </c>
      <c r="C2985" s="6" t="s">
        <v>28</v>
      </c>
      <c r="D2985" s="6" t="s">
        <v>32</v>
      </c>
      <c r="E2985" s="6">
        <v>4</v>
      </c>
      <c r="F2985" s="6">
        <v>5</v>
      </c>
      <c r="G2985" s="6" t="s">
        <v>23</v>
      </c>
      <c r="H2985" s="6" t="s">
        <v>41</v>
      </c>
      <c r="I2985" s="6">
        <f>TabJogos[[#This Row],[PontosTime1]]-TabJogos[[#This Row],[PontosTime2]]</f>
        <v>-1</v>
      </c>
    </row>
    <row r="2986" spans="1:9" ht="15" customHeight="1" x14ac:dyDescent="0.25">
      <c r="A2986" s="7">
        <v>2985</v>
      </c>
      <c r="B2986" s="1">
        <v>43542</v>
      </c>
      <c r="C2986" s="6" t="s">
        <v>18</v>
      </c>
      <c r="D2986" s="6" t="s">
        <v>41</v>
      </c>
      <c r="E2986" s="6">
        <v>5</v>
      </c>
      <c r="F2986" s="6">
        <v>3</v>
      </c>
      <c r="G2986" s="6" t="s">
        <v>23</v>
      </c>
      <c r="H2986" s="6" t="s">
        <v>11</v>
      </c>
      <c r="I2986" s="6">
        <f>TabJogos[[#This Row],[PontosTime1]]-TabJogos[[#This Row],[PontosTime2]]</f>
        <v>2</v>
      </c>
    </row>
    <row r="2987" spans="1:9" ht="15" customHeight="1" x14ac:dyDescent="0.25">
      <c r="A2987" s="7">
        <v>2986</v>
      </c>
      <c r="B2987" s="1">
        <v>43542</v>
      </c>
      <c r="C2987" s="6" t="s">
        <v>41</v>
      </c>
      <c r="D2987" s="6" t="s">
        <v>13</v>
      </c>
      <c r="E2987" s="6">
        <v>5</v>
      </c>
      <c r="F2987" s="6">
        <v>1</v>
      </c>
      <c r="G2987" s="6" t="s">
        <v>28</v>
      </c>
      <c r="H2987" s="6" t="s">
        <v>18</v>
      </c>
      <c r="I2987" s="6">
        <f>TabJogos[[#This Row],[PontosTime1]]-TabJogos[[#This Row],[PontosTime2]]</f>
        <v>4</v>
      </c>
    </row>
    <row r="2988" spans="1:9" ht="15" customHeight="1" x14ac:dyDescent="0.25">
      <c r="A2988" s="7">
        <v>2987</v>
      </c>
      <c r="B2988" s="1">
        <v>43542</v>
      </c>
      <c r="C2988" s="6" t="s">
        <v>28</v>
      </c>
      <c r="D2988" s="6" t="s">
        <v>13</v>
      </c>
      <c r="E2988" s="6">
        <v>6</v>
      </c>
      <c r="F2988" s="6">
        <v>1</v>
      </c>
      <c r="G2988" s="6" t="s">
        <v>11</v>
      </c>
      <c r="H2988" s="6" t="s">
        <v>9</v>
      </c>
      <c r="I2988" s="6">
        <f>TabJogos[[#This Row],[PontosTime1]]-TabJogos[[#This Row],[PontosTime2]]</f>
        <v>5</v>
      </c>
    </row>
    <row r="2989" spans="1:9" ht="15" customHeight="1" x14ac:dyDescent="0.25">
      <c r="A2989" s="7">
        <v>2988</v>
      </c>
      <c r="B2989" s="1">
        <v>43542</v>
      </c>
      <c r="C2989" s="6" t="s">
        <v>11</v>
      </c>
      <c r="D2989" s="6" t="s">
        <v>28</v>
      </c>
      <c r="E2989" s="6">
        <v>5</v>
      </c>
      <c r="F2989" s="6">
        <v>4</v>
      </c>
      <c r="G2989" s="6" t="s">
        <v>13</v>
      </c>
      <c r="H2989" s="6" t="s">
        <v>18</v>
      </c>
      <c r="I2989" s="6">
        <f>TabJogos[[#This Row],[PontosTime1]]-TabJogos[[#This Row],[PontosTime2]]</f>
        <v>1</v>
      </c>
    </row>
    <row r="2990" spans="1:9" ht="15" customHeight="1" x14ac:dyDescent="0.25">
      <c r="A2990" s="7">
        <v>2989</v>
      </c>
      <c r="B2990" s="1">
        <v>43542</v>
      </c>
      <c r="C2990" s="6" t="s">
        <v>28</v>
      </c>
      <c r="D2990" s="6" t="s">
        <v>9</v>
      </c>
      <c r="E2990" s="6">
        <v>5</v>
      </c>
      <c r="F2990" s="6">
        <v>1</v>
      </c>
      <c r="G2990" s="6" t="s">
        <v>11</v>
      </c>
      <c r="H2990" s="6" t="s">
        <v>17</v>
      </c>
      <c r="I2990" s="6">
        <f>TabJogos[[#This Row],[PontosTime1]]-TabJogos[[#This Row],[PontosTime2]]</f>
        <v>4</v>
      </c>
    </row>
    <row r="2991" spans="1:9" ht="15" customHeight="1" x14ac:dyDescent="0.25">
      <c r="A2991" s="7">
        <v>2990</v>
      </c>
      <c r="B2991" s="1">
        <v>43542</v>
      </c>
      <c r="C2991" s="6" t="s">
        <v>17</v>
      </c>
      <c r="D2991" s="6" t="s">
        <v>9</v>
      </c>
      <c r="E2991" s="6">
        <v>5</v>
      </c>
      <c r="F2991" s="6">
        <v>1</v>
      </c>
      <c r="G2991" s="6" t="s">
        <v>11</v>
      </c>
      <c r="H2991" s="6" t="s">
        <v>13</v>
      </c>
      <c r="I2991" s="6">
        <f>TabJogos[[#This Row],[PontosTime1]]-TabJogos[[#This Row],[PontosTime2]]</f>
        <v>4</v>
      </c>
    </row>
    <row r="2992" spans="1:9" ht="15" customHeight="1" x14ac:dyDescent="0.25">
      <c r="A2992" s="7">
        <v>2991</v>
      </c>
      <c r="B2992" s="1">
        <v>43542</v>
      </c>
      <c r="C2992" s="6" t="s">
        <v>13</v>
      </c>
      <c r="D2992" s="6" t="s">
        <v>9</v>
      </c>
      <c r="E2992" s="6">
        <v>3</v>
      </c>
      <c r="F2992" s="6">
        <v>5</v>
      </c>
      <c r="G2992" s="6" t="s">
        <v>17</v>
      </c>
      <c r="H2992" s="6" t="s">
        <v>11</v>
      </c>
      <c r="I2992" s="6">
        <f>TabJogos[[#This Row],[PontosTime1]]-TabJogos[[#This Row],[PontosTime2]]</f>
        <v>-2</v>
      </c>
    </row>
    <row r="2993" spans="1:9" ht="15" customHeight="1" x14ac:dyDescent="0.25">
      <c r="A2993" s="7">
        <v>2992</v>
      </c>
      <c r="B2993" s="1">
        <v>43543</v>
      </c>
      <c r="C2993" s="6" t="s">
        <v>32</v>
      </c>
      <c r="D2993" s="6" t="s">
        <v>27</v>
      </c>
      <c r="E2993" s="6">
        <v>3</v>
      </c>
      <c r="F2993" s="6">
        <v>6</v>
      </c>
      <c r="G2993" s="6" t="s">
        <v>17</v>
      </c>
      <c r="H2993" s="6" t="s">
        <v>11</v>
      </c>
      <c r="I2993" s="6">
        <f>TabJogos[[#This Row],[PontosTime1]]-TabJogos[[#This Row],[PontosTime2]]</f>
        <v>-3</v>
      </c>
    </row>
    <row r="2994" spans="1:9" ht="15" customHeight="1" x14ac:dyDescent="0.25">
      <c r="A2994" s="7">
        <v>2993</v>
      </c>
      <c r="B2994" s="1">
        <v>43543</v>
      </c>
      <c r="C2994" s="6" t="s">
        <v>11</v>
      </c>
      <c r="D2994" s="6" t="s">
        <v>13</v>
      </c>
      <c r="E2994" s="6">
        <v>3</v>
      </c>
      <c r="F2994" s="6">
        <v>5</v>
      </c>
      <c r="G2994" s="6" t="s">
        <v>17</v>
      </c>
      <c r="H2994" s="6" t="s">
        <v>18</v>
      </c>
      <c r="I2994" s="6">
        <f>TabJogos[[#This Row],[PontosTime1]]-TabJogos[[#This Row],[PontosTime2]]</f>
        <v>-2</v>
      </c>
    </row>
    <row r="2995" spans="1:9" ht="15" customHeight="1" x14ac:dyDescent="0.25">
      <c r="A2995" s="7">
        <v>2994</v>
      </c>
      <c r="B2995" s="1">
        <v>43543</v>
      </c>
      <c r="C2995" s="6" t="s">
        <v>18</v>
      </c>
      <c r="D2995" s="6" t="s">
        <v>32</v>
      </c>
      <c r="E2995" s="6">
        <v>6</v>
      </c>
      <c r="F2995" s="6">
        <v>4</v>
      </c>
      <c r="G2995" s="6" t="s">
        <v>17</v>
      </c>
      <c r="H2995" s="6" t="s">
        <v>41</v>
      </c>
      <c r="I2995" s="6">
        <f>TabJogos[[#This Row],[PontosTime1]]-TabJogos[[#This Row],[PontosTime2]]</f>
        <v>2</v>
      </c>
    </row>
    <row r="2996" spans="1:9" ht="15" customHeight="1" x14ac:dyDescent="0.25">
      <c r="A2996" s="7">
        <v>2995</v>
      </c>
      <c r="B2996" s="1">
        <v>43543</v>
      </c>
      <c r="C2996" s="6" t="s">
        <v>32</v>
      </c>
      <c r="D2996" s="6" t="s">
        <v>11</v>
      </c>
      <c r="E2996" s="6">
        <v>5</v>
      </c>
      <c r="F2996" s="6">
        <v>3</v>
      </c>
      <c r="G2996" s="6" t="s">
        <v>18</v>
      </c>
      <c r="H2996" s="6" t="s">
        <v>27</v>
      </c>
      <c r="I2996" s="6">
        <f>TabJogos[[#This Row],[PontosTime1]]-TabJogos[[#This Row],[PontosTime2]]</f>
        <v>2</v>
      </c>
    </row>
    <row r="2997" spans="1:9" ht="15" customHeight="1" x14ac:dyDescent="0.25">
      <c r="A2997" s="7">
        <v>2996</v>
      </c>
      <c r="B2997" s="1">
        <v>43543</v>
      </c>
      <c r="C2997" s="6" t="s">
        <v>13</v>
      </c>
      <c r="D2997" s="6" t="s">
        <v>32</v>
      </c>
      <c r="E2997" s="6">
        <v>4</v>
      </c>
      <c r="F2997" s="6">
        <v>5</v>
      </c>
      <c r="G2997" s="6" t="s">
        <v>17</v>
      </c>
      <c r="H2997" s="6" t="s">
        <v>11</v>
      </c>
      <c r="I2997" s="6">
        <f>TabJogos[[#This Row],[PontosTime1]]-TabJogos[[#This Row],[PontosTime2]]</f>
        <v>-1</v>
      </c>
    </row>
    <row r="2998" spans="1:9" ht="15" customHeight="1" x14ac:dyDescent="0.25">
      <c r="A2998" s="7">
        <v>2997</v>
      </c>
      <c r="B2998" s="1">
        <v>43543</v>
      </c>
      <c r="C2998" s="6" t="s">
        <v>11</v>
      </c>
      <c r="D2998" s="6" t="s">
        <v>41</v>
      </c>
      <c r="E2998" s="6">
        <v>5</v>
      </c>
      <c r="F2998" s="6">
        <v>2</v>
      </c>
      <c r="G2998" s="6" t="s">
        <v>17</v>
      </c>
      <c r="H2998" s="6" t="s">
        <v>27</v>
      </c>
      <c r="I2998" s="6">
        <f>TabJogos[[#This Row],[PontosTime1]]-TabJogos[[#This Row],[PontosTime2]]</f>
        <v>3</v>
      </c>
    </row>
    <row r="2999" spans="1:9" ht="15" customHeight="1" x14ac:dyDescent="0.25">
      <c r="A2999" s="7">
        <v>2998</v>
      </c>
      <c r="B2999" s="1">
        <v>43543</v>
      </c>
      <c r="C2999" s="6" t="s">
        <v>11</v>
      </c>
      <c r="D2999" s="6" t="s">
        <v>15</v>
      </c>
      <c r="E2999" s="6">
        <v>8</v>
      </c>
      <c r="F2999" s="6">
        <v>1</v>
      </c>
      <c r="G2999" s="6" t="s">
        <v>18</v>
      </c>
      <c r="H2999" s="6" t="s">
        <v>41</v>
      </c>
      <c r="I2999" s="6">
        <f>TabJogos[[#This Row],[PontosTime1]]-TabJogos[[#This Row],[PontosTime2]]</f>
        <v>7</v>
      </c>
    </row>
    <row r="3000" spans="1:9" ht="15" customHeight="1" x14ac:dyDescent="0.25">
      <c r="A3000" s="7">
        <v>2999</v>
      </c>
      <c r="B3000" s="1">
        <v>43543</v>
      </c>
      <c r="C3000" s="6" t="s">
        <v>13</v>
      </c>
      <c r="D3000" s="6" t="s">
        <v>11</v>
      </c>
      <c r="E3000" s="6">
        <v>8</v>
      </c>
      <c r="F3000" s="6">
        <v>1</v>
      </c>
      <c r="G3000" s="6" t="s">
        <v>15</v>
      </c>
      <c r="H3000" s="6" t="s">
        <v>17</v>
      </c>
      <c r="I3000" s="6">
        <f>TabJogos[[#This Row],[PontosTime1]]-TabJogos[[#This Row],[PontosTime2]]</f>
        <v>7</v>
      </c>
    </row>
    <row r="3001" spans="1:9" ht="15" customHeight="1" x14ac:dyDescent="0.25">
      <c r="A3001" s="7">
        <v>3000</v>
      </c>
      <c r="B3001" s="1">
        <v>43543</v>
      </c>
      <c r="C3001" s="6" t="s">
        <v>11</v>
      </c>
      <c r="D3001" s="6" t="s">
        <v>18</v>
      </c>
      <c r="E3001" s="6">
        <v>5</v>
      </c>
      <c r="F3001" s="6">
        <v>1</v>
      </c>
      <c r="G3001" s="6" t="s">
        <v>17</v>
      </c>
      <c r="H3001" s="6" t="s">
        <v>13</v>
      </c>
      <c r="I3001" s="6">
        <f>TabJogos[[#This Row],[PontosTime1]]-TabJogos[[#This Row],[PontosTime2]]</f>
        <v>4</v>
      </c>
    </row>
    <row r="3002" spans="1:9" ht="15" customHeight="1" x14ac:dyDescent="0.25">
      <c r="A3002" s="7">
        <v>3001</v>
      </c>
      <c r="B3002" s="1">
        <v>43543</v>
      </c>
      <c r="C3002" s="6" t="s">
        <v>13</v>
      </c>
      <c r="D3002" s="6" t="s">
        <v>18</v>
      </c>
      <c r="E3002" s="6">
        <v>3</v>
      </c>
      <c r="F3002" s="6">
        <v>5</v>
      </c>
      <c r="G3002" s="6" t="s">
        <v>11</v>
      </c>
      <c r="H3002" s="6" t="s">
        <v>17</v>
      </c>
      <c r="I3002" s="6">
        <f>TabJogos[[#This Row],[PontosTime1]]-TabJogos[[#This Row],[PontosTime2]]</f>
        <v>-2</v>
      </c>
    </row>
    <row r="3003" spans="1:9" ht="15" customHeight="1" x14ac:dyDescent="0.25">
      <c r="A3003" s="7">
        <v>3002</v>
      </c>
      <c r="B3003" s="1">
        <v>43543</v>
      </c>
      <c r="C3003" s="6" t="s">
        <v>11</v>
      </c>
      <c r="D3003" s="6" t="s">
        <v>13</v>
      </c>
      <c r="E3003" s="6">
        <v>5</v>
      </c>
      <c r="F3003" s="6">
        <v>3</v>
      </c>
      <c r="G3003" s="6" t="s">
        <v>17</v>
      </c>
      <c r="H3003" s="6" t="s">
        <v>18</v>
      </c>
      <c r="I3003" s="6">
        <f>TabJogos[[#This Row],[PontosTime1]]-TabJogos[[#This Row],[PontosTime2]]</f>
        <v>2</v>
      </c>
    </row>
    <row r="3004" spans="1:9" ht="15" customHeight="1" x14ac:dyDescent="0.25">
      <c r="A3004" s="7">
        <v>3003</v>
      </c>
      <c r="B3004" s="1">
        <v>43544</v>
      </c>
      <c r="C3004" s="6" t="s">
        <v>13</v>
      </c>
      <c r="D3004" s="6" t="s">
        <v>17</v>
      </c>
      <c r="E3004" s="6">
        <v>3</v>
      </c>
      <c r="F3004" s="6">
        <v>5</v>
      </c>
      <c r="G3004" s="6" t="s">
        <v>12</v>
      </c>
      <c r="H3004" s="6" t="s">
        <v>11</v>
      </c>
      <c r="I3004" s="6">
        <f>TabJogos[[#This Row],[PontosTime1]]-TabJogos[[#This Row],[PontosTime2]]</f>
        <v>-2</v>
      </c>
    </row>
    <row r="3005" spans="1:9" ht="15" customHeight="1" x14ac:dyDescent="0.25">
      <c r="A3005" s="7">
        <v>3004</v>
      </c>
      <c r="B3005" s="1">
        <v>43544</v>
      </c>
      <c r="C3005" s="6" t="s">
        <v>11</v>
      </c>
      <c r="D3005" s="6" t="s">
        <v>41</v>
      </c>
      <c r="E3005" s="6">
        <v>0</v>
      </c>
      <c r="F3005" s="6">
        <v>7</v>
      </c>
      <c r="G3005" s="6" t="s">
        <v>12</v>
      </c>
      <c r="H3005" s="6" t="s">
        <v>15</v>
      </c>
      <c r="I3005" s="6">
        <f>TabJogos[[#This Row],[PontosTime1]]-TabJogos[[#This Row],[PontosTime2]]</f>
        <v>-7</v>
      </c>
    </row>
    <row r="3006" spans="1:9" ht="15" customHeight="1" x14ac:dyDescent="0.25">
      <c r="A3006" s="7">
        <v>3005</v>
      </c>
      <c r="B3006" s="1">
        <v>43544</v>
      </c>
      <c r="C3006" s="6" t="s">
        <v>17</v>
      </c>
      <c r="D3006" s="6" t="s">
        <v>15</v>
      </c>
      <c r="E3006" s="6">
        <v>5</v>
      </c>
      <c r="F3006" s="6">
        <v>1</v>
      </c>
      <c r="G3006" s="6" t="s">
        <v>12</v>
      </c>
      <c r="H3006" s="6" t="s">
        <v>13</v>
      </c>
      <c r="I3006" s="6">
        <f>TabJogos[[#This Row],[PontosTime1]]-TabJogos[[#This Row],[PontosTime2]]</f>
        <v>4</v>
      </c>
    </row>
    <row r="3007" spans="1:9" ht="15" customHeight="1" x14ac:dyDescent="0.25">
      <c r="A3007" s="7">
        <v>3006</v>
      </c>
      <c r="B3007" s="1">
        <v>43544</v>
      </c>
      <c r="C3007" s="6" t="s">
        <v>17</v>
      </c>
      <c r="D3007" s="6" t="s">
        <v>41</v>
      </c>
      <c r="E3007" s="6">
        <v>6</v>
      </c>
      <c r="F3007" s="6">
        <v>3</v>
      </c>
      <c r="G3007" s="6" t="s">
        <v>15</v>
      </c>
      <c r="H3007" s="6" t="s">
        <v>11</v>
      </c>
      <c r="I3007" s="6">
        <f>TabJogos[[#This Row],[PontosTime1]]-TabJogos[[#This Row],[PontosTime2]]</f>
        <v>3</v>
      </c>
    </row>
    <row r="3008" spans="1:9" ht="15" customHeight="1" x14ac:dyDescent="0.25">
      <c r="A3008" s="7">
        <v>3007</v>
      </c>
      <c r="B3008" s="1">
        <v>43544</v>
      </c>
      <c r="C3008" s="6" t="s">
        <v>17</v>
      </c>
      <c r="D3008" s="6" t="s">
        <v>28</v>
      </c>
      <c r="E3008" s="6">
        <v>5</v>
      </c>
      <c r="F3008" s="6">
        <v>1</v>
      </c>
      <c r="G3008" s="6" t="s">
        <v>13</v>
      </c>
      <c r="H3008" s="6" t="s">
        <v>41</v>
      </c>
      <c r="I3008" s="6">
        <f>TabJogos[[#This Row],[PontosTime1]]-TabJogos[[#This Row],[PontosTime2]]</f>
        <v>4</v>
      </c>
    </row>
    <row r="3009" spans="1:9" ht="15" customHeight="1" x14ac:dyDescent="0.25">
      <c r="A3009" s="7">
        <v>3008</v>
      </c>
      <c r="B3009" s="1">
        <v>43544</v>
      </c>
      <c r="C3009" s="6" t="s">
        <v>13</v>
      </c>
      <c r="D3009" s="6" t="s">
        <v>28</v>
      </c>
      <c r="E3009" s="6">
        <v>5</v>
      </c>
      <c r="F3009" s="6">
        <v>2</v>
      </c>
      <c r="G3009" s="6" t="s">
        <v>17</v>
      </c>
      <c r="H3009" s="6" t="s">
        <v>11</v>
      </c>
      <c r="I3009" s="6">
        <f>TabJogos[[#This Row],[PontosTime1]]-TabJogos[[#This Row],[PontosTime2]]</f>
        <v>3</v>
      </c>
    </row>
    <row r="3010" spans="1:9" ht="15" customHeight="1" x14ac:dyDescent="0.25">
      <c r="A3010" s="7">
        <v>3009</v>
      </c>
      <c r="B3010" s="1">
        <v>43544</v>
      </c>
      <c r="C3010" s="6" t="s">
        <v>11</v>
      </c>
      <c r="D3010" s="6" t="s">
        <v>28</v>
      </c>
      <c r="E3010" s="6">
        <v>5</v>
      </c>
      <c r="F3010" s="6">
        <v>3</v>
      </c>
      <c r="G3010" s="6" t="s">
        <v>17</v>
      </c>
      <c r="H3010" s="6" t="s">
        <v>13</v>
      </c>
      <c r="I3010" s="6">
        <f>TabJogos[[#This Row],[PontosTime1]]-TabJogos[[#This Row],[PontosTime2]]</f>
        <v>2</v>
      </c>
    </row>
    <row r="3011" spans="1:9" ht="15" customHeight="1" x14ac:dyDescent="0.25">
      <c r="A3011" s="7">
        <v>3010</v>
      </c>
      <c r="B3011" s="1">
        <v>43544</v>
      </c>
      <c r="C3011" s="6" t="s">
        <v>11</v>
      </c>
      <c r="D3011" s="6" t="s">
        <v>13</v>
      </c>
      <c r="E3011" s="6">
        <v>5</v>
      </c>
      <c r="F3011" s="6">
        <v>1</v>
      </c>
      <c r="G3011" s="6" t="s">
        <v>17</v>
      </c>
      <c r="H3011" s="6" t="s">
        <v>9</v>
      </c>
      <c r="I3011" s="6">
        <f>TabJogos[[#This Row],[PontosTime1]]-TabJogos[[#This Row],[PontosTime2]]</f>
        <v>4</v>
      </c>
    </row>
    <row r="3012" spans="1:9" ht="15" customHeight="1" x14ac:dyDescent="0.25">
      <c r="A3012" s="7">
        <v>3011</v>
      </c>
      <c r="B3012" s="1">
        <v>43544</v>
      </c>
      <c r="C3012" s="6" t="s">
        <v>11</v>
      </c>
      <c r="D3012" s="6" t="s">
        <v>17</v>
      </c>
      <c r="E3012" s="6">
        <v>5</v>
      </c>
      <c r="F3012" s="6">
        <v>1</v>
      </c>
      <c r="G3012" s="6" t="s">
        <v>13</v>
      </c>
      <c r="H3012" s="6" t="s">
        <v>9</v>
      </c>
      <c r="I3012" s="6">
        <f>TabJogos[[#This Row],[PontosTime1]]-TabJogos[[#This Row],[PontosTime2]]</f>
        <v>4</v>
      </c>
    </row>
    <row r="3013" spans="1:9" ht="15" customHeight="1" x14ac:dyDescent="0.25">
      <c r="A3013" s="7">
        <v>3012</v>
      </c>
      <c r="B3013" s="1">
        <v>43544</v>
      </c>
      <c r="C3013" s="6" t="s">
        <v>17</v>
      </c>
      <c r="D3013" s="6" t="s">
        <v>13</v>
      </c>
      <c r="E3013" s="6">
        <v>5</v>
      </c>
      <c r="F3013" s="6">
        <v>3</v>
      </c>
      <c r="G3013" s="6" t="s">
        <v>9</v>
      </c>
      <c r="H3013" s="6" t="s">
        <v>11</v>
      </c>
      <c r="I3013" s="6">
        <f>TabJogos[[#This Row],[PontosTime1]]-TabJogos[[#This Row],[PontosTime2]]</f>
        <v>2</v>
      </c>
    </row>
    <row r="3014" spans="1:9" ht="15" customHeight="1" x14ac:dyDescent="0.25">
      <c r="A3014" s="7">
        <v>3013</v>
      </c>
      <c r="B3014" s="1">
        <v>43545</v>
      </c>
      <c r="C3014" s="6" t="s">
        <v>41</v>
      </c>
      <c r="D3014" s="6" t="s">
        <v>27</v>
      </c>
      <c r="E3014" s="6">
        <v>4</v>
      </c>
      <c r="F3014" s="6">
        <v>5</v>
      </c>
      <c r="G3014" s="6" t="s">
        <v>17</v>
      </c>
      <c r="H3014" s="6" t="s">
        <v>32</v>
      </c>
      <c r="I3014" s="6">
        <f>TabJogos[[#This Row],[PontosTime1]]-TabJogos[[#This Row],[PontosTime2]]</f>
        <v>-1</v>
      </c>
    </row>
    <row r="3015" spans="1:9" ht="15" customHeight="1" x14ac:dyDescent="0.25">
      <c r="A3015" s="7">
        <v>3014</v>
      </c>
      <c r="B3015" s="1">
        <v>43545</v>
      </c>
      <c r="C3015" s="6" t="s">
        <v>17</v>
      </c>
      <c r="D3015" s="6" t="s">
        <v>15</v>
      </c>
      <c r="E3015" s="6">
        <v>5</v>
      </c>
      <c r="F3015" s="6">
        <v>2</v>
      </c>
      <c r="G3015" s="6" t="s">
        <v>13</v>
      </c>
      <c r="H3015" s="6" t="s">
        <v>32</v>
      </c>
      <c r="I3015" s="6">
        <f>TabJogos[[#This Row],[PontosTime1]]-TabJogos[[#This Row],[PontosTime2]]</f>
        <v>3</v>
      </c>
    </row>
    <row r="3016" spans="1:9" ht="15" customHeight="1" x14ac:dyDescent="0.25">
      <c r="A3016" s="7">
        <v>3015</v>
      </c>
      <c r="B3016" s="1">
        <v>43545</v>
      </c>
      <c r="C3016" s="6" t="s">
        <v>15</v>
      </c>
      <c r="D3016" s="6" t="s">
        <v>41</v>
      </c>
      <c r="E3016" s="6">
        <v>0</v>
      </c>
      <c r="F3016" s="6">
        <v>5</v>
      </c>
      <c r="G3016" s="6" t="s">
        <v>17</v>
      </c>
      <c r="H3016" s="6" t="s">
        <v>27</v>
      </c>
      <c r="I3016" s="6">
        <f>TabJogos[[#This Row],[PontosTime1]]-TabJogos[[#This Row],[PontosTime2]]</f>
        <v>-5</v>
      </c>
    </row>
    <row r="3017" spans="1:9" ht="15" customHeight="1" x14ac:dyDescent="0.25">
      <c r="A3017" s="7">
        <v>3016</v>
      </c>
      <c r="B3017" s="1">
        <v>43545</v>
      </c>
      <c r="C3017" s="6" t="s">
        <v>13</v>
      </c>
      <c r="D3017" s="6" t="s">
        <v>17</v>
      </c>
      <c r="E3017" s="6">
        <v>3</v>
      </c>
      <c r="F3017" s="6">
        <v>5</v>
      </c>
      <c r="G3017" s="6" t="s">
        <v>11</v>
      </c>
      <c r="H3017" s="6" t="s">
        <v>27</v>
      </c>
      <c r="I3017" s="6">
        <f>TabJogos[[#This Row],[PontosTime1]]-TabJogos[[#This Row],[PontosTime2]]</f>
        <v>-2</v>
      </c>
    </row>
    <row r="3018" spans="1:9" ht="15" customHeight="1" x14ac:dyDescent="0.25">
      <c r="A3018" s="7">
        <v>3017</v>
      </c>
      <c r="B3018" s="1">
        <v>43545</v>
      </c>
      <c r="C3018" s="6" t="s">
        <v>11</v>
      </c>
      <c r="D3018" s="6" t="s">
        <v>15</v>
      </c>
      <c r="E3018" s="6">
        <v>5</v>
      </c>
      <c r="F3018" s="6">
        <v>4</v>
      </c>
      <c r="G3018" s="6" t="s">
        <v>9</v>
      </c>
      <c r="H3018" s="6" t="s">
        <v>27</v>
      </c>
      <c r="I3018" s="6">
        <f>TabJogos[[#This Row],[PontosTime1]]-TabJogos[[#This Row],[PontosTime2]]</f>
        <v>1</v>
      </c>
    </row>
    <row r="3019" spans="1:9" ht="15" customHeight="1" x14ac:dyDescent="0.25">
      <c r="A3019" s="7">
        <v>3018</v>
      </c>
      <c r="B3019" s="1">
        <v>43545</v>
      </c>
      <c r="C3019" s="6" t="s">
        <v>11</v>
      </c>
      <c r="D3019" s="6" t="s">
        <v>13</v>
      </c>
      <c r="E3019" s="6">
        <v>5</v>
      </c>
      <c r="F3019" s="6">
        <v>1</v>
      </c>
      <c r="G3019" s="6" t="s">
        <v>16</v>
      </c>
      <c r="H3019" s="6" t="s">
        <v>17</v>
      </c>
      <c r="I3019" s="6">
        <f>TabJogos[[#This Row],[PontosTime1]]-TabJogos[[#This Row],[PontosTime2]]</f>
        <v>4</v>
      </c>
    </row>
    <row r="3020" spans="1:9" ht="15" customHeight="1" x14ac:dyDescent="0.25">
      <c r="A3020" s="7">
        <v>3019</v>
      </c>
      <c r="B3020" s="1">
        <v>43545</v>
      </c>
      <c r="C3020" s="6" t="s">
        <v>11</v>
      </c>
      <c r="D3020" s="6" t="s">
        <v>17</v>
      </c>
      <c r="E3020" s="6">
        <v>5</v>
      </c>
      <c r="F3020" s="6">
        <v>3</v>
      </c>
      <c r="G3020" s="6" t="s">
        <v>13</v>
      </c>
      <c r="H3020" s="6" t="s">
        <v>16</v>
      </c>
      <c r="I3020" s="6">
        <f>TabJogos[[#This Row],[PontosTime1]]-TabJogos[[#This Row],[PontosTime2]]</f>
        <v>2</v>
      </c>
    </row>
    <row r="3021" spans="1:9" ht="15" customHeight="1" x14ac:dyDescent="0.25">
      <c r="A3021" s="7">
        <v>3020</v>
      </c>
      <c r="B3021" s="1">
        <v>43545</v>
      </c>
      <c r="C3021" s="6" t="s">
        <v>17</v>
      </c>
      <c r="D3021" s="6" t="s">
        <v>13</v>
      </c>
      <c r="E3021" s="6">
        <v>5</v>
      </c>
      <c r="F3021" s="6">
        <v>2</v>
      </c>
      <c r="G3021" s="6" t="s">
        <v>18</v>
      </c>
      <c r="H3021" s="6" t="s">
        <v>11</v>
      </c>
      <c r="I3021" s="6">
        <f>TabJogos[[#This Row],[PontosTime1]]-TabJogos[[#This Row],[PontosTime2]]</f>
        <v>3</v>
      </c>
    </row>
    <row r="3022" spans="1:9" ht="15" customHeight="1" x14ac:dyDescent="0.25">
      <c r="A3022" s="7">
        <v>3021</v>
      </c>
      <c r="B3022" s="1">
        <v>43549</v>
      </c>
      <c r="C3022" s="6" t="s">
        <v>11</v>
      </c>
      <c r="D3022" s="6" t="s">
        <v>41</v>
      </c>
      <c r="E3022" s="6">
        <v>6</v>
      </c>
      <c r="F3022" s="6">
        <v>3</v>
      </c>
      <c r="G3022" s="6" t="s">
        <v>17</v>
      </c>
      <c r="H3022" s="6" t="s">
        <v>13</v>
      </c>
      <c r="I3022" s="6">
        <f>TabJogos[[#This Row],[PontosTime1]]-TabJogos[[#This Row],[PontosTime2]]</f>
        <v>3</v>
      </c>
    </row>
    <row r="3023" spans="1:9" ht="15" customHeight="1" x14ac:dyDescent="0.25">
      <c r="A3023" s="7">
        <v>3022</v>
      </c>
      <c r="B3023" s="1">
        <v>43549</v>
      </c>
      <c r="C3023" s="6" t="s">
        <v>11</v>
      </c>
      <c r="D3023" s="6" t="s">
        <v>13</v>
      </c>
      <c r="E3023" s="6">
        <v>5</v>
      </c>
      <c r="F3023" s="6">
        <v>4</v>
      </c>
      <c r="G3023" s="6" t="s">
        <v>41</v>
      </c>
      <c r="H3023" s="6" t="s">
        <v>17</v>
      </c>
      <c r="I3023" s="6">
        <f>TabJogos[[#This Row],[PontosTime1]]-TabJogos[[#This Row],[PontosTime2]]</f>
        <v>1</v>
      </c>
    </row>
    <row r="3024" spans="1:9" ht="15" customHeight="1" x14ac:dyDescent="0.25">
      <c r="A3024" s="7">
        <v>3023</v>
      </c>
      <c r="B3024" s="1">
        <v>43549</v>
      </c>
      <c r="C3024" s="6" t="s">
        <v>13</v>
      </c>
      <c r="D3024" s="6" t="s">
        <v>41</v>
      </c>
      <c r="E3024" s="6">
        <v>5</v>
      </c>
      <c r="F3024" s="6">
        <v>1</v>
      </c>
      <c r="G3024" s="6" t="s">
        <v>11</v>
      </c>
      <c r="H3024" s="6" t="s">
        <v>17</v>
      </c>
      <c r="I3024" s="6">
        <f>TabJogos[[#This Row],[PontosTime1]]-TabJogos[[#This Row],[PontosTime2]]</f>
        <v>4</v>
      </c>
    </row>
    <row r="3025" spans="1:9" ht="15" customHeight="1" x14ac:dyDescent="0.25">
      <c r="A3025" s="7">
        <v>3024</v>
      </c>
      <c r="B3025" s="1">
        <v>43549</v>
      </c>
      <c r="C3025" s="6" t="s">
        <v>11</v>
      </c>
      <c r="D3025" s="6" t="s">
        <v>41</v>
      </c>
      <c r="E3025" s="6">
        <v>5</v>
      </c>
      <c r="F3025" s="6">
        <v>2</v>
      </c>
      <c r="G3025" s="6" t="s">
        <v>13</v>
      </c>
      <c r="H3025" s="6" t="s">
        <v>32</v>
      </c>
      <c r="I3025" s="6">
        <f>TabJogos[[#This Row],[PontosTime1]]-TabJogos[[#This Row],[PontosTime2]]</f>
        <v>3</v>
      </c>
    </row>
    <row r="3026" spans="1:9" ht="15" customHeight="1" x14ac:dyDescent="0.25">
      <c r="A3026" s="7">
        <v>3025</v>
      </c>
      <c r="B3026" s="1">
        <v>43549</v>
      </c>
      <c r="C3026" s="6" t="s">
        <v>11</v>
      </c>
      <c r="D3026" s="6" t="s">
        <v>18</v>
      </c>
      <c r="E3026" s="6">
        <v>4</v>
      </c>
      <c r="F3026" s="6">
        <v>5</v>
      </c>
      <c r="G3026" s="6" t="s">
        <v>17</v>
      </c>
      <c r="H3026" s="6" t="s">
        <v>41</v>
      </c>
      <c r="I3026" s="6">
        <f>TabJogos[[#This Row],[PontosTime1]]-TabJogos[[#This Row],[PontosTime2]]</f>
        <v>-1</v>
      </c>
    </row>
    <row r="3027" spans="1:9" ht="15" customHeight="1" x14ac:dyDescent="0.25">
      <c r="A3027" s="7">
        <v>3026</v>
      </c>
      <c r="B3027" s="1">
        <v>43549</v>
      </c>
      <c r="C3027" s="6" t="s">
        <v>13</v>
      </c>
      <c r="D3027" s="6" t="s">
        <v>18</v>
      </c>
      <c r="E3027" s="6">
        <v>4</v>
      </c>
      <c r="F3027" s="6">
        <v>5</v>
      </c>
      <c r="G3027" s="6" t="s">
        <v>11</v>
      </c>
      <c r="H3027" s="6" t="s">
        <v>17</v>
      </c>
      <c r="I3027" s="6">
        <f>TabJogos[[#This Row],[PontosTime1]]-TabJogos[[#This Row],[PontosTime2]]</f>
        <v>-1</v>
      </c>
    </row>
    <row r="3028" spans="1:9" ht="15" customHeight="1" x14ac:dyDescent="0.25">
      <c r="A3028" s="7">
        <v>3027</v>
      </c>
      <c r="B3028" s="1">
        <v>43549</v>
      </c>
      <c r="C3028" s="6" t="s">
        <v>13</v>
      </c>
      <c r="D3028" s="6" t="s">
        <v>11</v>
      </c>
      <c r="E3028" s="6">
        <v>6</v>
      </c>
      <c r="F3028" s="6">
        <v>2</v>
      </c>
      <c r="G3028" s="6" t="s">
        <v>18</v>
      </c>
      <c r="H3028" s="6" t="s">
        <v>17</v>
      </c>
      <c r="I3028" s="6">
        <f>TabJogos[[#This Row],[PontosTime1]]-TabJogos[[#This Row],[PontosTime2]]</f>
        <v>4</v>
      </c>
    </row>
    <row r="3029" spans="1:9" ht="15" customHeight="1" x14ac:dyDescent="0.25">
      <c r="A3029" s="7">
        <v>3028</v>
      </c>
      <c r="B3029" s="1">
        <v>43549</v>
      </c>
      <c r="C3029" s="6" t="s">
        <v>11</v>
      </c>
      <c r="D3029" s="6" t="s">
        <v>18</v>
      </c>
      <c r="E3029" s="6">
        <v>5</v>
      </c>
      <c r="F3029" s="6">
        <v>3</v>
      </c>
      <c r="G3029" s="6" t="s">
        <v>13</v>
      </c>
      <c r="H3029" s="6" t="s">
        <v>17</v>
      </c>
      <c r="I3029" s="6">
        <f>TabJogos[[#This Row],[PontosTime1]]-TabJogos[[#This Row],[PontosTime2]]</f>
        <v>2</v>
      </c>
    </row>
    <row r="3030" spans="1:9" ht="15" customHeight="1" x14ac:dyDescent="0.25">
      <c r="A3030" s="7">
        <v>3029</v>
      </c>
      <c r="B3030" s="1">
        <v>43550</v>
      </c>
      <c r="C3030" s="6" t="s">
        <v>41</v>
      </c>
      <c r="D3030" s="6" t="s">
        <v>32</v>
      </c>
      <c r="E3030" s="6">
        <v>3</v>
      </c>
      <c r="F3030" s="6">
        <v>5</v>
      </c>
      <c r="G3030" s="6" t="s">
        <v>13</v>
      </c>
      <c r="H3030" s="6" t="s">
        <v>18</v>
      </c>
      <c r="I3030" s="6">
        <f>TabJogos[[#This Row],[PontosTime1]]-TabJogos[[#This Row],[PontosTime2]]</f>
        <v>-2</v>
      </c>
    </row>
    <row r="3031" spans="1:9" ht="15" customHeight="1" x14ac:dyDescent="0.25">
      <c r="A3031" s="7">
        <v>3030</v>
      </c>
      <c r="B3031" s="1">
        <v>43550</v>
      </c>
      <c r="C3031" s="6" t="s">
        <v>13</v>
      </c>
      <c r="D3031" s="6" t="s">
        <v>32</v>
      </c>
      <c r="E3031" s="6">
        <v>6</v>
      </c>
      <c r="F3031" s="6">
        <v>0</v>
      </c>
      <c r="G3031" s="6" t="s">
        <v>17</v>
      </c>
      <c r="H3031" s="6" t="s">
        <v>18</v>
      </c>
      <c r="I3031" s="6">
        <f>TabJogos[[#This Row],[PontosTime1]]-TabJogos[[#This Row],[PontosTime2]]</f>
        <v>6</v>
      </c>
    </row>
    <row r="3032" spans="1:9" ht="15" customHeight="1" x14ac:dyDescent="0.25">
      <c r="A3032" s="7">
        <v>3031</v>
      </c>
      <c r="B3032" s="1">
        <v>43550</v>
      </c>
      <c r="C3032" s="6" t="s">
        <v>41</v>
      </c>
      <c r="D3032" s="6" t="s">
        <v>13</v>
      </c>
      <c r="E3032" s="6">
        <v>5</v>
      </c>
      <c r="F3032" s="6">
        <v>4</v>
      </c>
      <c r="G3032" s="6" t="s">
        <v>32</v>
      </c>
      <c r="H3032" s="6" t="s">
        <v>17</v>
      </c>
      <c r="I3032" s="6">
        <f>TabJogos[[#This Row],[PontosTime1]]-TabJogos[[#This Row],[PontosTime2]]</f>
        <v>1</v>
      </c>
    </row>
    <row r="3033" spans="1:9" ht="15" customHeight="1" x14ac:dyDescent="0.25">
      <c r="A3033" s="7">
        <v>3032</v>
      </c>
      <c r="B3033" s="1">
        <v>43550</v>
      </c>
      <c r="C3033" s="6" t="s">
        <v>11</v>
      </c>
      <c r="D3033" s="6" t="s">
        <v>18</v>
      </c>
      <c r="E3033" s="6">
        <v>5</v>
      </c>
      <c r="F3033" s="6">
        <v>2</v>
      </c>
      <c r="G3033" s="6" t="s">
        <v>13</v>
      </c>
      <c r="H3033" s="6" t="s">
        <v>28</v>
      </c>
      <c r="I3033" s="6">
        <f>TabJogos[[#This Row],[PontosTime1]]-TabJogos[[#This Row],[PontosTime2]]</f>
        <v>3</v>
      </c>
    </row>
    <row r="3034" spans="1:9" ht="15" customHeight="1" x14ac:dyDescent="0.25">
      <c r="A3034" s="7">
        <v>3033</v>
      </c>
      <c r="B3034" s="1">
        <v>43550</v>
      </c>
      <c r="C3034" s="6" t="s">
        <v>28</v>
      </c>
      <c r="D3034" s="6" t="s">
        <v>18</v>
      </c>
      <c r="E3034" s="6">
        <v>5</v>
      </c>
      <c r="F3034" s="6">
        <v>3</v>
      </c>
      <c r="G3034" s="6" t="s">
        <v>11</v>
      </c>
      <c r="H3034" s="6" t="s">
        <v>17</v>
      </c>
      <c r="I3034" s="6">
        <f>TabJogos[[#This Row],[PontosTime1]]-TabJogos[[#This Row],[PontosTime2]]</f>
        <v>2</v>
      </c>
    </row>
    <row r="3035" spans="1:9" ht="15" customHeight="1" x14ac:dyDescent="0.25">
      <c r="A3035" s="7">
        <v>3034</v>
      </c>
      <c r="B3035" s="1">
        <v>43550</v>
      </c>
      <c r="C3035" s="6" t="s">
        <v>13</v>
      </c>
      <c r="D3035" s="6" t="s">
        <v>18</v>
      </c>
      <c r="E3035" s="6">
        <v>6</v>
      </c>
      <c r="F3035" s="6">
        <v>3</v>
      </c>
      <c r="G3035" s="6" t="s">
        <v>28</v>
      </c>
      <c r="H3035" s="6" t="s">
        <v>17</v>
      </c>
      <c r="I3035" s="6">
        <f>TabJogos[[#This Row],[PontosTime1]]-TabJogos[[#This Row],[PontosTime2]]</f>
        <v>3</v>
      </c>
    </row>
    <row r="3036" spans="1:9" ht="15" customHeight="1" x14ac:dyDescent="0.25">
      <c r="A3036" s="7">
        <v>3035</v>
      </c>
      <c r="B3036" s="1">
        <v>43550</v>
      </c>
      <c r="C3036" s="6" t="s">
        <v>17</v>
      </c>
      <c r="D3036" s="6" t="s">
        <v>18</v>
      </c>
      <c r="E3036" s="6">
        <v>5</v>
      </c>
      <c r="F3036" s="6">
        <v>3</v>
      </c>
      <c r="G3036" s="6" t="s">
        <v>13</v>
      </c>
      <c r="H3036" s="6" t="s">
        <v>11</v>
      </c>
      <c r="I3036" s="6">
        <f>TabJogos[[#This Row],[PontosTime1]]-TabJogos[[#This Row],[PontosTime2]]</f>
        <v>2</v>
      </c>
    </row>
    <row r="3037" spans="1:9" ht="15" customHeight="1" x14ac:dyDescent="0.25">
      <c r="A3037" s="7">
        <v>3036</v>
      </c>
      <c r="B3037" s="1">
        <v>43551</v>
      </c>
      <c r="C3037" s="6" t="s">
        <v>41</v>
      </c>
      <c r="D3037" s="6" t="s">
        <v>13</v>
      </c>
      <c r="E3037" s="6">
        <v>0</v>
      </c>
      <c r="F3037" s="6">
        <v>5</v>
      </c>
      <c r="G3037" s="6" t="s">
        <v>27</v>
      </c>
      <c r="H3037" s="6" t="s">
        <v>11</v>
      </c>
      <c r="I3037" s="6">
        <f>TabJogos[[#This Row],[PontosTime1]]-TabJogos[[#This Row],[PontosTime2]]</f>
        <v>-5</v>
      </c>
    </row>
    <row r="3038" spans="1:9" ht="15" customHeight="1" x14ac:dyDescent="0.25">
      <c r="A3038" s="7">
        <v>3037</v>
      </c>
      <c r="B3038" s="1">
        <v>43551</v>
      </c>
      <c r="C3038" s="6" t="s">
        <v>41</v>
      </c>
      <c r="D3038" s="6" t="s">
        <v>11</v>
      </c>
      <c r="E3038" s="6">
        <v>4</v>
      </c>
      <c r="F3038" s="6">
        <v>6</v>
      </c>
      <c r="G3038" s="6" t="s">
        <v>28</v>
      </c>
      <c r="H3038" s="6" t="s">
        <v>27</v>
      </c>
      <c r="I3038" s="6">
        <f>TabJogos[[#This Row],[PontosTime1]]-TabJogos[[#This Row],[PontosTime2]]</f>
        <v>-2</v>
      </c>
    </row>
    <row r="3039" spans="1:9" ht="15" customHeight="1" x14ac:dyDescent="0.25">
      <c r="A3039" s="7">
        <v>3038</v>
      </c>
      <c r="B3039" s="1">
        <v>43551</v>
      </c>
      <c r="C3039" s="6" t="s">
        <v>13</v>
      </c>
      <c r="D3039" s="6" t="s">
        <v>27</v>
      </c>
      <c r="E3039" s="6">
        <v>1</v>
      </c>
      <c r="F3039" s="6">
        <v>5</v>
      </c>
      <c r="G3039" s="6" t="s">
        <v>32</v>
      </c>
      <c r="H3039" s="6" t="s">
        <v>28</v>
      </c>
      <c r="I3039" s="6">
        <f>TabJogos[[#This Row],[PontosTime1]]-TabJogos[[#This Row],[PontosTime2]]</f>
        <v>-4</v>
      </c>
    </row>
    <row r="3040" spans="1:9" ht="15" customHeight="1" x14ac:dyDescent="0.25">
      <c r="A3040" s="7">
        <v>3039</v>
      </c>
      <c r="B3040" s="1">
        <v>43551</v>
      </c>
      <c r="C3040" s="6" t="s">
        <v>17</v>
      </c>
      <c r="D3040" s="6" t="s">
        <v>28</v>
      </c>
      <c r="E3040" s="6">
        <v>5</v>
      </c>
      <c r="F3040" s="6">
        <v>3</v>
      </c>
      <c r="G3040" s="6" t="s">
        <v>18</v>
      </c>
      <c r="H3040" s="6" t="s">
        <v>32</v>
      </c>
      <c r="I3040" s="6">
        <f>TabJogos[[#This Row],[PontosTime1]]-TabJogos[[#This Row],[PontosTime2]]</f>
        <v>2</v>
      </c>
    </row>
    <row r="3041" spans="1:9" ht="15" customHeight="1" x14ac:dyDescent="0.25">
      <c r="A3041" s="7">
        <v>3040</v>
      </c>
      <c r="B3041" s="1">
        <v>43551</v>
      </c>
      <c r="C3041" s="6" t="s">
        <v>28</v>
      </c>
      <c r="D3041" s="6" t="s">
        <v>11</v>
      </c>
      <c r="E3041" s="6">
        <v>5</v>
      </c>
      <c r="F3041" s="6">
        <v>2</v>
      </c>
      <c r="G3041" s="6" t="s">
        <v>13</v>
      </c>
      <c r="H3041" s="6" t="s">
        <v>17</v>
      </c>
      <c r="I3041" s="6">
        <f>TabJogos[[#This Row],[PontosTime1]]-TabJogos[[#This Row],[PontosTime2]]</f>
        <v>3</v>
      </c>
    </row>
    <row r="3042" spans="1:9" ht="15" customHeight="1" x14ac:dyDescent="0.25">
      <c r="A3042" s="7">
        <v>3041</v>
      </c>
      <c r="B3042" s="1">
        <v>43551</v>
      </c>
      <c r="C3042" s="6" t="s">
        <v>11</v>
      </c>
      <c r="D3042" s="6" t="s">
        <v>18</v>
      </c>
      <c r="E3042" s="6">
        <v>6</v>
      </c>
      <c r="F3042" s="6">
        <v>1</v>
      </c>
      <c r="G3042" s="6" t="s">
        <v>13</v>
      </c>
      <c r="H3042" s="6" t="s">
        <v>28</v>
      </c>
      <c r="I3042" s="6">
        <f>TabJogos[[#This Row],[PontosTime1]]-TabJogos[[#This Row],[PontosTime2]]</f>
        <v>5</v>
      </c>
    </row>
    <row r="3043" spans="1:9" ht="15" customHeight="1" x14ac:dyDescent="0.25">
      <c r="A3043" s="7">
        <v>3042</v>
      </c>
      <c r="B3043" s="1">
        <v>43551</v>
      </c>
      <c r="C3043" s="6" t="s">
        <v>11</v>
      </c>
      <c r="D3043" s="6" t="s">
        <v>17</v>
      </c>
      <c r="E3043" s="6">
        <v>6</v>
      </c>
      <c r="F3043" s="6">
        <v>3</v>
      </c>
      <c r="G3043" s="6" t="s">
        <v>13</v>
      </c>
      <c r="H3043" s="6" t="s">
        <v>18</v>
      </c>
      <c r="I3043" s="6">
        <f>TabJogos[[#This Row],[PontosTime1]]-TabJogos[[#This Row],[PontosTime2]]</f>
        <v>3</v>
      </c>
    </row>
    <row r="3044" spans="1:9" ht="15" customHeight="1" x14ac:dyDescent="0.25">
      <c r="A3044" s="7">
        <v>3043</v>
      </c>
      <c r="B3044" s="1">
        <v>43551</v>
      </c>
      <c r="C3044" s="6" t="s">
        <v>11</v>
      </c>
      <c r="D3044" s="6" t="s">
        <v>13</v>
      </c>
      <c r="E3044" s="6">
        <v>5</v>
      </c>
      <c r="F3044" s="6">
        <v>3</v>
      </c>
      <c r="G3044" s="6" t="s">
        <v>17</v>
      </c>
      <c r="H3044" s="6" t="s">
        <v>28</v>
      </c>
      <c r="I3044" s="6">
        <f>TabJogos[[#This Row],[PontosTime1]]-TabJogos[[#This Row],[PontosTime2]]</f>
        <v>2</v>
      </c>
    </row>
    <row r="3045" spans="1:9" ht="15" customHeight="1" x14ac:dyDescent="0.25">
      <c r="A3045" s="7">
        <v>3044</v>
      </c>
      <c r="B3045" s="1">
        <v>43551</v>
      </c>
      <c r="C3045" s="6" t="s">
        <v>11</v>
      </c>
      <c r="D3045" s="6" t="s">
        <v>28</v>
      </c>
      <c r="E3045" s="6">
        <v>5</v>
      </c>
      <c r="F3045" s="6">
        <v>2</v>
      </c>
      <c r="G3045" s="6" t="s">
        <v>17</v>
      </c>
      <c r="H3045" s="6" t="s">
        <v>13</v>
      </c>
      <c r="I3045" s="6">
        <f>TabJogos[[#This Row],[PontosTime1]]-TabJogos[[#This Row],[PontosTime2]]</f>
        <v>3</v>
      </c>
    </row>
    <row r="3046" spans="1:9" ht="15" customHeight="1" x14ac:dyDescent="0.25">
      <c r="A3046" s="7">
        <v>3045</v>
      </c>
      <c r="B3046" s="1">
        <v>43552</v>
      </c>
      <c r="C3046" s="6" t="s">
        <v>17</v>
      </c>
      <c r="D3046" s="6" t="s">
        <v>12</v>
      </c>
      <c r="E3046" s="6">
        <v>4</v>
      </c>
      <c r="F3046" s="6">
        <v>1</v>
      </c>
      <c r="G3046" s="6" t="s">
        <v>41</v>
      </c>
      <c r="H3046" s="6" t="s">
        <v>11</v>
      </c>
      <c r="I3046" s="6">
        <f>TabJogos[[#This Row],[PontosTime1]]-TabJogos[[#This Row],[PontosTime2]]</f>
        <v>3</v>
      </c>
    </row>
    <row r="3047" spans="1:9" ht="15" customHeight="1" x14ac:dyDescent="0.25">
      <c r="A3047" s="7">
        <v>3046</v>
      </c>
      <c r="B3047" s="1">
        <v>43552</v>
      </c>
      <c r="C3047" s="6" t="s">
        <v>17</v>
      </c>
      <c r="D3047" s="6" t="s">
        <v>13</v>
      </c>
      <c r="E3047" s="6">
        <v>2</v>
      </c>
      <c r="F3047" s="6">
        <v>1</v>
      </c>
      <c r="G3047" s="6" t="s">
        <v>9</v>
      </c>
      <c r="H3047" s="6" t="s">
        <v>12</v>
      </c>
      <c r="I3047" s="6">
        <f>TabJogos[[#This Row],[PontosTime1]]-TabJogos[[#This Row],[PontosTime2]]</f>
        <v>1</v>
      </c>
    </row>
    <row r="3048" spans="1:9" ht="15" customHeight="1" x14ac:dyDescent="0.25">
      <c r="A3048" s="7">
        <v>3047</v>
      </c>
      <c r="B3048" s="1">
        <v>43552</v>
      </c>
      <c r="C3048" s="6" t="s">
        <v>18</v>
      </c>
      <c r="D3048" s="6" t="s">
        <v>17</v>
      </c>
      <c r="E3048" s="6">
        <v>2</v>
      </c>
      <c r="F3048" s="6">
        <v>1</v>
      </c>
      <c r="G3048" s="6" t="s">
        <v>16</v>
      </c>
      <c r="H3048" s="6" t="s">
        <v>13</v>
      </c>
      <c r="I3048" s="6">
        <f>TabJogos[[#This Row],[PontosTime1]]-TabJogos[[#This Row],[PontosTime2]]</f>
        <v>1</v>
      </c>
    </row>
    <row r="3049" spans="1:9" ht="15" customHeight="1" x14ac:dyDescent="0.25">
      <c r="A3049" s="7">
        <v>3048</v>
      </c>
      <c r="B3049" s="1">
        <v>43552</v>
      </c>
      <c r="C3049" s="6" t="s">
        <v>27</v>
      </c>
      <c r="D3049" s="6" t="s">
        <v>18</v>
      </c>
      <c r="E3049" s="6">
        <v>4</v>
      </c>
      <c r="F3049" s="6">
        <v>1</v>
      </c>
      <c r="G3049" s="6" t="s">
        <v>32</v>
      </c>
      <c r="H3049" s="6" t="s">
        <v>17</v>
      </c>
      <c r="I3049" s="6">
        <f>TabJogos[[#This Row],[PontosTime1]]-TabJogos[[#This Row],[PontosTime2]]</f>
        <v>3</v>
      </c>
    </row>
    <row r="3050" spans="1:9" ht="15" customHeight="1" x14ac:dyDescent="0.25">
      <c r="A3050" s="7">
        <v>3049</v>
      </c>
      <c r="B3050" s="1">
        <v>43552</v>
      </c>
      <c r="C3050" s="6" t="s">
        <v>41</v>
      </c>
      <c r="D3050" s="6" t="s">
        <v>18</v>
      </c>
      <c r="E3050" s="6">
        <v>3</v>
      </c>
      <c r="F3050" s="6">
        <v>0</v>
      </c>
      <c r="G3050" s="6" t="s">
        <v>11</v>
      </c>
      <c r="H3050" s="6" t="s">
        <v>27</v>
      </c>
      <c r="I3050" s="6">
        <f>TabJogos[[#This Row],[PontosTime1]]-TabJogos[[#This Row],[PontosTime2]]</f>
        <v>3</v>
      </c>
    </row>
    <row r="3051" spans="1:9" ht="15" customHeight="1" x14ac:dyDescent="0.25">
      <c r="A3051" s="7">
        <v>3050</v>
      </c>
      <c r="B3051" s="1">
        <v>43552</v>
      </c>
      <c r="C3051" s="6" t="s">
        <v>9</v>
      </c>
      <c r="D3051" s="6" t="s">
        <v>18</v>
      </c>
      <c r="E3051" s="6">
        <v>1</v>
      </c>
      <c r="F3051" s="6">
        <v>2</v>
      </c>
      <c r="G3051" s="6" t="s">
        <v>16</v>
      </c>
      <c r="H3051" s="6" t="s">
        <v>41</v>
      </c>
      <c r="I3051" s="6">
        <f>TabJogos[[#This Row],[PontosTime1]]-TabJogos[[#This Row],[PontosTime2]]</f>
        <v>-1</v>
      </c>
    </row>
    <row r="3052" spans="1:9" ht="15" customHeight="1" x14ac:dyDescent="0.25">
      <c r="A3052" s="7">
        <v>3051</v>
      </c>
      <c r="B3052" s="1">
        <v>43552</v>
      </c>
      <c r="C3052" s="6" t="s">
        <v>17</v>
      </c>
      <c r="D3052" s="6" t="s">
        <v>41</v>
      </c>
      <c r="E3052" s="6">
        <v>0</v>
      </c>
      <c r="F3052" s="6">
        <v>2</v>
      </c>
      <c r="G3052" s="6" t="s">
        <v>13</v>
      </c>
      <c r="H3052" s="6" t="s">
        <v>11</v>
      </c>
      <c r="I3052" s="6">
        <f>TabJogos[[#This Row],[PontosTime1]]-TabJogos[[#This Row],[PontosTime2]]</f>
        <v>-2</v>
      </c>
    </row>
    <row r="3053" spans="1:9" ht="15" customHeight="1" x14ac:dyDescent="0.25">
      <c r="A3053" s="7">
        <v>3052</v>
      </c>
      <c r="B3053" s="1">
        <v>43552</v>
      </c>
      <c r="C3053" s="6" t="s">
        <v>27</v>
      </c>
      <c r="D3053" s="6" t="s">
        <v>13</v>
      </c>
      <c r="E3053" s="6">
        <v>0</v>
      </c>
      <c r="F3053" s="6">
        <v>2</v>
      </c>
      <c r="G3053" s="6" t="s">
        <v>28</v>
      </c>
      <c r="H3053" s="6" t="s">
        <v>11</v>
      </c>
      <c r="I3053" s="6">
        <f>TabJogos[[#This Row],[PontosTime1]]-TabJogos[[#This Row],[PontosTime2]]</f>
        <v>-2</v>
      </c>
    </row>
    <row r="3054" spans="1:9" ht="15" customHeight="1" x14ac:dyDescent="0.25">
      <c r="A3054" s="7">
        <v>3053</v>
      </c>
      <c r="B3054" s="1">
        <v>43552</v>
      </c>
      <c r="C3054" s="6" t="s">
        <v>9</v>
      </c>
      <c r="D3054" s="6" t="s">
        <v>28</v>
      </c>
      <c r="E3054" s="6">
        <v>0</v>
      </c>
      <c r="F3054" s="6">
        <v>2</v>
      </c>
      <c r="G3054" s="6" t="s">
        <v>18</v>
      </c>
      <c r="H3054" s="6" t="s">
        <v>11</v>
      </c>
      <c r="I3054" s="6">
        <f>TabJogos[[#This Row],[PontosTime1]]-TabJogos[[#This Row],[PontosTime2]]</f>
        <v>-2</v>
      </c>
    </row>
    <row r="3055" spans="1:9" ht="15" customHeight="1" x14ac:dyDescent="0.25">
      <c r="A3055" s="7">
        <v>3054</v>
      </c>
      <c r="B3055" s="1">
        <v>43552</v>
      </c>
      <c r="C3055" s="6" t="s">
        <v>16</v>
      </c>
      <c r="D3055" s="6" t="s">
        <v>11</v>
      </c>
      <c r="E3055" s="6">
        <v>1</v>
      </c>
      <c r="F3055" s="6">
        <v>3</v>
      </c>
      <c r="G3055" s="6" t="s">
        <v>32</v>
      </c>
      <c r="H3055" s="6" t="s">
        <v>18</v>
      </c>
      <c r="I3055" s="6">
        <f>TabJogos[[#This Row],[PontosTime1]]-TabJogos[[#This Row],[PontosTime2]]</f>
        <v>-2</v>
      </c>
    </row>
    <row r="3056" spans="1:9" ht="15" customHeight="1" x14ac:dyDescent="0.25">
      <c r="A3056" s="7">
        <v>3055</v>
      </c>
      <c r="B3056" s="1">
        <v>43552</v>
      </c>
      <c r="C3056" s="6" t="s">
        <v>17</v>
      </c>
      <c r="D3056" s="6" t="s">
        <v>18</v>
      </c>
      <c r="E3056" s="6">
        <v>0</v>
      </c>
      <c r="F3056" s="6">
        <v>2</v>
      </c>
      <c r="G3056" s="6" t="s">
        <v>41</v>
      </c>
      <c r="H3056" s="6" t="s">
        <v>32</v>
      </c>
      <c r="I3056" s="6">
        <f>TabJogos[[#This Row],[PontosTime1]]-TabJogos[[#This Row],[PontosTime2]]</f>
        <v>-2</v>
      </c>
    </row>
    <row r="3057" spans="1:9" ht="15" customHeight="1" x14ac:dyDescent="0.25">
      <c r="A3057" s="7">
        <v>3056</v>
      </c>
      <c r="B3057" s="1">
        <v>43552</v>
      </c>
      <c r="C3057" s="6" t="s">
        <v>13</v>
      </c>
      <c r="D3057" s="6" t="s">
        <v>32</v>
      </c>
      <c r="E3057" s="6">
        <v>1</v>
      </c>
      <c r="F3057" s="6">
        <v>2</v>
      </c>
      <c r="G3057" s="6" t="s">
        <v>27</v>
      </c>
      <c r="H3057" s="6" t="s">
        <v>41</v>
      </c>
      <c r="I3057" s="6">
        <f>TabJogos[[#This Row],[PontosTime1]]-TabJogos[[#This Row],[PontosTime2]]</f>
        <v>-1</v>
      </c>
    </row>
    <row r="3058" spans="1:9" ht="15" customHeight="1" x14ac:dyDescent="0.25">
      <c r="A3058" s="7">
        <v>3057</v>
      </c>
      <c r="B3058" s="1">
        <v>43552</v>
      </c>
      <c r="C3058" s="6" t="s">
        <v>28</v>
      </c>
      <c r="D3058" s="6" t="s">
        <v>27</v>
      </c>
      <c r="E3058" s="6">
        <v>0</v>
      </c>
      <c r="F3058" s="6">
        <v>2</v>
      </c>
      <c r="G3058" s="6" t="s">
        <v>9</v>
      </c>
      <c r="H3058" s="6" t="s">
        <v>41</v>
      </c>
      <c r="I3058" s="6">
        <f>TabJogos[[#This Row],[PontosTime1]]-TabJogos[[#This Row],[PontosTime2]]</f>
        <v>-2</v>
      </c>
    </row>
    <row r="3059" spans="1:9" ht="15" customHeight="1" x14ac:dyDescent="0.25">
      <c r="A3059" s="7">
        <v>3058</v>
      </c>
      <c r="B3059" s="1">
        <v>43552</v>
      </c>
      <c r="C3059" s="6" t="s">
        <v>11</v>
      </c>
      <c r="D3059" s="6" t="s">
        <v>18</v>
      </c>
      <c r="E3059" s="6">
        <v>1</v>
      </c>
      <c r="F3059" s="6">
        <v>2</v>
      </c>
      <c r="G3059" s="6" t="s">
        <v>17</v>
      </c>
      <c r="H3059" s="6" t="s">
        <v>9</v>
      </c>
      <c r="I3059" s="6">
        <f>TabJogos[[#This Row],[PontosTime1]]-TabJogos[[#This Row],[PontosTime2]]</f>
        <v>-1</v>
      </c>
    </row>
    <row r="3060" spans="1:9" ht="15" customHeight="1" x14ac:dyDescent="0.25">
      <c r="A3060" s="7">
        <v>3059</v>
      </c>
      <c r="B3060" s="1">
        <v>43552</v>
      </c>
      <c r="C3060" s="6" t="s">
        <v>9</v>
      </c>
      <c r="D3060" s="6" t="s">
        <v>13</v>
      </c>
      <c r="E3060" s="6">
        <v>1</v>
      </c>
      <c r="F3060" s="6">
        <v>3</v>
      </c>
      <c r="G3060" s="6" t="s">
        <v>28</v>
      </c>
      <c r="H3060" s="6" t="s">
        <v>17</v>
      </c>
      <c r="I3060" s="6">
        <f>TabJogos[[#This Row],[PontosTime1]]-TabJogos[[#This Row],[PontosTime2]]</f>
        <v>-2</v>
      </c>
    </row>
    <row r="3061" spans="1:9" ht="15" customHeight="1" x14ac:dyDescent="0.25">
      <c r="A3061" s="7">
        <v>3060</v>
      </c>
      <c r="B3061" s="1">
        <v>43552</v>
      </c>
      <c r="C3061" s="6" t="s">
        <v>11</v>
      </c>
      <c r="D3061" s="6" t="s">
        <v>17</v>
      </c>
      <c r="E3061" s="6">
        <v>2</v>
      </c>
      <c r="F3061" s="6">
        <v>1</v>
      </c>
      <c r="G3061" s="6" t="s">
        <v>18</v>
      </c>
      <c r="H3061" s="6" t="s">
        <v>28</v>
      </c>
      <c r="I3061" s="6">
        <f>TabJogos[[#This Row],[PontosTime1]]-TabJogos[[#This Row],[PontosTime2]]</f>
        <v>1</v>
      </c>
    </row>
    <row r="3062" spans="1:9" ht="15" customHeight="1" x14ac:dyDescent="0.25">
      <c r="A3062" s="7">
        <v>3061</v>
      </c>
      <c r="B3062" s="1">
        <v>43552</v>
      </c>
      <c r="C3062" s="6" t="s">
        <v>11</v>
      </c>
      <c r="D3062" s="6" t="s">
        <v>28</v>
      </c>
      <c r="E3062" s="6">
        <v>2</v>
      </c>
      <c r="F3062" s="6">
        <v>0</v>
      </c>
      <c r="G3062" s="6" t="s">
        <v>17</v>
      </c>
      <c r="H3062" s="6" t="s">
        <v>13</v>
      </c>
      <c r="I3062" s="6">
        <f>TabJogos[[#This Row],[PontosTime1]]-TabJogos[[#This Row],[PontosTime2]]</f>
        <v>2</v>
      </c>
    </row>
    <row r="3063" spans="1:9" ht="15" customHeight="1" x14ac:dyDescent="0.25">
      <c r="A3063" s="7">
        <v>3062</v>
      </c>
      <c r="B3063" s="1">
        <v>43552</v>
      </c>
      <c r="C3063" s="6" t="s">
        <v>11</v>
      </c>
      <c r="D3063" s="6" t="s">
        <v>18</v>
      </c>
      <c r="E3063" s="6">
        <v>3</v>
      </c>
      <c r="F3063" s="6">
        <v>0</v>
      </c>
      <c r="G3063" s="6" t="s">
        <v>13</v>
      </c>
      <c r="H3063" s="6" t="s">
        <v>28</v>
      </c>
      <c r="I3063" s="6">
        <f>TabJogos[[#This Row],[PontosTime1]]-TabJogos[[#This Row],[PontosTime2]]</f>
        <v>3</v>
      </c>
    </row>
    <row r="3064" spans="1:9" ht="15" customHeight="1" x14ac:dyDescent="0.25">
      <c r="A3064" s="7">
        <v>3063</v>
      </c>
      <c r="B3064" s="1">
        <v>43552</v>
      </c>
      <c r="C3064" s="6" t="s">
        <v>11</v>
      </c>
      <c r="D3064" s="6" t="s">
        <v>13</v>
      </c>
      <c r="E3064" s="6">
        <v>3</v>
      </c>
      <c r="F3064" s="6">
        <v>2</v>
      </c>
      <c r="G3064" s="6" t="s">
        <v>18</v>
      </c>
      <c r="H3064" s="6" t="s">
        <v>28</v>
      </c>
      <c r="I3064" s="6">
        <f>TabJogos[[#This Row],[PontosTime1]]-TabJogos[[#This Row],[PontosTime2]]</f>
        <v>1</v>
      </c>
    </row>
    <row r="3065" spans="1:9" ht="15" customHeight="1" x14ac:dyDescent="0.25">
      <c r="A3065" s="7">
        <v>3064</v>
      </c>
      <c r="B3065" s="1">
        <v>43552</v>
      </c>
      <c r="C3065" s="6" t="s">
        <v>11</v>
      </c>
      <c r="D3065" s="6" t="s">
        <v>28</v>
      </c>
      <c r="E3065" s="6">
        <v>3</v>
      </c>
      <c r="F3065" s="6">
        <v>0</v>
      </c>
      <c r="G3065" s="6" t="s">
        <v>18</v>
      </c>
      <c r="H3065" s="6" t="s">
        <v>13</v>
      </c>
      <c r="I3065" s="6">
        <f>TabJogos[[#This Row],[PontosTime1]]-TabJogos[[#This Row],[PontosTime2]]</f>
        <v>3</v>
      </c>
    </row>
    <row r="3066" spans="1:9" ht="15" customHeight="1" x14ac:dyDescent="0.25">
      <c r="A3066" s="7">
        <v>3065</v>
      </c>
      <c r="B3066" s="1">
        <v>43552</v>
      </c>
      <c r="C3066" s="6" t="s">
        <v>11</v>
      </c>
      <c r="D3066" s="6" t="s">
        <v>18</v>
      </c>
      <c r="E3066" s="6">
        <v>3</v>
      </c>
      <c r="F3066" s="6">
        <v>2</v>
      </c>
      <c r="G3066" s="6" t="s">
        <v>13</v>
      </c>
      <c r="H3066" s="6" t="s">
        <v>28</v>
      </c>
      <c r="I3066" s="6">
        <f>TabJogos[[#This Row],[PontosTime1]]-TabJogos[[#This Row],[PontosTime2]]</f>
        <v>1</v>
      </c>
    </row>
    <row r="3067" spans="1:9" ht="15" customHeight="1" x14ac:dyDescent="0.25">
      <c r="A3067" s="7">
        <v>3066</v>
      </c>
      <c r="B3067" s="1">
        <v>43553</v>
      </c>
      <c r="C3067" s="6" t="s">
        <v>13</v>
      </c>
      <c r="D3067" s="6" t="s">
        <v>17</v>
      </c>
      <c r="E3067" s="6">
        <v>3</v>
      </c>
      <c r="F3067" s="6">
        <v>0</v>
      </c>
      <c r="G3067" s="6" t="s">
        <v>9</v>
      </c>
      <c r="H3067" s="6" t="s">
        <v>11</v>
      </c>
      <c r="I3067" s="6">
        <f>TabJogos[[#This Row],[PontosTime1]]-TabJogos[[#This Row],[PontosTime2]]</f>
        <v>3</v>
      </c>
    </row>
    <row r="3068" spans="1:9" ht="15" customHeight="1" x14ac:dyDescent="0.25">
      <c r="A3068" s="7">
        <v>3067</v>
      </c>
      <c r="B3068" s="1">
        <v>43553</v>
      </c>
      <c r="C3068" s="6" t="s">
        <v>9</v>
      </c>
      <c r="D3068" s="6" t="s">
        <v>17</v>
      </c>
      <c r="E3068" s="6">
        <v>7</v>
      </c>
      <c r="F3068" s="6">
        <v>1</v>
      </c>
      <c r="G3068" s="6" t="s">
        <v>13</v>
      </c>
      <c r="H3068" s="6" t="s">
        <v>11</v>
      </c>
      <c r="I3068" s="6">
        <f>TabJogos[[#This Row],[PontosTime1]]-TabJogos[[#This Row],[PontosTime2]]</f>
        <v>6</v>
      </c>
    </row>
    <row r="3069" spans="1:9" ht="15" customHeight="1" x14ac:dyDescent="0.25">
      <c r="A3069" s="7">
        <v>3068</v>
      </c>
      <c r="B3069" s="1">
        <v>43553</v>
      </c>
      <c r="C3069" s="6" t="s">
        <v>41</v>
      </c>
      <c r="D3069" s="6" t="s">
        <v>17</v>
      </c>
      <c r="E3069" s="6">
        <v>2</v>
      </c>
      <c r="F3069" s="6">
        <v>6</v>
      </c>
      <c r="G3069" s="6" t="s">
        <v>9</v>
      </c>
      <c r="H3069" s="6" t="s">
        <v>13</v>
      </c>
      <c r="I3069" s="6">
        <f>TabJogos[[#This Row],[PontosTime1]]-TabJogos[[#This Row],[PontosTime2]]</f>
        <v>-4</v>
      </c>
    </row>
    <row r="3070" spans="1:9" ht="15" customHeight="1" x14ac:dyDescent="0.25">
      <c r="A3070" s="7">
        <v>3069</v>
      </c>
      <c r="B3070" s="1">
        <v>43553</v>
      </c>
      <c r="C3070" s="6" t="s">
        <v>41</v>
      </c>
      <c r="D3070" s="6" t="s">
        <v>13</v>
      </c>
      <c r="E3070" s="6">
        <v>5</v>
      </c>
      <c r="F3070" s="6">
        <v>0</v>
      </c>
      <c r="G3070" s="6" t="s">
        <v>9</v>
      </c>
      <c r="H3070" s="6" t="s">
        <v>11</v>
      </c>
      <c r="I3070" s="6">
        <f>TabJogos[[#This Row],[PontosTime1]]-TabJogos[[#This Row],[PontosTime2]]</f>
        <v>5</v>
      </c>
    </row>
    <row r="3071" spans="1:9" ht="15" customHeight="1" x14ac:dyDescent="0.25">
      <c r="A3071" s="7">
        <v>3070</v>
      </c>
      <c r="B3071" s="1">
        <v>43553</v>
      </c>
      <c r="C3071" s="6" t="s">
        <v>41</v>
      </c>
      <c r="D3071" s="6" t="s">
        <v>11</v>
      </c>
      <c r="E3071" s="6">
        <v>4</v>
      </c>
      <c r="F3071" s="6">
        <v>5</v>
      </c>
      <c r="G3071" s="6" t="s">
        <v>17</v>
      </c>
      <c r="H3071" s="6" t="s">
        <v>13</v>
      </c>
      <c r="I3071" s="6">
        <f>TabJogos[[#This Row],[PontosTime1]]-TabJogos[[#This Row],[PontosTime2]]</f>
        <v>-1</v>
      </c>
    </row>
    <row r="3072" spans="1:9" ht="15" customHeight="1" x14ac:dyDescent="0.25">
      <c r="A3072" s="7">
        <v>3071</v>
      </c>
      <c r="B3072" s="1">
        <v>43553</v>
      </c>
      <c r="C3072" s="6" t="s">
        <v>13</v>
      </c>
      <c r="D3072" s="6" t="s">
        <v>28</v>
      </c>
      <c r="E3072" s="6">
        <v>5</v>
      </c>
      <c r="F3072" s="6">
        <v>0</v>
      </c>
      <c r="G3072" s="6" t="s">
        <v>17</v>
      </c>
      <c r="H3072" s="6" t="s">
        <v>9</v>
      </c>
      <c r="I3072" s="6">
        <f>TabJogos[[#This Row],[PontosTime1]]-TabJogos[[#This Row],[PontosTime2]]</f>
        <v>5</v>
      </c>
    </row>
    <row r="3073" spans="1:9" ht="15" customHeight="1" x14ac:dyDescent="0.25">
      <c r="A3073" s="7">
        <v>3072</v>
      </c>
      <c r="B3073" s="1">
        <v>43553</v>
      </c>
      <c r="C3073" s="6" t="s">
        <v>13</v>
      </c>
      <c r="D3073" s="6" t="s">
        <v>11</v>
      </c>
      <c r="E3073" s="6">
        <v>1</v>
      </c>
      <c r="F3073" s="6">
        <v>6</v>
      </c>
      <c r="G3073" s="6" t="s">
        <v>9</v>
      </c>
      <c r="H3073" s="6" t="s">
        <v>28</v>
      </c>
      <c r="I3073" s="6">
        <f>TabJogos[[#This Row],[PontosTime1]]-TabJogos[[#This Row],[PontosTime2]]</f>
        <v>-5</v>
      </c>
    </row>
    <row r="3074" spans="1:9" ht="15" customHeight="1" x14ac:dyDescent="0.25">
      <c r="A3074" s="7">
        <v>3073</v>
      </c>
      <c r="B3074" s="1">
        <v>43553</v>
      </c>
      <c r="C3074" s="6" t="s">
        <v>11</v>
      </c>
      <c r="D3074" s="6" t="s">
        <v>28</v>
      </c>
      <c r="E3074" s="6">
        <v>4</v>
      </c>
      <c r="F3074" s="6">
        <v>5</v>
      </c>
      <c r="G3074" s="6" t="s">
        <v>9</v>
      </c>
      <c r="H3074" s="6" t="s">
        <v>17</v>
      </c>
      <c r="I3074" s="6">
        <f>TabJogos[[#This Row],[PontosTime1]]-TabJogos[[#This Row],[PontosTime2]]</f>
        <v>-1</v>
      </c>
    </row>
    <row r="3075" spans="1:9" ht="15" customHeight="1" x14ac:dyDescent="0.25">
      <c r="A3075" s="7">
        <v>3074</v>
      </c>
      <c r="B3075" s="1">
        <v>43553</v>
      </c>
      <c r="C3075" s="6" t="s">
        <v>13</v>
      </c>
      <c r="D3075" s="6" t="s">
        <v>9</v>
      </c>
      <c r="E3075" s="6">
        <v>0</v>
      </c>
      <c r="F3075" s="6">
        <v>5</v>
      </c>
      <c r="G3075" s="6" t="s">
        <v>17</v>
      </c>
      <c r="H3075" s="6" t="s">
        <v>11</v>
      </c>
      <c r="I3075" s="6">
        <f>TabJogos[[#This Row],[PontosTime1]]-TabJogos[[#This Row],[PontosTime2]]</f>
        <v>-5</v>
      </c>
    </row>
    <row r="3076" spans="1:9" ht="15" customHeight="1" x14ac:dyDescent="0.25">
      <c r="A3076" s="7">
        <v>3075</v>
      </c>
      <c r="B3076" s="1">
        <v>43553</v>
      </c>
      <c r="C3076" s="6" t="s">
        <v>17</v>
      </c>
      <c r="D3076" s="6" t="s">
        <v>28</v>
      </c>
      <c r="E3076" s="6">
        <v>6</v>
      </c>
      <c r="F3076" s="6">
        <v>2</v>
      </c>
      <c r="G3076" s="6" t="s">
        <v>11</v>
      </c>
      <c r="H3076" s="6" t="s">
        <v>9</v>
      </c>
      <c r="I3076" s="6">
        <f>TabJogos[[#This Row],[PontosTime1]]-TabJogos[[#This Row],[PontosTime2]]</f>
        <v>4</v>
      </c>
    </row>
    <row r="3077" spans="1:9" ht="15" customHeight="1" x14ac:dyDescent="0.25">
      <c r="A3077" s="7">
        <v>3076</v>
      </c>
      <c r="B3077" s="1">
        <v>43556</v>
      </c>
      <c r="C3077" s="6" t="s">
        <v>58</v>
      </c>
      <c r="D3077" s="6" t="s">
        <v>17</v>
      </c>
      <c r="E3077" s="6">
        <v>6</v>
      </c>
      <c r="F3077" s="6">
        <v>4</v>
      </c>
      <c r="G3077" s="6" t="s">
        <v>11</v>
      </c>
      <c r="H3077" s="6" t="s">
        <v>13</v>
      </c>
      <c r="I3077" s="6">
        <f>TabJogos[[#This Row],[PontosTime1]]-TabJogos[[#This Row],[PontosTime2]]</f>
        <v>2</v>
      </c>
    </row>
    <row r="3078" spans="1:9" ht="15" customHeight="1" x14ac:dyDescent="0.25">
      <c r="A3078" s="7">
        <v>3077</v>
      </c>
      <c r="B3078" s="1">
        <v>43556</v>
      </c>
      <c r="C3078" s="6" t="s">
        <v>18</v>
      </c>
      <c r="D3078" s="6" t="s">
        <v>13</v>
      </c>
      <c r="E3078" s="6">
        <v>0</v>
      </c>
      <c r="F3078" s="6">
        <v>5</v>
      </c>
      <c r="G3078" s="6" t="s">
        <v>11</v>
      </c>
      <c r="H3078" s="6" t="s">
        <v>17</v>
      </c>
      <c r="I3078" s="6">
        <f>TabJogos[[#This Row],[PontosTime1]]-TabJogos[[#This Row],[PontosTime2]]</f>
        <v>-5</v>
      </c>
    </row>
    <row r="3079" spans="1:9" ht="15" customHeight="1" x14ac:dyDescent="0.25">
      <c r="A3079" s="7">
        <v>3078</v>
      </c>
      <c r="B3079" s="1">
        <v>43556</v>
      </c>
      <c r="C3079" s="6" t="s">
        <v>11</v>
      </c>
      <c r="D3079" s="6" t="s">
        <v>18</v>
      </c>
      <c r="E3079" s="6">
        <v>5</v>
      </c>
      <c r="F3079" s="6">
        <v>2</v>
      </c>
      <c r="G3079" s="6" t="s">
        <v>17</v>
      </c>
      <c r="H3079" s="6" t="s">
        <v>13</v>
      </c>
      <c r="I3079" s="6">
        <f>TabJogos[[#This Row],[PontosTime1]]-TabJogos[[#This Row],[PontosTime2]]</f>
        <v>3</v>
      </c>
    </row>
    <row r="3080" spans="1:9" ht="15" customHeight="1" x14ac:dyDescent="0.25">
      <c r="A3080" s="7">
        <v>3079</v>
      </c>
      <c r="B3080" s="1">
        <v>43556</v>
      </c>
      <c r="C3080" s="6" t="s">
        <v>11</v>
      </c>
      <c r="D3080" s="6" t="s">
        <v>13</v>
      </c>
      <c r="E3080" s="6">
        <v>5</v>
      </c>
      <c r="F3080" s="6">
        <v>2</v>
      </c>
      <c r="G3080" s="6" t="s">
        <v>17</v>
      </c>
      <c r="H3080" s="6" t="s">
        <v>18</v>
      </c>
      <c r="I3080" s="6">
        <f>TabJogos[[#This Row],[PontosTime1]]-TabJogos[[#This Row],[PontosTime2]]</f>
        <v>3</v>
      </c>
    </row>
    <row r="3081" spans="1:9" ht="15" customHeight="1" x14ac:dyDescent="0.25">
      <c r="A3081" s="7">
        <v>3080</v>
      </c>
      <c r="B3081" s="1">
        <v>43556</v>
      </c>
      <c r="C3081" s="6" t="s">
        <v>18</v>
      </c>
      <c r="D3081" s="6" t="s">
        <v>13</v>
      </c>
      <c r="E3081" s="6">
        <v>4</v>
      </c>
      <c r="F3081" s="6">
        <v>5</v>
      </c>
      <c r="G3081" s="6" t="s">
        <v>17</v>
      </c>
      <c r="H3081" s="6" t="s">
        <v>11</v>
      </c>
      <c r="I3081" s="6">
        <f>TabJogos[[#This Row],[PontosTime1]]-TabJogos[[#This Row],[PontosTime2]]</f>
        <v>-1</v>
      </c>
    </row>
    <row r="3082" spans="1:9" ht="15" customHeight="1" x14ac:dyDescent="0.25">
      <c r="A3082" s="7">
        <v>3081</v>
      </c>
      <c r="B3082" s="1">
        <v>43556</v>
      </c>
      <c r="C3082" s="6" t="s">
        <v>32</v>
      </c>
      <c r="D3082" s="6" t="s">
        <v>17</v>
      </c>
      <c r="E3082" s="6">
        <v>1</v>
      </c>
      <c r="F3082" s="6">
        <v>4</v>
      </c>
      <c r="G3082" s="6" t="s">
        <v>11</v>
      </c>
      <c r="H3082" s="6" t="s">
        <v>28</v>
      </c>
      <c r="I3082" s="6">
        <f>TabJogos[[#This Row],[PontosTime1]]-TabJogos[[#This Row],[PontosTime2]]</f>
        <v>-3</v>
      </c>
    </row>
    <row r="3083" spans="1:9" ht="15" customHeight="1" x14ac:dyDescent="0.25">
      <c r="A3083" s="7">
        <v>3082</v>
      </c>
      <c r="B3083" s="1">
        <v>43556</v>
      </c>
      <c r="C3083" s="6" t="s">
        <v>11</v>
      </c>
      <c r="D3083" s="6" t="s">
        <v>27</v>
      </c>
      <c r="E3083" s="6">
        <v>2</v>
      </c>
      <c r="F3083" s="6">
        <v>4</v>
      </c>
      <c r="G3083" s="6" t="s">
        <v>28</v>
      </c>
      <c r="H3083" s="6" t="s">
        <v>18</v>
      </c>
      <c r="I3083" s="6">
        <f>TabJogos[[#This Row],[PontosTime1]]-TabJogos[[#This Row],[PontosTime2]]</f>
        <v>-2</v>
      </c>
    </row>
    <row r="3084" spans="1:9" ht="15" customHeight="1" x14ac:dyDescent="0.25">
      <c r="A3084" s="7">
        <v>3083</v>
      </c>
      <c r="B3084" s="1">
        <v>43556</v>
      </c>
      <c r="C3084" s="6" t="s">
        <v>18</v>
      </c>
      <c r="D3084" s="6" t="s">
        <v>32</v>
      </c>
      <c r="E3084" s="6">
        <v>3</v>
      </c>
      <c r="F3084" s="6">
        <v>1</v>
      </c>
      <c r="G3084" s="6" t="s">
        <v>13</v>
      </c>
      <c r="H3084" s="6" t="s">
        <v>28</v>
      </c>
      <c r="I3084" s="6">
        <f>TabJogos[[#This Row],[PontosTime1]]-TabJogos[[#This Row],[PontosTime2]]</f>
        <v>2</v>
      </c>
    </row>
    <row r="3085" spans="1:9" ht="15" customHeight="1" x14ac:dyDescent="0.25">
      <c r="A3085" s="7">
        <v>3084</v>
      </c>
      <c r="B3085" s="1">
        <v>43556</v>
      </c>
      <c r="C3085" s="6" t="s">
        <v>32</v>
      </c>
      <c r="D3085" s="6" t="s">
        <v>41</v>
      </c>
      <c r="E3085" s="6">
        <v>3</v>
      </c>
      <c r="F3085" s="6">
        <v>1</v>
      </c>
      <c r="G3085" s="6" t="s">
        <v>18</v>
      </c>
      <c r="H3085" s="6" t="s">
        <v>17</v>
      </c>
      <c r="I3085" s="6">
        <f>TabJogos[[#This Row],[PontosTime1]]-TabJogos[[#This Row],[PontosTime2]]</f>
        <v>2</v>
      </c>
    </row>
    <row r="3086" spans="1:9" ht="15" customHeight="1" x14ac:dyDescent="0.25">
      <c r="A3086" s="7">
        <v>3085</v>
      </c>
      <c r="B3086" s="1">
        <v>43556</v>
      </c>
      <c r="C3086" s="6" t="s">
        <v>32</v>
      </c>
      <c r="D3086" s="6" t="s">
        <v>11</v>
      </c>
      <c r="E3086" s="6">
        <v>2</v>
      </c>
      <c r="F3086" s="6">
        <v>3</v>
      </c>
      <c r="G3086" s="6" t="s">
        <v>28</v>
      </c>
      <c r="H3086" s="6" t="s">
        <v>41</v>
      </c>
      <c r="I3086" s="6">
        <f>TabJogos[[#This Row],[PontosTime1]]-TabJogos[[#This Row],[PontosTime2]]</f>
        <v>-1</v>
      </c>
    </row>
    <row r="3087" spans="1:9" ht="15" customHeight="1" x14ac:dyDescent="0.25">
      <c r="A3087" s="7">
        <v>3086</v>
      </c>
      <c r="B3087" s="1">
        <v>43556</v>
      </c>
      <c r="C3087" s="6" t="s">
        <v>11</v>
      </c>
      <c r="D3087" s="6" t="s">
        <v>28</v>
      </c>
      <c r="E3087" s="6">
        <v>0</v>
      </c>
      <c r="F3087" s="6">
        <v>4</v>
      </c>
      <c r="G3087" s="6" t="s">
        <v>13</v>
      </c>
      <c r="H3087" s="6" t="s">
        <v>18</v>
      </c>
      <c r="I3087" s="6">
        <f>TabJogos[[#This Row],[PontosTime1]]-TabJogos[[#This Row],[PontosTime2]]</f>
        <v>-4</v>
      </c>
    </row>
    <row r="3088" spans="1:9" ht="15" customHeight="1" x14ac:dyDescent="0.25">
      <c r="A3088" s="7">
        <v>3087</v>
      </c>
      <c r="B3088" s="1">
        <v>43556</v>
      </c>
      <c r="C3088" s="6" t="s">
        <v>13</v>
      </c>
      <c r="D3088" s="6" t="s">
        <v>11</v>
      </c>
      <c r="E3088" s="6">
        <v>3</v>
      </c>
      <c r="F3088" s="6">
        <v>0</v>
      </c>
      <c r="G3088" s="6" t="s">
        <v>28</v>
      </c>
      <c r="H3088" s="6" t="s">
        <v>18</v>
      </c>
      <c r="I3088" s="6">
        <f>TabJogos[[#This Row],[PontosTime1]]-TabJogos[[#This Row],[PontosTime2]]</f>
        <v>3</v>
      </c>
    </row>
    <row r="3089" spans="1:9" ht="15" customHeight="1" x14ac:dyDescent="0.25">
      <c r="A3089" s="7">
        <v>3088</v>
      </c>
      <c r="B3089" s="1">
        <v>43556</v>
      </c>
      <c r="C3089" s="6" t="s">
        <v>13</v>
      </c>
      <c r="D3089" s="6" t="s">
        <v>28</v>
      </c>
      <c r="E3089" s="6">
        <v>0</v>
      </c>
      <c r="F3089" s="6">
        <v>3</v>
      </c>
      <c r="G3089" s="6" t="s">
        <v>11</v>
      </c>
      <c r="H3089" s="6" t="s">
        <v>18</v>
      </c>
      <c r="I3089" s="6">
        <f>TabJogos[[#This Row],[PontosTime1]]-TabJogos[[#This Row],[PontosTime2]]</f>
        <v>-3</v>
      </c>
    </row>
    <row r="3090" spans="1:9" ht="15" customHeight="1" x14ac:dyDescent="0.25">
      <c r="A3090" s="7">
        <v>3089</v>
      </c>
      <c r="B3090" s="1">
        <v>43557</v>
      </c>
      <c r="C3090" s="6" t="s">
        <v>41</v>
      </c>
      <c r="D3090" s="6" t="s">
        <v>10</v>
      </c>
      <c r="E3090" s="6">
        <v>2</v>
      </c>
      <c r="F3090" s="6">
        <v>3</v>
      </c>
      <c r="G3090" s="6" t="s">
        <v>13</v>
      </c>
      <c r="H3090" s="6" t="s">
        <v>11</v>
      </c>
      <c r="I3090" s="6">
        <f>TabJogos[[#This Row],[PontosTime1]]-TabJogos[[#This Row],[PontosTime2]]</f>
        <v>-1</v>
      </c>
    </row>
    <row r="3091" spans="1:9" ht="15" customHeight="1" x14ac:dyDescent="0.25">
      <c r="A3091" s="7">
        <v>3090</v>
      </c>
      <c r="B3091" s="1">
        <v>43557</v>
      </c>
      <c r="C3091" s="6" t="s">
        <v>13</v>
      </c>
      <c r="D3091" s="6" t="s">
        <v>27</v>
      </c>
      <c r="E3091" s="6">
        <v>3</v>
      </c>
      <c r="F3091" s="6">
        <v>2</v>
      </c>
      <c r="G3091" s="6" t="s">
        <v>11</v>
      </c>
      <c r="H3091" s="6" t="s">
        <v>18</v>
      </c>
      <c r="I3091" s="6">
        <f>TabJogos[[#This Row],[PontosTime1]]-TabJogos[[#This Row],[PontosTime2]]</f>
        <v>1</v>
      </c>
    </row>
    <row r="3092" spans="1:9" ht="15" customHeight="1" x14ac:dyDescent="0.25">
      <c r="A3092" s="7">
        <v>3091</v>
      </c>
      <c r="B3092" s="1">
        <v>43557</v>
      </c>
      <c r="C3092" s="6" t="s">
        <v>13</v>
      </c>
      <c r="D3092" s="6" t="s">
        <v>28</v>
      </c>
      <c r="E3092" s="6">
        <v>4</v>
      </c>
      <c r="F3092" s="6">
        <v>2</v>
      </c>
      <c r="G3092" s="6" t="s">
        <v>27</v>
      </c>
      <c r="H3092" s="6" t="s">
        <v>10</v>
      </c>
      <c r="I3092" s="6">
        <f>TabJogos[[#This Row],[PontosTime1]]-TabJogos[[#This Row],[PontosTime2]]</f>
        <v>2</v>
      </c>
    </row>
    <row r="3093" spans="1:9" ht="15" customHeight="1" x14ac:dyDescent="0.25">
      <c r="A3093" s="7">
        <v>3092</v>
      </c>
      <c r="B3093" s="1">
        <v>43557</v>
      </c>
      <c r="C3093" s="6" t="s">
        <v>18</v>
      </c>
      <c r="D3093" s="6" t="s">
        <v>13</v>
      </c>
      <c r="E3093" s="6">
        <v>3</v>
      </c>
      <c r="F3093" s="6">
        <v>1</v>
      </c>
      <c r="G3093" s="6" t="s">
        <v>28</v>
      </c>
      <c r="H3093" s="6" t="s">
        <v>41</v>
      </c>
      <c r="I3093" s="6">
        <f>TabJogos[[#This Row],[PontosTime1]]-TabJogos[[#This Row],[PontosTime2]]</f>
        <v>2</v>
      </c>
    </row>
    <row r="3094" spans="1:9" ht="15" customHeight="1" x14ac:dyDescent="0.25">
      <c r="A3094" s="7">
        <v>3093</v>
      </c>
      <c r="B3094" s="1">
        <v>43557</v>
      </c>
      <c r="C3094" s="6" t="s">
        <v>11</v>
      </c>
      <c r="D3094" s="6" t="s">
        <v>13</v>
      </c>
      <c r="E3094" s="6">
        <v>3</v>
      </c>
      <c r="F3094" s="6">
        <v>2</v>
      </c>
      <c r="G3094" s="6" t="s">
        <v>27</v>
      </c>
      <c r="H3094" s="6" t="s">
        <v>18</v>
      </c>
      <c r="I3094" s="6">
        <f>TabJogos[[#This Row],[PontosTime1]]-TabJogos[[#This Row],[PontosTime2]]</f>
        <v>1</v>
      </c>
    </row>
    <row r="3095" spans="1:9" ht="15" customHeight="1" x14ac:dyDescent="0.25">
      <c r="A3095" s="7">
        <v>3094</v>
      </c>
      <c r="B3095" s="1">
        <v>43557</v>
      </c>
      <c r="C3095" s="6" t="s">
        <v>17</v>
      </c>
      <c r="D3095" s="6" t="s">
        <v>11</v>
      </c>
      <c r="E3095" s="6">
        <v>1</v>
      </c>
      <c r="F3095" s="6">
        <v>4</v>
      </c>
      <c r="G3095" s="6" t="s">
        <v>10</v>
      </c>
      <c r="H3095" s="6" t="s">
        <v>13</v>
      </c>
      <c r="I3095" s="6">
        <f>TabJogos[[#This Row],[PontosTime1]]-TabJogos[[#This Row],[PontosTime2]]</f>
        <v>-3</v>
      </c>
    </row>
    <row r="3096" spans="1:9" ht="15" customHeight="1" x14ac:dyDescent="0.25">
      <c r="A3096" s="7">
        <v>3095</v>
      </c>
      <c r="B3096" s="1">
        <v>43557</v>
      </c>
      <c r="C3096" s="6" t="s">
        <v>41</v>
      </c>
      <c r="D3096" s="6" t="s">
        <v>13</v>
      </c>
      <c r="E3096" s="6">
        <v>3</v>
      </c>
      <c r="F3096" s="6">
        <v>0</v>
      </c>
      <c r="G3096" s="6" t="s">
        <v>28</v>
      </c>
      <c r="H3096" s="6" t="s">
        <v>10</v>
      </c>
      <c r="I3096" s="6">
        <f>TabJogos[[#This Row],[PontosTime1]]-TabJogos[[#This Row],[PontosTime2]]</f>
        <v>3</v>
      </c>
    </row>
    <row r="3097" spans="1:9" ht="15" customHeight="1" x14ac:dyDescent="0.25">
      <c r="A3097" s="7">
        <v>3096</v>
      </c>
      <c r="B3097" s="1">
        <v>43557</v>
      </c>
      <c r="C3097" s="6" t="s">
        <v>27</v>
      </c>
      <c r="D3097" s="6" t="s">
        <v>41</v>
      </c>
      <c r="E3097" s="6">
        <v>3</v>
      </c>
      <c r="F3097" s="6">
        <v>0</v>
      </c>
      <c r="G3097" s="6" t="s">
        <v>13</v>
      </c>
      <c r="H3097" s="6" t="s">
        <v>18</v>
      </c>
      <c r="I3097" s="6">
        <f>TabJogos[[#This Row],[PontosTime1]]-TabJogos[[#This Row],[PontosTime2]]</f>
        <v>3</v>
      </c>
    </row>
    <row r="3098" spans="1:9" ht="15" customHeight="1" x14ac:dyDescent="0.25">
      <c r="A3098" s="7">
        <v>3097</v>
      </c>
      <c r="B3098" s="1">
        <v>43557</v>
      </c>
      <c r="C3098" s="6" t="s">
        <v>17</v>
      </c>
      <c r="D3098" s="6" t="s">
        <v>41</v>
      </c>
      <c r="E3098" s="6">
        <v>3</v>
      </c>
      <c r="F3098" s="6">
        <v>0</v>
      </c>
      <c r="G3098" s="6" t="s">
        <v>11</v>
      </c>
      <c r="H3098" s="6" t="s">
        <v>27</v>
      </c>
      <c r="I3098" s="6">
        <f>TabJogos[[#This Row],[PontosTime1]]-TabJogos[[#This Row],[PontosTime2]]</f>
        <v>3</v>
      </c>
    </row>
    <row r="3099" spans="1:9" ht="15" customHeight="1" x14ac:dyDescent="0.25">
      <c r="A3099" s="7">
        <v>3098</v>
      </c>
      <c r="B3099" s="1">
        <v>43557</v>
      </c>
      <c r="C3099" s="6" t="s">
        <v>28</v>
      </c>
      <c r="D3099" s="6" t="s">
        <v>17</v>
      </c>
      <c r="E3099" s="6">
        <v>3</v>
      </c>
      <c r="F3099" s="6">
        <v>1</v>
      </c>
      <c r="G3099" s="6" t="s">
        <v>41</v>
      </c>
      <c r="H3099" s="6" t="s">
        <v>32</v>
      </c>
      <c r="I3099" s="6">
        <f>TabJogos[[#This Row],[PontosTime1]]-TabJogos[[#This Row],[PontosTime2]]</f>
        <v>2</v>
      </c>
    </row>
    <row r="3100" spans="1:9" ht="15" customHeight="1" x14ac:dyDescent="0.25">
      <c r="A3100" s="7">
        <v>3099</v>
      </c>
      <c r="B3100" s="1">
        <v>43557</v>
      </c>
      <c r="C3100" s="6" t="s">
        <v>13</v>
      </c>
      <c r="D3100" s="6" t="s">
        <v>17</v>
      </c>
      <c r="E3100" s="6">
        <v>3</v>
      </c>
      <c r="F3100" s="6">
        <v>0</v>
      </c>
      <c r="G3100" s="6" t="s">
        <v>18</v>
      </c>
      <c r="H3100" s="6" t="s">
        <v>28</v>
      </c>
      <c r="I3100" s="6">
        <f>TabJogos[[#This Row],[PontosTime1]]-TabJogos[[#This Row],[PontosTime2]]</f>
        <v>3</v>
      </c>
    </row>
    <row r="3101" spans="1:9" ht="15" customHeight="1" x14ac:dyDescent="0.25">
      <c r="A3101" s="7">
        <v>3100</v>
      </c>
      <c r="B3101" s="1">
        <v>43557</v>
      </c>
      <c r="C3101" s="6" t="s">
        <v>27</v>
      </c>
      <c r="D3101" s="6" t="s">
        <v>17</v>
      </c>
      <c r="E3101" s="6">
        <v>3</v>
      </c>
      <c r="F3101" s="6">
        <v>2</v>
      </c>
      <c r="G3101" s="6" t="s">
        <v>11</v>
      </c>
      <c r="H3101" s="6" t="s">
        <v>13</v>
      </c>
      <c r="I3101" s="6">
        <f>TabJogos[[#This Row],[PontosTime1]]-TabJogos[[#This Row],[PontosTime2]]</f>
        <v>1</v>
      </c>
    </row>
    <row r="3102" spans="1:9" ht="15" customHeight="1" x14ac:dyDescent="0.25">
      <c r="A3102" s="7">
        <v>3101</v>
      </c>
      <c r="B3102" s="1">
        <v>43557</v>
      </c>
      <c r="C3102" s="6" t="s">
        <v>27</v>
      </c>
      <c r="D3102" s="6" t="s">
        <v>28</v>
      </c>
      <c r="E3102" s="6">
        <v>1</v>
      </c>
      <c r="F3102" s="6">
        <v>3</v>
      </c>
      <c r="G3102" s="6" t="s">
        <v>11</v>
      </c>
      <c r="H3102" s="6" t="s">
        <v>17</v>
      </c>
      <c r="I3102" s="6">
        <f>TabJogos[[#This Row],[PontosTime1]]-TabJogos[[#This Row],[PontosTime2]]</f>
        <v>-2</v>
      </c>
    </row>
    <row r="3103" spans="1:9" ht="15" customHeight="1" x14ac:dyDescent="0.25">
      <c r="A3103" s="7">
        <v>3102</v>
      </c>
      <c r="B3103" s="1">
        <v>43557</v>
      </c>
      <c r="C3103" s="6" t="s">
        <v>13</v>
      </c>
      <c r="D3103" s="6" t="s">
        <v>17</v>
      </c>
      <c r="E3103" s="6">
        <v>3</v>
      </c>
      <c r="F3103" s="6">
        <v>1</v>
      </c>
      <c r="G3103" s="6" t="s">
        <v>11</v>
      </c>
      <c r="H3103" s="6" t="s">
        <v>28</v>
      </c>
      <c r="I3103" s="6">
        <f>TabJogos[[#This Row],[PontosTime1]]-TabJogos[[#This Row],[PontosTime2]]</f>
        <v>2</v>
      </c>
    </row>
    <row r="3104" spans="1:9" ht="15" customHeight="1" x14ac:dyDescent="0.25">
      <c r="A3104" s="7">
        <v>3103</v>
      </c>
      <c r="B3104" s="1">
        <v>43557</v>
      </c>
      <c r="C3104" s="6" t="s">
        <v>11</v>
      </c>
      <c r="D3104" s="6" t="s">
        <v>13</v>
      </c>
      <c r="E3104" s="6">
        <v>3</v>
      </c>
      <c r="F3104" s="6">
        <v>2</v>
      </c>
      <c r="G3104" s="6" t="s">
        <v>17</v>
      </c>
      <c r="H3104" s="6" t="s">
        <v>28</v>
      </c>
      <c r="I3104" s="6">
        <f>TabJogos[[#This Row],[PontosTime1]]-TabJogos[[#This Row],[PontosTime2]]</f>
        <v>1</v>
      </c>
    </row>
    <row r="3105" spans="1:9" ht="15" customHeight="1" x14ac:dyDescent="0.25">
      <c r="A3105" s="7">
        <v>3104</v>
      </c>
      <c r="B3105" s="1">
        <v>43558</v>
      </c>
      <c r="C3105" s="6" t="s">
        <v>32</v>
      </c>
      <c r="D3105" s="6" t="s">
        <v>18</v>
      </c>
      <c r="E3105" s="6">
        <v>3</v>
      </c>
      <c r="F3105" s="6">
        <v>0</v>
      </c>
      <c r="G3105" s="6" t="s">
        <v>17</v>
      </c>
      <c r="H3105" s="6" t="s">
        <v>41</v>
      </c>
      <c r="I3105" s="6">
        <f>TabJogos[[#This Row],[PontosTime1]]-TabJogos[[#This Row],[PontosTime2]]</f>
        <v>3</v>
      </c>
    </row>
    <row r="3106" spans="1:9" ht="15" customHeight="1" x14ac:dyDescent="0.25">
      <c r="A3106" s="7">
        <v>3105</v>
      </c>
      <c r="B3106" s="1">
        <v>43558</v>
      </c>
      <c r="C3106" s="6" t="s">
        <v>13</v>
      </c>
      <c r="D3106" s="6" t="s">
        <v>32</v>
      </c>
      <c r="E3106" s="6">
        <v>1</v>
      </c>
      <c r="F3106" s="6">
        <v>3</v>
      </c>
      <c r="G3106" s="6" t="s">
        <v>18</v>
      </c>
      <c r="H3106" s="6" t="s">
        <v>10</v>
      </c>
      <c r="I3106" s="6">
        <f>TabJogos[[#This Row],[PontosTime1]]-TabJogos[[#This Row],[PontosTime2]]</f>
        <v>-2</v>
      </c>
    </row>
    <row r="3107" spans="1:9" ht="15" customHeight="1" x14ac:dyDescent="0.25">
      <c r="A3107" s="7">
        <v>3106</v>
      </c>
      <c r="B3107" s="1">
        <v>43558</v>
      </c>
      <c r="C3107" s="6" t="s">
        <v>18</v>
      </c>
      <c r="D3107" s="6" t="s">
        <v>41</v>
      </c>
      <c r="E3107" s="6">
        <v>1</v>
      </c>
      <c r="F3107" s="6">
        <v>3</v>
      </c>
      <c r="G3107" s="6" t="s">
        <v>10</v>
      </c>
      <c r="H3107" s="6" t="s">
        <v>11</v>
      </c>
      <c r="I3107" s="6">
        <f>TabJogos[[#This Row],[PontosTime1]]-TabJogos[[#This Row],[PontosTime2]]</f>
        <v>-2</v>
      </c>
    </row>
    <row r="3108" spans="1:9" ht="15" customHeight="1" x14ac:dyDescent="0.25">
      <c r="A3108" s="7">
        <v>3107</v>
      </c>
      <c r="B3108" s="1">
        <v>43558</v>
      </c>
      <c r="C3108" s="6" t="s">
        <v>32</v>
      </c>
      <c r="D3108" s="6" t="s">
        <v>10</v>
      </c>
      <c r="E3108" s="6">
        <v>3</v>
      </c>
      <c r="F3108" s="6">
        <v>0</v>
      </c>
      <c r="G3108" s="6" t="s">
        <v>11</v>
      </c>
      <c r="H3108" s="6" t="s">
        <v>17</v>
      </c>
      <c r="I3108" s="6">
        <f>TabJogos[[#This Row],[PontosTime1]]-TabJogos[[#This Row],[PontosTime2]]</f>
        <v>3</v>
      </c>
    </row>
    <row r="3109" spans="1:9" ht="15" customHeight="1" x14ac:dyDescent="0.25">
      <c r="A3109" s="7">
        <v>3108</v>
      </c>
      <c r="B3109" s="1">
        <v>43558</v>
      </c>
      <c r="C3109" s="6" t="s">
        <v>18</v>
      </c>
      <c r="D3109" s="6" t="s">
        <v>32</v>
      </c>
      <c r="E3109" s="6">
        <v>2</v>
      </c>
      <c r="F3109" s="6">
        <v>6</v>
      </c>
      <c r="G3109" s="6" t="s">
        <v>13</v>
      </c>
      <c r="H3109" s="6" t="s">
        <v>10</v>
      </c>
      <c r="I3109" s="6">
        <f>TabJogos[[#This Row],[PontosTime1]]-TabJogos[[#This Row],[PontosTime2]]</f>
        <v>-4</v>
      </c>
    </row>
    <row r="3110" spans="1:9" ht="15" customHeight="1" x14ac:dyDescent="0.25">
      <c r="A3110" s="7">
        <v>3109</v>
      </c>
      <c r="B3110" s="1">
        <v>43558</v>
      </c>
      <c r="C3110" s="6" t="s">
        <v>10</v>
      </c>
      <c r="D3110" s="6" t="s">
        <v>41</v>
      </c>
      <c r="E3110" s="6">
        <v>2</v>
      </c>
      <c r="F3110" s="6">
        <v>4</v>
      </c>
      <c r="G3110" s="6" t="s">
        <v>11</v>
      </c>
      <c r="H3110" s="6" t="s">
        <v>13</v>
      </c>
      <c r="I3110" s="6">
        <f>TabJogos[[#This Row],[PontosTime1]]-TabJogos[[#This Row],[PontosTime2]]</f>
        <v>-2</v>
      </c>
    </row>
    <row r="3111" spans="1:9" ht="15" customHeight="1" x14ac:dyDescent="0.25">
      <c r="A3111" s="7">
        <v>3110</v>
      </c>
      <c r="B3111" s="1">
        <v>43558</v>
      </c>
      <c r="C3111" s="6" t="s">
        <v>18</v>
      </c>
      <c r="D3111" s="6" t="s">
        <v>11</v>
      </c>
      <c r="E3111" s="6">
        <v>0</v>
      </c>
      <c r="F3111" s="6">
        <v>3</v>
      </c>
      <c r="G3111" s="6" t="s">
        <v>17</v>
      </c>
      <c r="H3111" s="6" t="s">
        <v>13</v>
      </c>
      <c r="I3111" s="6">
        <f>TabJogos[[#This Row],[PontosTime1]]-TabJogos[[#This Row],[PontosTime2]]</f>
        <v>-3</v>
      </c>
    </row>
    <row r="3112" spans="1:9" ht="15" customHeight="1" x14ac:dyDescent="0.25">
      <c r="A3112" s="7">
        <v>3111</v>
      </c>
      <c r="B3112" s="1">
        <v>43558</v>
      </c>
      <c r="C3112" s="6" t="s">
        <v>17</v>
      </c>
      <c r="D3112" s="6" t="s">
        <v>32</v>
      </c>
      <c r="E3112" s="6">
        <v>4</v>
      </c>
      <c r="F3112" s="6">
        <v>2</v>
      </c>
      <c r="G3112" s="6" t="s">
        <v>41</v>
      </c>
      <c r="H3112" s="6" t="s">
        <v>13</v>
      </c>
      <c r="I3112" s="6">
        <f>TabJogos[[#This Row],[PontosTime1]]-TabJogos[[#This Row],[PontosTime2]]</f>
        <v>2</v>
      </c>
    </row>
    <row r="3113" spans="1:9" ht="15" customHeight="1" x14ac:dyDescent="0.25">
      <c r="A3113" s="7">
        <v>3112</v>
      </c>
      <c r="B3113" s="1">
        <v>43558</v>
      </c>
      <c r="C3113" s="6" t="s">
        <v>32</v>
      </c>
      <c r="D3113" s="6" t="s">
        <v>11</v>
      </c>
      <c r="E3113" s="6">
        <v>6</v>
      </c>
      <c r="F3113" s="6">
        <v>2</v>
      </c>
      <c r="G3113" s="6" t="s">
        <v>17</v>
      </c>
      <c r="H3113" s="6" t="s">
        <v>18</v>
      </c>
      <c r="I3113" s="6">
        <f>TabJogos[[#This Row],[PontosTime1]]-TabJogos[[#This Row],[PontosTime2]]</f>
        <v>4</v>
      </c>
    </row>
    <row r="3114" spans="1:9" ht="15" customHeight="1" x14ac:dyDescent="0.25">
      <c r="A3114" s="7">
        <v>3113</v>
      </c>
      <c r="B3114" s="1">
        <v>43558</v>
      </c>
      <c r="C3114" s="6" t="s">
        <v>16</v>
      </c>
      <c r="D3114" s="6" t="s">
        <v>32</v>
      </c>
      <c r="E3114" s="6">
        <v>2</v>
      </c>
      <c r="F3114" s="6">
        <v>3</v>
      </c>
      <c r="G3114" s="6" t="s">
        <v>11</v>
      </c>
      <c r="H3114" s="6" t="s">
        <v>41</v>
      </c>
      <c r="I3114" s="6">
        <f>TabJogos[[#This Row],[PontosTime1]]-TabJogos[[#This Row],[PontosTime2]]</f>
        <v>-1</v>
      </c>
    </row>
    <row r="3115" spans="1:9" ht="15" customHeight="1" x14ac:dyDescent="0.25">
      <c r="A3115" s="7">
        <v>3114</v>
      </c>
      <c r="B3115" s="1">
        <v>43558</v>
      </c>
      <c r="C3115" s="6" t="s">
        <v>17</v>
      </c>
      <c r="D3115" s="6" t="s">
        <v>11</v>
      </c>
      <c r="E3115" s="6">
        <v>3</v>
      </c>
      <c r="F3115" s="6">
        <v>0</v>
      </c>
      <c r="G3115" s="6" t="s">
        <v>28</v>
      </c>
      <c r="H3115" s="6" t="s">
        <v>13</v>
      </c>
      <c r="I3115" s="6">
        <f>TabJogos[[#This Row],[PontosTime1]]-TabJogos[[#This Row],[PontosTime2]]</f>
        <v>3</v>
      </c>
    </row>
    <row r="3116" spans="1:9" ht="15" customHeight="1" x14ac:dyDescent="0.25">
      <c r="A3116" s="7">
        <v>3115</v>
      </c>
      <c r="B3116" s="1">
        <v>43558</v>
      </c>
      <c r="C3116" s="6" t="s">
        <v>18</v>
      </c>
      <c r="D3116" s="6" t="s">
        <v>11</v>
      </c>
      <c r="E3116" s="6">
        <v>3</v>
      </c>
      <c r="F3116" s="6">
        <v>0</v>
      </c>
      <c r="G3116" s="6" t="s">
        <v>17</v>
      </c>
      <c r="H3116" s="6" t="s">
        <v>13</v>
      </c>
      <c r="I3116" s="6">
        <f>TabJogos[[#This Row],[PontosTime1]]-TabJogos[[#This Row],[PontosTime2]]</f>
        <v>3</v>
      </c>
    </row>
    <row r="3117" spans="1:9" ht="15" customHeight="1" x14ac:dyDescent="0.25">
      <c r="A3117" s="7">
        <v>3116</v>
      </c>
      <c r="B3117" s="1">
        <v>43558</v>
      </c>
      <c r="C3117" s="6" t="s">
        <v>18</v>
      </c>
      <c r="D3117" s="6" t="s">
        <v>28</v>
      </c>
      <c r="E3117" s="6">
        <v>1</v>
      </c>
      <c r="F3117" s="6">
        <v>3</v>
      </c>
      <c r="G3117" s="6" t="s">
        <v>11</v>
      </c>
      <c r="H3117" s="6" t="s">
        <v>13</v>
      </c>
      <c r="I3117" s="6">
        <f>TabJogos[[#This Row],[PontosTime1]]-TabJogos[[#This Row],[PontosTime2]]</f>
        <v>-2</v>
      </c>
    </row>
    <row r="3118" spans="1:9" ht="15" customHeight="1" x14ac:dyDescent="0.25">
      <c r="A3118" s="7">
        <v>3117</v>
      </c>
      <c r="B3118" s="1">
        <v>43558</v>
      </c>
      <c r="C3118" s="6" t="s">
        <v>11</v>
      </c>
      <c r="D3118" s="6" t="s">
        <v>28</v>
      </c>
      <c r="E3118" s="6">
        <v>3</v>
      </c>
      <c r="F3118" s="6">
        <v>1</v>
      </c>
      <c r="G3118" s="6" t="s">
        <v>13</v>
      </c>
      <c r="H3118" s="6" t="s">
        <v>18</v>
      </c>
      <c r="I3118" s="6">
        <f>TabJogos[[#This Row],[PontosTime1]]-TabJogos[[#This Row],[PontosTime2]]</f>
        <v>2</v>
      </c>
    </row>
    <row r="3119" spans="1:9" ht="15" customHeight="1" x14ac:dyDescent="0.25">
      <c r="A3119" s="7">
        <v>3118</v>
      </c>
      <c r="B3119" s="1">
        <v>43558</v>
      </c>
      <c r="C3119" s="6" t="s">
        <v>11</v>
      </c>
      <c r="D3119" s="6" t="s">
        <v>18</v>
      </c>
      <c r="E3119" s="6">
        <v>4</v>
      </c>
      <c r="F3119" s="6">
        <v>2</v>
      </c>
      <c r="G3119" s="6" t="s">
        <v>13</v>
      </c>
      <c r="H3119" s="6" t="s">
        <v>28</v>
      </c>
      <c r="I3119" s="6">
        <f>TabJogos[[#This Row],[PontosTime1]]-TabJogos[[#This Row],[PontosTime2]]</f>
        <v>2</v>
      </c>
    </row>
    <row r="3120" spans="1:9" ht="15" customHeight="1" x14ac:dyDescent="0.25">
      <c r="A3120" s="7">
        <v>3119</v>
      </c>
      <c r="B3120" s="1">
        <v>43559</v>
      </c>
      <c r="C3120" s="6" t="s">
        <v>10</v>
      </c>
      <c r="D3120" s="6" t="s">
        <v>41</v>
      </c>
      <c r="E3120" s="6">
        <v>2</v>
      </c>
      <c r="F3120" s="6">
        <v>6</v>
      </c>
      <c r="G3120" s="6" t="s">
        <v>13</v>
      </c>
      <c r="H3120" s="6" t="s">
        <v>11</v>
      </c>
      <c r="I3120" s="6">
        <f>TabJogos[[#This Row],[PontosTime1]]-TabJogos[[#This Row],[PontosTime2]]</f>
        <v>-4</v>
      </c>
    </row>
    <row r="3121" spans="1:9" ht="15" customHeight="1" x14ac:dyDescent="0.25">
      <c r="A3121" s="7">
        <v>3120</v>
      </c>
      <c r="B3121" s="1">
        <v>43559</v>
      </c>
      <c r="C3121" s="6" t="s">
        <v>13</v>
      </c>
      <c r="D3121" s="6" t="s">
        <v>17</v>
      </c>
      <c r="E3121" s="6">
        <v>4</v>
      </c>
      <c r="F3121" s="6">
        <v>2</v>
      </c>
      <c r="G3121" s="6" t="s">
        <v>11</v>
      </c>
      <c r="H3121" s="6" t="s">
        <v>10</v>
      </c>
      <c r="I3121" s="6">
        <f>TabJogos[[#This Row],[PontosTime1]]-TabJogos[[#This Row],[PontosTime2]]</f>
        <v>2</v>
      </c>
    </row>
    <row r="3122" spans="1:9" ht="15" customHeight="1" x14ac:dyDescent="0.25">
      <c r="A3122" s="7">
        <v>3121</v>
      </c>
      <c r="B3122" s="1">
        <v>43559</v>
      </c>
      <c r="C3122" s="6" t="s">
        <v>13</v>
      </c>
      <c r="D3122" s="6" t="s">
        <v>41</v>
      </c>
      <c r="E3122" s="6">
        <v>3</v>
      </c>
      <c r="F3122" s="6">
        <v>1</v>
      </c>
      <c r="G3122" s="6" t="s">
        <v>17</v>
      </c>
      <c r="H3122" s="6" t="s">
        <v>11</v>
      </c>
      <c r="I3122" s="6">
        <f>TabJogos[[#This Row],[PontosTime1]]-TabJogos[[#This Row],[PontosTime2]]</f>
        <v>2</v>
      </c>
    </row>
    <row r="3123" spans="1:9" ht="15" customHeight="1" x14ac:dyDescent="0.25">
      <c r="A3123" s="7">
        <v>3122</v>
      </c>
      <c r="B3123" s="1">
        <v>43559</v>
      </c>
      <c r="C3123" s="6" t="s">
        <v>41</v>
      </c>
      <c r="D3123" s="6" t="s">
        <v>11</v>
      </c>
      <c r="E3123" s="6">
        <v>0</v>
      </c>
      <c r="F3123" s="6">
        <v>3</v>
      </c>
      <c r="G3123" s="6" t="s">
        <v>13</v>
      </c>
      <c r="H3123" s="6" t="s">
        <v>28</v>
      </c>
      <c r="I3123" s="6">
        <f>TabJogos[[#This Row],[PontosTime1]]-TabJogos[[#This Row],[PontosTime2]]</f>
        <v>-3</v>
      </c>
    </row>
    <row r="3124" spans="1:9" ht="15" customHeight="1" x14ac:dyDescent="0.25">
      <c r="A3124" s="7">
        <v>3123</v>
      </c>
      <c r="B3124" s="1">
        <v>43559</v>
      </c>
      <c r="C3124" s="6" t="s">
        <v>17</v>
      </c>
      <c r="D3124" s="6" t="s">
        <v>28</v>
      </c>
      <c r="E3124" s="6">
        <v>3</v>
      </c>
      <c r="F3124" s="6">
        <v>0</v>
      </c>
      <c r="G3124" s="6" t="s">
        <v>13</v>
      </c>
      <c r="H3124" s="6" t="s">
        <v>11</v>
      </c>
      <c r="I3124" s="6">
        <f>TabJogos[[#This Row],[PontosTime1]]-TabJogos[[#This Row],[PontosTime2]]</f>
        <v>3</v>
      </c>
    </row>
    <row r="3125" spans="1:9" ht="15" customHeight="1" x14ac:dyDescent="0.25">
      <c r="A3125" s="7">
        <v>3124</v>
      </c>
      <c r="B3125" s="1">
        <v>43559</v>
      </c>
      <c r="C3125" s="6" t="s">
        <v>41</v>
      </c>
      <c r="D3125" s="6" t="s">
        <v>28</v>
      </c>
      <c r="E3125" s="6">
        <v>3</v>
      </c>
      <c r="F3125" s="6">
        <v>0</v>
      </c>
      <c r="G3125" s="6" t="s">
        <v>13</v>
      </c>
      <c r="H3125" s="6" t="s">
        <v>17</v>
      </c>
      <c r="I3125" s="6">
        <f>TabJogos[[#This Row],[PontosTime1]]-TabJogos[[#This Row],[PontosTime2]]</f>
        <v>3</v>
      </c>
    </row>
    <row r="3126" spans="1:9" ht="15" customHeight="1" x14ac:dyDescent="0.25">
      <c r="A3126" s="7">
        <v>3125</v>
      </c>
      <c r="B3126" s="1">
        <v>43559</v>
      </c>
      <c r="C3126" s="6" t="s">
        <v>41</v>
      </c>
      <c r="D3126" s="6" t="s">
        <v>13</v>
      </c>
      <c r="E3126" s="6">
        <v>1</v>
      </c>
      <c r="F3126" s="6">
        <v>3</v>
      </c>
      <c r="G3126" s="6" t="s">
        <v>28</v>
      </c>
      <c r="H3126" s="6" t="s">
        <v>11</v>
      </c>
      <c r="I3126" s="6">
        <f>TabJogos[[#This Row],[PontosTime1]]-TabJogos[[#This Row],[PontosTime2]]</f>
        <v>-2</v>
      </c>
    </row>
    <row r="3127" spans="1:9" ht="15" customHeight="1" x14ac:dyDescent="0.25">
      <c r="A3127" s="7">
        <v>3126</v>
      </c>
      <c r="B3127" s="1">
        <v>43559</v>
      </c>
      <c r="C3127" s="6" t="s">
        <v>28</v>
      </c>
      <c r="D3127" s="6" t="s">
        <v>13</v>
      </c>
      <c r="E3127" s="6">
        <v>5</v>
      </c>
      <c r="F3127" s="6">
        <v>0</v>
      </c>
      <c r="G3127" s="6" t="s">
        <v>17</v>
      </c>
      <c r="H3127" s="6" t="s">
        <v>11</v>
      </c>
      <c r="I3127" s="6">
        <f>TabJogos[[#This Row],[PontosTime1]]-TabJogos[[#This Row],[PontosTime2]]</f>
        <v>5</v>
      </c>
    </row>
    <row r="3128" spans="1:9" ht="15" customHeight="1" x14ac:dyDescent="0.25">
      <c r="A3128" s="7">
        <v>3127</v>
      </c>
      <c r="B3128" s="1">
        <v>43559</v>
      </c>
      <c r="C3128" s="6" t="s">
        <v>28</v>
      </c>
      <c r="D3128" s="6" t="s">
        <v>32</v>
      </c>
      <c r="E3128" s="6">
        <v>0</v>
      </c>
      <c r="F3128" s="6">
        <v>3</v>
      </c>
      <c r="G3128" s="6" t="s">
        <v>13</v>
      </c>
      <c r="H3128" s="6" t="s">
        <v>41</v>
      </c>
      <c r="I3128" s="6">
        <f>TabJogos[[#This Row],[PontosTime1]]-TabJogos[[#This Row],[PontosTime2]]</f>
        <v>-3</v>
      </c>
    </row>
    <row r="3129" spans="1:9" ht="15" customHeight="1" x14ac:dyDescent="0.25">
      <c r="A3129" s="7">
        <v>3128</v>
      </c>
      <c r="B3129" s="1">
        <v>43559</v>
      </c>
      <c r="C3129" s="6" t="s">
        <v>28</v>
      </c>
      <c r="D3129" s="6" t="s">
        <v>17</v>
      </c>
      <c r="E3129" s="6">
        <v>1</v>
      </c>
      <c r="F3129" s="6">
        <v>3</v>
      </c>
      <c r="G3129" s="6" t="s">
        <v>11</v>
      </c>
      <c r="H3129" s="6" t="s">
        <v>13</v>
      </c>
      <c r="I3129" s="6">
        <f>TabJogos[[#This Row],[PontosTime1]]-TabJogos[[#This Row],[PontosTime2]]</f>
        <v>-2</v>
      </c>
    </row>
    <row r="3130" spans="1:9" ht="15" customHeight="1" x14ac:dyDescent="0.25">
      <c r="A3130" s="7">
        <v>3129</v>
      </c>
      <c r="B3130" s="1">
        <v>43559</v>
      </c>
      <c r="C3130" s="6" t="s">
        <v>11</v>
      </c>
      <c r="D3130" s="6" t="s">
        <v>28</v>
      </c>
      <c r="E3130" s="6">
        <v>3</v>
      </c>
      <c r="F3130" s="6">
        <v>1</v>
      </c>
      <c r="G3130" s="6" t="s">
        <v>13</v>
      </c>
      <c r="H3130" s="6" t="s">
        <v>17</v>
      </c>
      <c r="I3130" s="6">
        <f>TabJogos[[#This Row],[PontosTime1]]-TabJogos[[#This Row],[PontosTime2]]</f>
        <v>2</v>
      </c>
    </row>
    <row r="3131" spans="1:9" ht="15" customHeight="1" x14ac:dyDescent="0.25">
      <c r="A3131" s="7">
        <v>3130</v>
      </c>
      <c r="B3131" s="1">
        <v>43559</v>
      </c>
      <c r="C3131" s="6" t="s">
        <v>13</v>
      </c>
      <c r="D3131" s="6" t="s">
        <v>28</v>
      </c>
      <c r="E3131" s="6">
        <v>3</v>
      </c>
      <c r="F3131" s="6">
        <v>0</v>
      </c>
      <c r="G3131" s="6" t="s">
        <v>17</v>
      </c>
      <c r="H3131" s="6" t="s">
        <v>11</v>
      </c>
      <c r="I3131" s="6">
        <f>TabJogos[[#This Row],[PontosTime1]]-TabJogos[[#This Row],[PontosTime2]]</f>
        <v>3</v>
      </c>
    </row>
    <row r="3132" spans="1:9" ht="15" customHeight="1" x14ac:dyDescent="0.25">
      <c r="A3132" s="7">
        <v>3131</v>
      </c>
      <c r="B3132" s="1">
        <v>43559</v>
      </c>
      <c r="C3132" s="6" t="s">
        <v>11</v>
      </c>
      <c r="D3132" s="6" t="s">
        <v>13</v>
      </c>
      <c r="E3132" s="6">
        <v>3</v>
      </c>
      <c r="F3132" s="6">
        <v>2</v>
      </c>
      <c r="G3132" s="6" t="s">
        <v>17</v>
      </c>
      <c r="H3132" s="6" t="s">
        <v>28</v>
      </c>
      <c r="I3132" s="6">
        <f>TabJogos[[#This Row],[PontosTime1]]-TabJogos[[#This Row],[PontosTime2]]</f>
        <v>1</v>
      </c>
    </row>
    <row r="3133" spans="1:9" ht="15" customHeight="1" x14ac:dyDescent="0.25">
      <c r="A3133" s="7">
        <v>3132</v>
      </c>
      <c r="B3133" s="1">
        <v>43559</v>
      </c>
      <c r="C3133" s="6" t="s">
        <v>11</v>
      </c>
      <c r="D3133" s="6" t="s">
        <v>28</v>
      </c>
      <c r="E3133" s="6">
        <v>1</v>
      </c>
      <c r="F3133" s="6">
        <v>3</v>
      </c>
      <c r="G3133" s="6" t="s">
        <v>13</v>
      </c>
      <c r="H3133" s="6" t="s">
        <v>17</v>
      </c>
      <c r="I3133" s="6">
        <f>TabJogos[[#This Row],[PontosTime1]]-TabJogos[[#This Row],[PontosTime2]]</f>
        <v>-2</v>
      </c>
    </row>
    <row r="3134" spans="1:9" ht="15" customHeight="1" x14ac:dyDescent="0.25">
      <c r="A3134" s="7">
        <v>3133</v>
      </c>
      <c r="B3134" s="1">
        <v>43559</v>
      </c>
      <c r="C3134" s="6" t="s">
        <v>11</v>
      </c>
      <c r="D3134" s="6" t="s">
        <v>17</v>
      </c>
      <c r="E3134" s="6">
        <v>5</v>
      </c>
      <c r="F3134" s="6">
        <v>1</v>
      </c>
      <c r="G3134" s="6" t="s">
        <v>13</v>
      </c>
      <c r="H3134" s="6" t="s">
        <v>28</v>
      </c>
      <c r="I3134" s="6">
        <f>TabJogos[[#This Row],[PontosTime1]]-TabJogos[[#This Row],[PontosTime2]]</f>
        <v>4</v>
      </c>
    </row>
    <row r="3135" spans="1:9" ht="15" customHeight="1" x14ac:dyDescent="0.25">
      <c r="A3135" s="7">
        <v>3134</v>
      </c>
      <c r="B3135" s="1">
        <v>43560</v>
      </c>
      <c r="C3135" s="6" t="s">
        <v>10</v>
      </c>
      <c r="D3135" s="6" t="s">
        <v>17</v>
      </c>
      <c r="E3135" s="6">
        <v>3</v>
      </c>
      <c r="F3135" s="6">
        <v>0</v>
      </c>
      <c r="G3135" s="6" t="s">
        <v>11</v>
      </c>
      <c r="H3135" s="6" t="s">
        <v>13</v>
      </c>
      <c r="I3135" s="6">
        <f>TabJogos[[#This Row],[PontosTime1]]-TabJogos[[#This Row],[PontosTime2]]</f>
        <v>3</v>
      </c>
    </row>
    <row r="3136" spans="1:9" ht="15" customHeight="1" x14ac:dyDescent="0.25">
      <c r="A3136" s="7">
        <v>3135</v>
      </c>
      <c r="B3136" s="1">
        <v>43560</v>
      </c>
      <c r="C3136" s="6" t="s">
        <v>13</v>
      </c>
      <c r="D3136" s="6" t="s">
        <v>17</v>
      </c>
      <c r="E3136" s="6">
        <v>3</v>
      </c>
      <c r="F3136" s="6">
        <v>0</v>
      </c>
      <c r="G3136" s="6" t="s">
        <v>11</v>
      </c>
      <c r="H3136" s="6" t="s">
        <v>10</v>
      </c>
      <c r="I3136" s="6">
        <f>TabJogos[[#This Row],[PontosTime1]]-TabJogos[[#This Row],[PontosTime2]]</f>
        <v>3</v>
      </c>
    </row>
    <row r="3137" spans="1:9" ht="15" customHeight="1" x14ac:dyDescent="0.25">
      <c r="A3137" s="7">
        <v>3136</v>
      </c>
      <c r="B3137" s="1">
        <v>43560</v>
      </c>
      <c r="C3137" s="6" t="s">
        <v>17</v>
      </c>
      <c r="D3137" s="6" t="s">
        <v>41</v>
      </c>
      <c r="E3137" s="6">
        <v>0</v>
      </c>
      <c r="F3137" s="6">
        <v>3</v>
      </c>
      <c r="G3137" s="6" t="s">
        <v>13</v>
      </c>
      <c r="H3137" s="6" t="s">
        <v>10</v>
      </c>
      <c r="I3137" s="6">
        <f>TabJogos[[#This Row],[PontosTime1]]-TabJogos[[#This Row],[PontosTime2]]</f>
        <v>-3</v>
      </c>
    </row>
    <row r="3138" spans="1:9" ht="15" customHeight="1" x14ac:dyDescent="0.25">
      <c r="A3138" s="7">
        <v>3137</v>
      </c>
      <c r="B3138" s="1">
        <v>43560</v>
      </c>
      <c r="C3138" s="6" t="s">
        <v>10</v>
      </c>
      <c r="D3138" s="6" t="s">
        <v>17</v>
      </c>
      <c r="E3138" s="6">
        <v>1</v>
      </c>
      <c r="F3138" s="6">
        <v>3</v>
      </c>
      <c r="G3138" s="6" t="s">
        <v>13</v>
      </c>
      <c r="H3138" s="6" t="s">
        <v>11</v>
      </c>
      <c r="I3138" s="6">
        <f>TabJogos[[#This Row],[PontosTime1]]-TabJogos[[#This Row],[PontosTime2]]</f>
        <v>-2</v>
      </c>
    </row>
    <row r="3139" spans="1:9" ht="15" customHeight="1" x14ac:dyDescent="0.25">
      <c r="A3139" s="7">
        <v>3138</v>
      </c>
      <c r="B3139" s="1">
        <v>43560</v>
      </c>
      <c r="C3139" s="6" t="s">
        <v>11</v>
      </c>
      <c r="D3139" s="6" t="s">
        <v>17</v>
      </c>
      <c r="E3139" s="6">
        <v>4</v>
      </c>
      <c r="F3139" s="6">
        <v>0</v>
      </c>
      <c r="G3139" s="6" t="s">
        <v>13</v>
      </c>
      <c r="H3139" s="6" t="s">
        <v>41</v>
      </c>
      <c r="I3139" s="6">
        <f>TabJogos[[#This Row],[PontosTime1]]-TabJogos[[#This Row],[PontosTime2]]</f>
        <v>4</v>
      </c>
    </row>
    <row r="3140" spans="1:9" ht="15" customHeight="1" x14ac:dyDescent="0.25">
      <c r="A3140" s="7">
        <v>3139</v>
      </c>
      <c r="B3140" s="1">
        <v>43560</v>
      </c>
      <c r="C3140" s="6" t="s">
        <v>11</v>
      </c>
      <c r="D3140" s="6" t="s">
        <v>41</v>
      </c>
      <c r="E3140" s="6">
        <v>4</v>
      </c>
      <c r="F3140" s="6">
        <v>0</v>
      </c>
      <c r="G3140" s="6" t="s">
        <v>18</v>
      </c>
      <c r="H3140" s="6" t="s">
        <v>13</v>
      </c>
      <c r="I3140" s="6">
        <f>TabJogos[[#This Row],[PontosTime1]]-TabJogos[[#This Row],[PontosTime2]]</f>
        <v>4</v>
      </c>
    </row>
    <row r="3141" spans="1:9" ht="15" customHeight="1" x14ac:dyDescent="0.25">
      <c r="A3141" s="7">
        <v>3140</v>
      </c>
      <c r="B3141" s="1">
        <v>43560</v>
      </c>
      <c r="C3141" s="6" t="s">
        <v>11</v>
      </c>
      <c r="D3141" s="6" t="s">
        <v>18</v>
      </c>
      <c r="E3141" s="6">
        <v>4</v>
      </c>
      <c r="F3141" s="6">
        <v>1</v>
      </c>
      <c r="G3141" s="6" t="s">
        <v>17</v>
      </c>
      <c r="H3141" s="6" t="s">
        <v>41</v>
      </c>
      <c r="I3141" s="6">
        <f>TabJogos[[#This Row],[PontosTime1]]-TabJogos[[#This Row],[PontosTime2]]</f>
        <v>3</v>
      </c>
    </row>
    <row r="3142" spans="1:9" ht="15" customHeight="1" x14ac:dyDescent="0.25">
      <c r="A3142" s="7">
        <v>3141</v>
      </c>
      <c r="B3142" s="1">
        <v>43560</v>
      </c>
      <c r="C3142" s="6" t="s">
        <v>11</v>
      </c>
      <c r="D3142" s="6" t="s">
        <v>28</v>
      </c>
      <c r="E3142" s="6">
        <v>3</v>
      </c>
      <c r="F3142" s="6">
        <v>0</v>
      </c>
      <c r="G3142" s="6" t="s">
        <v>32</v>
      </c>
      <c r="H3142" s="6" t="s">
        <v>18</v>
      </c>
      <c r="I3142" s="6">
        <f>TabJogos[[#This Row],[PontosTime1]]-TabJogos[[#This Row],[PontosTime2]]</f>
        <v>3</v>
      </c>
    </row>
    <row r="3143" spans="1:9" ht="15" customHeight="1" x14ac:dyDescent="0.25">
      <c r="A3143" s="7">
        <v>3142</v>
      </c>
      <c r="B3143" s="1">
        <v>43560</v>
      </c>
      <c r="C3143" s="6" t="s">
        <v>11</v>
      </c>
      <c r="D3143" s="6" t="s">
        <v>27</v>
      </c>
      <c r="E3143" s="6">
        <v>3</v>
      </c>
      <c r="F3143" s="6">
        <v>1</v>
      </c>
      <c r="G3143" s="6" t="s">
        <v>17</v>
      </c>
      <c r="H3143" s="6" t="s">
        <v>28</v>
      </c>
      <c r="I3143" s="6">
        <f>TabJogos[[#This Row],[PontosTime1]]-TabJogos[[#This Row],[PontosTime2]]</f>
        <v>2</v>
      </c>
    </row>
    <row r="3144" spans="1:9" ht="15" customHeight="1" x14ac:dyDescent="0.25">
      <c r="A3144" s="7">
        <v>3143</v>
      </c>
      <c r="B3144" s="1">
        <v>43560</v>
      </c>
      <c r="C3144" s="6" t="s">
        <v>11</v>
      </c>
      <c r="D3144" s="6" t="s">
        <v>13</v>
      </c>
      <c r="E3144" s="6">
        <v>1</v>
      </c>
      <c r="F3144" s="6">
        <v>3</v>
      </c>
      <c r="G3144" s="6" t="s">
        <v>41</v>
      </c>
      <c r="H3144" s="6" t="s">
        <v>27</v>
      </c>
      <c r="I3144" s="6">
        <f>TabJogos[[#This Row],[PontosTime1]]-TabJogos[[#This Row],[PontosTime2]]</f>
        <v>-2</v>
      </c>
    </row>
    <row r="3145" spans="1:9" ht="15" customHeight="1" x14ac:dyDescent="0.25">
      <c r="A3145" s="7">
        <v>3144</v>
      </c>
      <c r="B3145" s="1">
        <v>43560</v>
      </c>
      <c r="C3145" s="6" t="s">
        <v>18</v>
      </c>
      <c r="D3145" s="6" t="s">
        <v>27</v>
      </c>
      <c r="E3145" s="6">
        <v>0</v>
      </c>
      <c r="F3145" s="6">
        <v>3</v>
      </c>
      <c r="G3145" s="6" t="s">
        <v>41</v>
      </c>
      <c r="H3145" s="6" t="s">
        <v>32</v>
      </c>
      <c r="I3145" s="6">
        <f>TabJogos[[#This Row],[PontosTime1]]-TabJogos[[#This Row],[PontosTime2]]</f>
        <v>-3</v>
      </c>
    </row>
    <row r="3146" spans="1:9" ht="15" customHeight="1" x14ac:dyDescent="0.25">
      <c r="A3146" s="7">
        <v>3145</v>
      </c>
      <c r="B3146" s="1">
        <v>43560</v>
      </c>
      <c r="C3146" s="6" t="s">
        <v>32</v>
      </c>
      <c r="D3146" s="6" t="s">
        <v>17</v>
      </c>
      <c r="E3146" s="6">
        <v>3</v>
      </c>
      <c r="F3146" s="6">
        <v>1</v>
      </c>
      <c r="G3146" s="6" t="s">
        <v>41</v>
      </c>
      <c r="H3146" s="6" t="s">
        <v>28</v>
      </c>
      <c r="I3146" s="6">
        <f>TabJogos[[#This Row],[PontosTime1]]-TabJogos[[#This Row],[PontosTime2]]</f>
        <v>2</v>
      </c>
    </row>
    <row r="3147" spans="1:9" ht="15" customHeight="1" x14ac:dyDescent="0.25">
      <c r="A3147" s="7">
        <v>3146</v>
      </c>
      <c r="B3147" s="1">
        <v>43560</v>
      </c>
      <c r="C3147" s="6" t="s">
        <v>17</v>
      </c>
      <c r="D3147" s="6" t="s">
        <v>11</v>
      </c>
      <c r="E3147" s="6">
        <v>3</v>
      </c>
      <c r="F3147" s="6">
        <v>2</v>
      </c>
      <c r="G3147" s="6" t="s">
        <v>32</v>
      </c>
      <c r="H3147" s="6" t="s">
        <v>13</v>
      </c>
      <c r="I3147" s="6">
        <f>TabJogos[[#This Row],[PontosTime1]]-TabJogos[[#This Row],[PontosTime2]]</f>
        <v>1</v>
      </c>
    </row>
    <row r="3148" spans="1:9" ht="15" customHeight="1" x14ac:dyDescent="0.25">
      <c r="A3148" s="7">
        <v>3147</v>
      </c>
      <c r="B3148" s="1">
        <v>43560</v>
      </c>
      <c r="C3148" s="6" t="s">
        <v>11</v>
      </c>
      <c r="D3148" s="6" t="s">
        <v>32</v>
      </c>
      <c r="E3148" s="6">
        <v>1</v>
      </c>
      <c r="F3148" s="6">
        <v>3</v>
      </c>
      <c r="G3148" s="6" t="s">
        <v>17</v>
      </c>
      <c r="H3148" s="6" t="s">
        <v>28</v>
      </c>
      <c r="I3148" s="6">
        <f>TabJogos[[#This Row],[PontosTime1]]-TabJogos[[#This Row],[PontosTime2]]</f>
        <v>-2</v>
      </c>
    </row>
    <row r="3149" spans="1:9" ht="15" customHeight="1" x14ac:dyDescent="0.25">
      <c r="A3149" s="7">
        <v>3148</v>
      </c>
      <c r="B3149" s="1">
        <v>43560</v>
      </c>
      <c r="C3149" s="6" t="s">
        <v>11</v>
      </c>
      <c r="D3149" s="6" t="s">
        <v>28</v>
      </c>
      <c r="E3149" s="6">
        <v>2</v>
      </c>
      <c r="F3149" s="6">
        <v>3</v>
      </c>
      <c r="G3149" s="6" t="s">
        <v>13</v>
      </c>
      <c r="H3149" s="6" t="s">
        <v>17</v>
      </c>
      <c r="I3149" s="6">
        <f>TabJogos[[#This Row],[PontosTime1]]-TabJogos[[#This Row],[PontosTime2]]</f>
        <v>-1</v>
      </c>
    </row>
    <row r="3150" spans="1:9" ht="15" customHeight="1" x14ac:dyDescent="0.25">
      <c r="A3150" s="7">
        <v>3149</v>
      </c>
      <c r="B3150" s="1">
        <v>43563</v>
      </c>
      <c r="C3150" s="6" t="s">
        <v>59</v>
      </c>
      <c r="D3150" s="6" t="s">
        <v>11</v>
      </c>
      <c r="E3150" s="6">
        <v>2</v>
      </c>
      <c r="F3150" s="6">
        <v>3</v>
      </c>
      <c r="G3150" s="6" t="s">
        <v>17</v>
      </c>
      <c r="H3150" s="6" t="s">
        <v>28</v>
      </c>
      <c r="I3150" s="6">
        <f>TabJogos[[#This Row],[PontosTime1]]-TabJogos[[#This Row],[PontosTime2]]</f>
        <v>-1</v>
      </c>
    </row>
    <row r="3151" spans="1:9" ht="15" customHeight="1" x14ac:dyDescent="0.25">
      <c r="A3151" s="7">
        <v>3150</v>
      </c>
      <c r="B3151" s="1">
        <v>43563</v>
      </c>
      <c r="C3151" s="6" t="s">
        <v>11</v>
      </c>
      <c r="D3151" s="6" t="s">
        <v>28</v>
      </c>
      <c r="E3151" s="6">
        <v>0</v>
      </c>
      <c r="F3151" s="6">
        <v>4</v>
      </c>
      <c r="G3151" s="6" t="s">
        <v>17</v>
      </c>
      <c r="H3151" s="6" t="s">
        <v>59</v>
      </c>
      <c r="I3151" s="6">
        <f>TabJogos[[#This Row],[PontosTime1]]-TabJogos[[#This Row],[PontosTime2]]</f>
        <v>-4</v>
      </c>
    </row>
    <row r="3152" spans="1:9" ht="15" customHeight="1" x14ac:dyDescent="0.25">
      <c r="A3152" s="7">
        <v>3151</v>
      </c>
      <c r="B3152" s="1">
        <v>43563</v>
      </c>
      <c r="C3152" s="6" t="s">
        <v>28</v>
      </c>
      <c r="D3152" s="6" t="s">
        <v>59</v>
      </c>
      <c r="E3152" s="6">
        <v>3</v>
      </c>
      <c r="F3152" s="6">
        <v>0</v>
      </c>
      <c r="G3152" s="6" t="s">
        <v>11</v>
      </c>
      <c r="H3152" s="6" t="s">
        <v>17</v>
      </c>
      <c r="I3152" s="6">
        <f>TabJogos[[#This Row],[PontosTime1]]-TabJogos[[#This Row],[PontosTime2]]</f>
        <v>3</v>
      </c>
    </row>
    <row r="3153" spans="1:9" ht="15" customHeight="1" x14ac:dyDescent="0.25">
      <c r="A3153" s="7">
        <v>3152</v>
      </c>
      <c r="B3153" s="1">
        <v>43563</v>
      </c>
      <c r="C3153" s="6" t="s">
        <v>28</v>
      </c>
      <c r="D3153" s="6" t="s">
        <v>32</v>
      </c>
      <c r="E3153" s="6">
        <v>0</v>
      </c>
      <c r="F3153" s="6">
        <v>3</v>
      </c>
      <c r="G3153" s="6" t="s">
        <v>59</v>
      </c>
      <c r="H3153" s="6" t="s">
        <v>11</v>
      </c>
      <c r="I3153" s="6">
        <f>TabJogos[[#This Row],[PontosTime1]]-TabJogos[[#This Row],[PontosTime2]]</f>
        <v>-3</v>
      </c>
    </row>
    <row r="3154" spans="1:9" ht="15" customHeight="1" x14ac:dyDescent="0.25">
      <c r="A3154" s="7">
        <v>3153</v>
      </c>
      <c r="B3154" s="1">
        <v>43563</v>
      </c>
      <c r="C3154" s="6" t="s">
        <v>11</v>
      </c>
      <c r="D3154" s="6" t="s">
        <v>32</v>
      </c>
      <c r="E3154" s="6">
        <v>2</v>
      </c>
      <c r="F3154" s="6">
        <v>3</v>
      </c>
      <c r="G3154" s="6" t="s">
        <v>59</v>
      </c>
      <c r="H3154" s="6" t="s">
        <v>17</v>
      </c>
      <c r="I3154" s="6">
        <f>TabJogos[[#This Row],[PontosTime1]]-TabJogos[[#This Row],[PontosTime2]]</f>
        <v>-1</v>
      </c>
    </row>
    <row r="3155" spans="1:9" ht="15" customHeight="1" x14ac:dyDescent="0.25">
      <c r="A3155" s="7">
        <v>3154</v>
      </c>
      <c r="B3155" s="1">
        <v>43563</v>
      </c>
      <c r="C3155" s="6" t="s">
        <v>9</v>
      </c>
      <c r="D3155" s="6" t="s">
        <v>59</v>
      </c>
      <c r="E3155" s="6">
        <v>1</v>
      </c>
      <c r="F3155" s="6">
        <v>3</v>
      </c>
      <c r="G3155" s="6" t="s">
        <v>17</v>
      </c>
      <c r="H3155" s="6" t="s">
        <v>28</v>
      </c>
      <c r="I3155" s="6">
        <f>TabJogos[[#This Row],[PontosTime1]]-TabJogos[[#This Row],[PontosTime2]]</f>
        <v>-2</v>
      </c>
    </row>
    <row r="3156" spans="1:9" ht="15" customHeight="1" x14ac:dyDescent="0.25">
      <c r="A3156" s="7">
        <v>3155</v>
      </c>
      <c r="B3156" s="1">
        <v>43563</v>
      </c>
      <c r="C3156" s="6" t="s">
        <v>59</v>
      </c>
      <c r="D3156" s="6" t="s">
        <v>28</v>
      </c>
      <c r="E3156" s="6">
        <v>4</v>
      </c>
      <c r="F3156" s="6">
        <v>0</v>
      </c>
      <c r="G3156" s="6" t="s">
        <v>17</v>
      </c>
      <c r="H3156" s="6" t="s">
        <v>11</v>
      </c>
      <c r="I3156" s="6">
        <f>TabJogos[[#This Row],[PontosTime1]]-TabJogos[[#This Row],[PontosTime2]]</f>
        <v>4</v>
      </c>
    </row>
    <row r="3157" spans="1:9" ht="15" customHeight="1" x14ac:dyDescent="0.25">
      <c r="A3157" s="7">
        <v>3156</v>
      </c>
      <c r="B3157" s="1">
        <v>43564</v>
      </c>
      <c r="C3157" s="6" t="s">
        <v>13</v>
      </c>
      <c r="D3157" s="6" t="s">
        <v>17</v>
      </c>
      <c r="E3157" s="6">
        <v>1</v>
      </c>
      <c r="F3157" s="6">
        <v>3</v>
      </c>
      <c r="G3157" s="6" t="s">
        <v>27</v>
      </c>
      <c r="H3157" s="6" t="s">
        <v>9</v>
      </c>
      <c r="I3157" s="6">
        <f>TabJogos[[#This Row],[PontosTime1]]-TabJogos[[#This Row],[PontosTime2]]</f>
        <v>-2</v>
      </c>
    </row>
    <row r="3158" spans="1:9" ht="15" customHeight="1" x14ac:dyDescent="0.25">
      <c r="A3158" s="7">
        <v>3157</v>
      </c>
      <c r="B3158" s="1">
        <v>43564</v>
      </c>
      <c r="C3158" s="6" t="s">
        <v>13</v>
      </c>
      <c r="D3158" s="6" t="s">
        <v>9</v>
      </c>
      <c r="E3158" s="6">
        <v>3</v>
      </c>
      <c r="F3158" s="6">
        <v>1</v>
      </c>
      <c r="G3158" s="6" t="s">
        <v>27</v>
      </c>
      <c r="H3158" s="6" t="s">
        <v>11</v>
      </c>
      <c r="I3158" s="6">
        <f>TabJogos[[#This Row],[PontosTime1]]-TabJogos[[#This Row],[PontosTime2]]</f>
        <v>2</v>
      </c>
    </row>
    <row r="3159" spans="1:9" ht="15" customHeight="1" x14ac:dyDescent="0.25">
      <c r="A3159" s="7">
        <v>3158</v>
      </c>
      <c r="B3159" s="1">
        <v>43564</v>
      </c>
      <c r="C3159" s="6" t="s">
        <v>13</v>
      </c>
      <c r="D3159" s="6" t="s">
        <v>27</v>
      </c>
      <c r="E3159" s="6">
        <v>3</v>
      </c>
      <c r="F3159" s="6">
        <v>0</v>
      </c>
      <c r="G3159" s="6" t="s">
        <v>17</v>
      </c>
      <c r="H3159" s="6" t="s">
        <v>9</v>
      </c>
      <c r="I3159" s="6">
        <f>TabJogos[[#This Row],[PontosTime1]]-TabJogos[[#This Row],[PontosTime2]]</f>
        <v>3</v>
      </c>
    </row>
    <row r="3160" spans="1:9" ht="15" customHeight="1" x14ac:dyDescent="0.25">
      <c r="A3160" s="7">
        <v>3159</v>
      </c>
      <c r="B3160" s="1">
        <v>43564</v>
      </c>
      <c r="C3160" s="6" t="s">
        <v>27</v>
      </c>
      <c r="D3160" s="6" t="s">
        <v>41</v>
      </c>
      <c r="E3160" s="6">
        <v>4</v>
      </c>
      <c r="F3160" s="6">
        <v>2</v>
      </c>
      <c r="G3160" s="6" t="s">
        <v>13</v>
      </c>
      <c r="H3160" s="6" t="s">
        <v>11</v>
      </c>
      <c r="I3160" s="6">
        <f>TabJogos[[#This Row],[PontosTime1]]-TabJogos[[#This Row],[PontosTime2]]</f>
        <v>2</v>
      </c>
    </row>
    <row r="3161" spans="1:9" ht="15" customHeight="1" x14ac:dyDescent="0.25">
      <c r="A3161" s="7">
        <v>3160</v>
      </c>
      <c r="B3161" s="1">
        <v>43564</v>
      </c>
      <c r="C3161" s="6" t="s">
        <v>27</v>
      </c>
      <c r="D3161" s="6" t="s">
        <v>28</v>
      </c>
      <c r="E3161" s="6">
        <v>4</v>
      </c>
      <c r="F3161" s="6">
        <v>1</v>
      </c>
      <c r="G3161" s="6" t="s">
        <v>9</v>
      </c>
      <c r="H3161" s="6" t="s">
        <v>41</v>
      </c>
      <c r="I3161" s="6">
        <f>TabJogos[[#This Row],[PontosTime1]]-TabJogos[[#This Row],[PontosTime2]]</f>
        <v>3</v>
      </c>
    </row>
    <row r="3162" spans="1:9" ht="15" customHeight="1" x14ac:dyDescent="0.25">
      <c r="A3162" s="7">
        <v>3161</v>
      </c>
      <c r="B3162" s="1">
        <v>43564</v>
      </c>
      <c r="C3162" s="6" t="s">
        <v>11</v>
      </c>
      <c r="D3162" s="6" t="s">
        <v>28</v>
      </c>
      <c r="E3162" s="6">
        <v>3</v>
      </c>
      <c r="F3162" s="6">
        <v>1</v>
      </c>
      <c r="G3162" s="6" t="s">
        <v>17</v>
      </c>
      <c r="H3162" s="6" t="s">
        <v>27</v>
      </c>
      <c r="I3162" s="6">
        <f>TabJogos[[#This Row],[PontosTime1]]-TabJogos[[#This Row],[PontosTime2]]</f>
        <v>2</v>
      </c>
    </row>
    <row r="3163" spans="1:9" ht="15" customHeight="1" x14ac:dyDescent="0.25">
      <c r="A3163" s="7">
        <v>3162</v>
      </c>
      <c r="B3163" s="1">
        <v>43564</v>
      </c>
      <c r="C3163" s="6" t="s">
        <v>13</v>
      </c>
      <c r="D3163" s="6" t="s">
        <v>28</v>
      </c>
      <c r="E3163" s="6">
        <v>1</v>
      </c>
      <c r="F3163" s="6">
        <v>3</v>
      </c>
      <c r="G3163" s="6" t="s">
        <v>9</v>
      </c>
      <c r="H3163" s="6" t="s">
        <v>11</v>
      </c>
      <c r="I3163" s="6">
        <f>TabJogos[[#This Row],[PontosTime1]]-TabJogos[[#This Row],[PontosTime2]]</f>
        <v>-2</v>
      </c>
    </row>
    <row r="3164" spans="1:9" ht="15" customHeight="1" x14ac:dyDescent="0.25">
      <c r="A3164" s="7">
        <v>3163</v>
      </c>
      <c r="B3164" s="1">
        <v>43564</v>
      </c>
      <c r="C3164" s="6" t="s">
        <v>11</v>
      </c>
      <c r="D3164" s="6" t="s">
        <v>41</v>
      </c>
      <c r="E3164" s="6">
        <v>3</v>
      </c>
      <c r="F3164" s="6">
        <v>2</v>
      </c>
      <c r="G3164" s="6" t="s">
        <v>27</v>
      </c>
      <c r="H3164" s="6" t="s">
        <v>9</v>
      </c>
      <c r="I3164" s="6">
        <f>TabJogos[[#This Row],[PontosTime1]]-TabJogos[[#This Row],[PontosTime2]]</f>
        <v>1</v>
      </c>
    </row>
    <row r="3165" spans="1:9" ht="15" customHeight="1" x14ac:dyDescent="0.25">
      <c r="A3165" s="7">
        <v>3164</v>
      </c>
      <c r="B3165" s="1">
        <v>43564</v>
      </c>
      <c r="C3165" s="6" t="s">
        <v>11</v>
      </c>
      <c r="D3165" s="6" t="s">
        <v>17</v>
      </c>
      <c r="E3165" s="6">
        <v>3</v>
      </c>
      <c r="F3165" s="6">
        <v>0</v>
      </c>
      <c r="G3165" s="6" t="s">
        <v>41</v>
      </c>
      <c r="H3165" s="6" t="s">
        <v>28</v>
      </c>
      <c r="I3165" s="6">
        <f>TabJogos[[#This Row],[PontosTime1]]-TabJogos[[#This Row],[PontosTime2]]</f>
        <v>3</v>
      </c>
    </row>
    <row r="3166" spans="1:9" ht="15" customHeight="1" x14ac:dyDescent="0.25">
      <c r="A3166" s="7">
        <v>3165</v>
      </c>
      <c r="B3166" s="1">
        <v>43564</v>
      </c>
      <c r="C3166" s="6" t="s">
        <v>11</v>
      </c>
      <c r="D3166" s="6" t="s">
        <v>27</v>
      </c>
      <c r="E3166" s="6">
        <v>3</v>
      </c>
      <c r="F3166" s="6">
        <v>0</v>
      </c>
      <c r="G3166" s="6" t="s">
        <v>17</v>
      </c>
      <c r="H3166" s="6" t="s">
        <v>13</v>
      </c>
      <c r="I3166" s="6">
        <f>TabJogos[[#This Row],[PontosTime1]]-TabJogos[[#This Row],[PontosTime2]]</f>
        <v>3</v>
      </c>
    </row>
    <row r="3167" spans="1:9" ht="15" customHeight="1" x14ac:dyDescent="0.25">
      <c r="A3167" s="7">
        <v>3166</v>
      </c>
      <c r="B3167" s="1">
        <v>43564</v>
      </c>
      <c r="C3167" s="6" t="s">
        <v>11</v>
      </c>
      <c r="D3167" s="6" t="s">
        <v>9</v>
      </c>
      <c r="E3167" s="6">
        <v>4</v>
      </c>
      <c r="F3167" s="6">
        <v>0</v>
      </c>
      <c r="G3167" s="6" t="s">
        <v>41</v>
      </c>
      <c r="H3167" s="6" t="s">
        <v>27</v>
      </c>
      <c r="I3167" s="6">
        <f>TabJogos[[#This Row],[PontosTime1]]-TabJogos[[#This Row],[PontosTime2]]</f>
        <v>4</v>
      </c>
    </row>
    <row r="3168" spans="1:9" ht="15" customHeight="1" x14ac:dyDescent="0.25">
      <c r="A3168" s="7">
        <v>3167</v>
      </c>
      <c r="B3168" s="1">
        <v>43564</v>
      </c>
      <c r="C3168" s="6" t="s">
        <v>11</v>
      </c>
      <c r="D3168" s="6" t="s">
        <v>13</v>
      </c>
      <c r="E3168" s="6">
        <v>3</v>
      </c>
      <c r="F3168" s="6">
        <v>2</v>
      </c>
      <c r="G3168" s="6" t="s">
        <v>27</v>
      </c>
      <c r="H3168" s="6" t="s">
        <v>9</v>
      </c>
      <c r="I3168" s="6">
        <f>TabJogos[[#This Row],[PontosTime1]]-TabJogos[[#This Row],[PontosTime2]]</f>
        <v>1</v>
      </c>
    </row>
    <row r="3169" spans="1:9" ht="15" customHeight="1" x14ac:dyDescent="0.25">
      <c r="A3169" s="7">
        <v>3168</v>
      </c>
      <c r="B3169" s="1">
        <v>43564</v>
      </c>
      <c r="C3169" s="6" t="s">
        <v>11</v>
      </c>
      <c r="D3169" s="6" t="s">
        <v>27</v>
      </c>
      <c r="E3169" s="6">
        <v>0</v>
      </c>
      <c r="F3169" s="6">
        <v>3</v>
      </c>
      <c r="G3169" s="6" t="s">
        <v>9</v>
      </c>
      <c r="H3169" s="6" t="s">
        <v>13</v>
      </c>
      <c r="I3169" s="6">
        <f>TabJogos[[#This Row],[PontosTime1]]-TabJogos[[#This Row],[PontosTime2]]</f>
        <v>-3</v>
      </c>
    </row>
    <row r="3170" spans="1:9" ht="15" customHeight="1" x14ac:dyDescent="0.25">
      <c r="A3170" s="7">
        <v>3169</v>
      </c>
      <c r="B3170" s="1">
        <v>43565</v>
      </c>
      <c r="C3170" s="6" t="s">
        <v>11</v>
      </c>
      <c r="D3170" s="6" t="s">
        <v>18</v>
      </c>
      <c r="E3170" s="6">
        <v>3</v>
      </c>
      <c r="F3170" s="6">
        <v>2</v>
      </c>
      <c r="G3170" s="6" t="s">
        <v>17</v>
      </c>
      <c r="H3170" s="6" t="s">
        <v>13</v>
      </c>
      <c r="I3170" s="6">
        <f>TabJogos[[#This Row],[PontosTime1]]-TabJogos[[#This Row],[PontosTime2]]</f>
        <v>1</v>
      </c>
    </row>
    <row r="3171" spans="1:9" ht="15" customHeight="1" x14ac:dyDescent="0.25">
      <c r="A3171" s="7">
        <v>3170</v>
      </c>
      <c r="B3171" s="1">
        <v>43565</v>
      </c>
      <c r="C3171" s="6" t="s">
        <v>17</v>
      </c>
      <c r="D3171" s="6" t="s">
        <v>18</v>
      </c>
      <c r="E3171" s="6">
        <v>1</v>
      </c>
      <c r="F3171" s="6">
        <v>4</v>
      </c>
      <c r="G3171" s="6" t="s">
        <v>13</v>
      </c>
      <c r="H3171" s="6" t="s">
        <v>11</v>
      </c>
      <c r="I3171" s="6">
        <f>TabJogos[[#This Row],[PontosTime1]]-TabJogos[[#This Row],[PontosTime2]]</f>
        <v>-3</v>
      </c>
    </row>
    <row r="3172" spans="1:9" ht="15" customHeight="1" x14ac:dyDescent="0.25">
      <c r="A3172" s="7">
        <v>3171</v>
      </c>
      <c r="B3172" s="1">
        <v>43565</v>
      </c>
      <c r="C3172" s="6" t="s">
        <v>41</v>
      </c>
      <c r="D3172" s="6" t="s">
        <v>11</v>
      </c>
      <c r="E3172" s="6">
        <v>0</v>
      </c>
      <c r="F3172" s="6">
        <v>4</v>
      </c>
      <c r="G3172" s="6" t="s">
        <v>13</v>
      </c>
      <c r="H3172" s="6" t="s">
        <v>18</v>
      </c>
      <c r="I3172" s="6">
        <f>TabJogos[[#This Row],[PontosTime1]]-TabJogos[[#This Row],[PontosTime2]]</f>
        <v>-4</v>
      </c>
    </row>
    <row r="3173" spans="1:9" ht="15" customHeight="1" x14ac:dyDescent="0.25">
      <c r="A3173" s="7">
        <v>3172</v>
      </c>
      <c r="B3173" s="1">
        <v>43565</v>
      </c>
      <c r="C3173" s="6" t="s">
        <v>13</v>
      </c>
      <c r="D3173" s="6" t="s">
        <v>41</v>
      </c>
      <c r="E3173" s="6">
        <v>3</v>
      </c>
      <c r="F3173" s="6">
        <v>1</v>
      </c>
      <c r="G3173" s="6" t="s">
        <v>11</v>
      </c>
      <c r="H3173" s="6" t="s">
        <v>18</v>
      </c>
      <c r="I3173" s="6">
        <f>TabJogos[[#This Row],[PontosTime1]]-TabJogos[[#This Row],[PontosTime2]]</f>
        <v>2</v>
      </c>
    </row>
    <row r="3174" spans="1:9" ht="15" customHeight="1" x14ac:dyDescent="0.25">
      <c r="A3174" s="7">
        <v>3173</v>
      </c>
      <c r="B3174" s="1">
        <v>43565</v>
      </c>
      <c r="C3174" s="6" t="s">
        <v>13</v>
      </c>
      <c r="D3174" s="6" t="s">
        <v>11</v>
      </c>
      <c r="E3174" s="6">
        <v>0</v>
      </c>
      <c r="F3174" s="6">
        <v>3</v>
      </c>
      <c r="G3174" s="6" t="s">
        <v>41</v>
      </c>
      <c r="H3174" s="6" t="s">
        <v>18</v>
      </c>
      <c r="I3174" s="6">
        <f>TabJogos[[#This Row],[PontosTime1]]-TabJogos[[#This Row],[PontosTime2]]</f>
        <v>-3</v>
      </c>
    </row>
    <row r="3175" spans="1:9" ht="15" customHeight="1" x14ac:dyDescent="0.25">
      <c r="A3175" s="7">
        <v>3174</v>
      </c>
      <c r="B3175" s="1">
        <v>43565</v>
      </c>
      <c r="C3175" s="6" t="s">
        <v>13</v>
      </c>
      <c r="D3175" s="6" t="s">
        <v>18</v>
      </c>
      <c r="E3175" s="6">
        <v>4</v>
      </c>
      <c r="F3175" s="6">
        <v>2</v>
      </c>
      <c r="G3175" s="6" t="s">
        <v>41</v>
      </c>
      <c r="H3175" s="6" t="s">
        <v>11</v>
      </c>
      <c r="I3175" s="6">
        <f>TabJogos[[#This Row],[PontosTime1]]-TabJogos[[#This Row],[PontosTime2]]</f>
        <v>2</v>
      </c>
    </row>
    <row r="3176" spans="1:9" ht="15" customHeight="1" x14ac:dyDescent="0.25">
      <c r="A3176" s="7">
        <v>3175</v>
      </c>
      <c r="B3176" s="1">
        <v>43565</v>
      </c>
      <c r="C3176" s="6" t="s">
        <v>11</v>
      </c>
      <c r="D3176" s="6" t="s">
        <v>18</v>
      </c>
      <c r="E3176" s="6">
        <v>3</v>
      </c>
      <c r="F3176" s="6">
        <v>2</v>
      </c>
      <c r="G3176" s="6" t="s">
        <v>41</v>
      </c>
      <c r="H3176" s="6" t="s">
        <v>13</v>
      </c>
      <c r="I3176" s="6">
        <f>TabJogos[[#This Row],[PontosTime1]]-TabJogos[[#This Row],[PontosTime2]]</f>
        <v>1</v>
      </c>
    </row>
    <row r="3177" spans="1:9" ht="15" customHeight="1" x14ac:dyDescent="0.25">
      <c r="A3177" s="7">
        <v>3176</v>
      </c>
      <c r="B3177" s="1">
        <v>43565</v>
      </c>
      <c r="C3177" s="6" t="s">
        <v>13</v>
      </c>
      <c r="D3177" s="6" t="s">
        <v>11</v>
      </c>
      <c r="E3177" s="6">
        <v>2</v>
      </c>
      <c r="F3177" s="6">
        <v>3</v>
      </c>
      <c r="G3177" s="6" t="s">
        <v>18</v>
      </c>
      <c r="H3177" s="6" t="s">
        <v>41</v>
      </c>
      <c r="I3177" s="6">
        <f>TabJogos[[#This Row],[PontosTime1]]-TabJogos[[#This Row],[PontosTime2]]</f>
        <v>-1</v>
      </c>
    </row>
    <row r="3178" spans="1:9" ht="15" customHeight="1" x14ac:dyDescent="0.25">
      <c r="A3178" s="7">
        <v>3177</v>
      </c>
      <c r="B3178" s="1">
        <v>43565</v>
      </c>
      <c r="C3178" s="6" t="s">
        <v>11</v>
      </c>
      <c r="D3178" s="6" t="s">
        <v>41</v>
      </c>
      <c r="E3178" s="6">
        <v>5</v>
      </c>
      <c r="F3178" s="6">
        <v>1</v>
      </c>
      <c r="G3178" s="6" t="s">
        <v>13</v>
      </c>
      <c r="H3178" s="6" t="s">
        <v>18</v>
      </c>
      <c r="I3178" s="6">
        <f>TabJogos[[#This Row],[PontosTime1]]-TabJogos[[#This Row],[PontosTime2]]</f>
        <v>4</v>
      </c>
    </row>
    <row r="3179" spans="1:9" ht="15" customHeight="1" x14ac:dyDescent="0.25">
      <c r="A3179" s="7">
        <v>3178</v>
      </c>
      <c r="B3179" s="1">
        <v>43565</v>
      </c>
      <c r="C3179" s="6" t="s">
        <v>11</v>
      </c>
      <c r="D3179" s="6" t="s">
        <v>18</v>
      </c>
      <c r="E3179" s="6">
        <v>3</v>
      </c>
      <c r="F3179" s="6">
        <v>0</v>
      </c>
      <c r="G3179" s="6" t="s">
        <v>41</v>
      </c>
      <c r="H3179" s="6" t="s">
        <v>13</v>
      </c>
      <c r="I3179" s="6">
        <f>TabJogos[[#This Row],[PontosTime1]]-TabJogos[[#This Row],[PontosTime2]]</f>
        <v>3</v>
      </c>
    </row>
    <row r="3180" spans="1:9" ht="15" customHeight="1" x14ac:dyDescent="0.25">
      <c r="A3180" s="7">
        <v>3179</v>
      </c>
      <c r="B3180" s="1">
        <v>43565</v>
      </c>
      <c r="C3180" s="6" t="s">
        <v>11</v>
      </c>
      <c r="D3180" s="6" t="s">
        <v>13</v>
      </c>
      <c r="E3180" s="6">
        <v>3</v>
      </c>
      <c r="F3180" s="6">
        <v>2</v>
      </c>
      <c r="G3180" s="6" t="s">
        <v>41</v>
      </c>
      <c r="H3180" s="6" t="s">
        <v>18</v>
      </c>
      <c r="I3180" s="6">
        <f>TabJogos[[#This Row],[PontosTime1]]-TabJogos[[#This Row],[PontosTime2]]</f>
        <v>1</v>
      </c>
    </row>
    <row r="3181" spans="1:9" ht="15" customHeight="1" x14ac:dyDescent="0.25">
      <c r="A3181" s="7">
        <v>3180</v>
      </c>
      <c r="B3181" s="1">
        <v>43565</v>
      </c>
      <c r="C3181" s="6" t="s">
        <v>13</v>
      </c>
      <c r="D3181" s="6" t="s">
        <v>18</v>
      </c>
      <c r="E3181" s="6">
        <v>3</v>
      </c>
      <c r="F3181" s="6">
        <v>1</v>
      </c>
      <c r="G3181" s="6" t="s">
        <v>11</v>
      </c>
      <c r="H3181" s="6" t="s">
        <v>41</v>
      </c>
      <c r="I3181" s="6">
        <f>TabJogos[[#This Row],[PontosTime1]]-TabJogos[[#This Row],[PontosTime2]]</f>
        <v>2</v>
      </c>
    </row>
    <row r="3182" spans="1:9" ht="15" customHeight="1" x14ac:dyDescent="0.25">
      <c r="A3182" s="7">
        <v>3181</v>
      </c>
      <c r="B3182" s="1">
        <v>43565</v>
      </c>
      <c r="C3182" s="6" t="s">
        <v>11</v>
      </c>
      <c r="D3182" s="6" t="s">
        <v>18</v>
      </c>
      <c r="E3182" s="6">
        <v>2</v>
      </c>
      <c r="F3182" s="6">
        <v>3</v>
      </c>
      <c r="G3182" s="6" t="s">
        <v>13</v>
      </c>
      <c r="H3182" s="6" t="s">
        <v>41</v>
      </c>
      <c r="I3182" s="6">
        <f>TabJogos[[#This Row],[PontosTime1]]-TabJogos[[#This Row],[PontosTime2]]</f>
        <v>-1</v>
      </c>
    </row>
    <row r="3183" spans="1:9" ht="15" customHeight="1" x14ac:dyDescent="0.25">
      <c r="A3183" s="7">
        <v>3182</v>
      </c>
      <c r="B3183" s="1">
        <v>43565</v>
      </c>
      <c r="C3183" s="6" t="s">
        <v>9</v>
      </c>
      <c r="D3183" s="6" t="s">
        <v>18</v>
      </c>
      <c r="E3183" s="6">
        <v>2</v>
      </c>
      <c r="F3183" s="6">
        <v>3</v>
      </c>
      <c r="G3183" s="6" t="s">
        <v>13</v>
      </c>
      <c r="H3183" s="6" t="s">
        <v>11</v>
      </c>
      <c r="I3183" s="6">
        <f>TabJogos[[#This Row],[PontosTime1]]-TabJogos[[#This Row],[PontosTime2]]</f>
        <v>-1</v>
      </c>
    </row>
    <row r="3184" spans="1:9" ht="15" customHeight="1" x14ac:dyDescent="0.25">
      <c r="A3184" s="7">
        <v>3183</v>
      </c>
      <c r="B3184" s="1">
        <v>43565</v>
      </c>
      <c r="C3184" s="6" t="s">
        <v>11</v>
      </c>
      <c r="D3184" s="6" t="s">
        <v>9</v>
      </c>
      <c r="E3184" s="6">
        <v>4</v>
      </c>
      <c r="F3184" s="6">
        <v>1</v>
      </c>
      <c r="G3184" s="6" t="s">
        <v>13</v>
      </c>
      <c r="H3184" s="6" t="s">
        <v>18</v>
      </c>
      <c r="I3184" s="6">
        <f>TabJogos[[#This Row],[PontosTime1]]-TabJogos[[#This Row],[PontosTime2]]</f>
        <v>3</v>
      </c>
    </row>
    <row r="3185" spans="1:9" ht="15" customHeight="1" x14ac:dyDescent="0.25">
      <c r="A3185" s="7">
        <v>3184</v>
      </c>
      <c r="B3185" s="1">
        <v>43565</v>
      </c>
      <c r="C3185" s="6" t="s">
        <v>11</v>
      </c>
      <c r="D3185" s="6" t="s">
        <v>18</v>
      </c>
      <c r="E3185" s="6">
        <v>4</v>
      </c>
      <c r="F3185" s="6">
        <v>0</v>
      </c>
      <c r="G3185" s="6" t="s">
        <v>13</v>
      </c>
      <c r="H3185" s="6" t="s">
        <v>9</v>
      </c>
      <c r="I3185" s="6">
        <f>TabJogos[[#This Row],[PontosTime1]]-TabJogos[[#This Row],[PontosTime2]]</f>
        <v>4</v>
      </c>
    </row>
    <row r="3186" spans="1:9" ht="15" customHeight="1" x14ac:dyDescent="0.25">
      <c r="A3186" s="7">
        <v>3185</v>
      </c>
      <c r="B3186" s="1">
        <v>43565</v>
      </c>
      <c r="C3186" s="6" t="s">
        <v>11</v>
      </c>
      <c r="D3186" s="6" t="s">
        <v>13</v>
      </c>
      <c r="E3186" s="6">
        <v>2</v>
      </c>
      <c r="F3186" s="6">
        <v>3</v>
      </c>
      <c r="G3186" s="6" t="s">
        <v>18</v>
      </c>
      <c r="H3186" s="6" t="s">
        <v>9</v>
      </c>
      <c r="I3186" s="6">
        <f>TabJogos[[#This Row],[PontosTime1]]-TabJogos[[#This Row],[PontosTime2]]</f>
        <v>-1</v>
      </c>
    </row>
    <row r="3187" spans="1:9" ht="15" customHeight="1" x14ac:dyDescent="0.25">
      <c r="A3187" s="7">
        <v>3186</v>
      </c>
      <c r="B3187" s="1">
        <v>43565</v>
      </c>
      <c r="C3187" s="6" t="s">
        <v>9</v>
      </c>
      <c r="D3187" s="6" t="s">
        <v>11</v>
      </c>
      <c r="E3187" s="6">
        <v>6</v>
      </c>
      <c r="F3187" s="6">
        <v>0</v>
      </c>
      <c r="G3187" s="6" t="s">
        <v>18</v>
      </c>
      <c r="H3187" s="6" t="s">
        <v>13</v>
      </c>
      <c r="I3187" s="6">
        <f>TabJogos[[#This Row],[PontosTime1]]-TabJogos[[#This Row],[PontosTime2]]</f>
        <v>6</v>
      </c>
    </row>
    <row r="3188" spans="1:9" ht="15" customHeight="1" x14ac:dyDescent="0.25">
      <c r="A3188" s="7">
        <v>3187</v>
      </c>
      <c r="B3188" s="1">
        <v>43565</v>
      </c>
      <c r="C3188" s="6" t="s">
        <v>11</v>
      </c>
      <c r="D3188" s="6" t="s">
        <v>18</v>
      </c>
      <c r="E3188" s="6">
        <v>3</v>
      </c>
      <c r="F3188" s="6">
        <v>2</v>
      </c>
      <c r="G3188" s="6" t="s">
        <v>13</v>
      </c>
      <c r="H3188" s="6" t="s">
        <v>9</v>
      </c>
      <c r="I3188" s="6">
        <f>TabJogos[[#This Row],[PontosTime1]]-TabJogos[[#This Row],[PontosTime2]]</f>
        <v>1</v>
      </c>
    </row>
    <row r="3189" spans="1:9" ht="15" customHeight="1" x14ac:dyDescent="0.25">
      <c r="A3189" s="7">
        <v>3188</v>
      </c>
      <c r="B3189" s="1">
        <v>43565</v>
      </c>
      <c r="C3189" s="6" t="s">
        <v>18</v>
      </c>
      <c r="D3189" s="6" t="s">
        <v>9</v>
      </c>
      <c r="E3189" s="6">
        <v>4</v>
      </c>
      <c r="F3189" s="6">
        <v>0</v>
      </c>
      <c r="G3189" s="6" t="s">
        <v>11</v>
      </c>
      <c r="H3189" s="6" t="s">
        <v>13</v>
      </c>
      <c r="I3189" s="6">
        <f>TabJogos[[#This Row],[PontosTime1]]-TabJogos[[#This Row],[PontosTime2]]</f>
        <v>4</v>
      </c>
    </row>
    <row r="3190" spans="1:9" ht="15" customHeight="1" x14ac:dyDescent="0.25">
      <c r="A3190" s="7">
        <v>3189</v>
      </c>
      <c r="B3190" s="1">
        <v>43565</v>
      </c>
      <c r="C3190" s="6" t="s">
        <v>18</v>
      </c>
      <c r="D3190" s="6" t="s">
        <v>13</v>
      </c>
      <c r="E3190" s="6">
        <v>4</v>
      </c>
      <c r="F3190" s="6">
        <v>1</v>
      </c>
      <c r="G3190" s="6" t="s">
        <v>11</v>
      </c>
      <c r="H3190" s="6" t="s">
        <v>9</v>
      </c>
      <c r="I3190" s="6">
        <f>TabJogos[[#This Row],[PontosTime1]]-TabJogos[[#This Row],[PontosTime2]]</f>
        <v>3</v>
      </c>
    </row>
    <row r="3191" spans="1:9" ht="15" customHeight="1" x14ac:dyDescent="0.25">
      <c r="A3191" s="7">
        <v>3190</v>
      </c>
      <c r="B3191" s="1">
        <v>43565</v>
      </c>
      <c r="C3191" s="6" t="s">
        <v>11</v>
      </c>
      <c r="D3191" s="6" t="s">
        <v>18</v>
      </c>
      <c r="E3191" s="6">
        <v>3</v>
      </c>
      <c r="F3191" s="6">
        <v>0</v>
      </c>
      <c r="G3191" s="6" t="s">
        <v>13</v>
      </c>
      <c r="H3191" s="6" t="s">
        <v>9</v>
      </c>
      <c r="I3191" s="6">
        <f>TabJogos[[#This Row],[PontosTime1]]-TabJogos[[#This Row],[PontosTime2]]</f>
        <v>3</v>
      </c>
    </row>
    <row r="3192" spans="1:9" ht="15" customHeight="1" x14ac:dyDescent="0.25">
      <c r="A3192" s="7">
        <v>3191</v>
      </c>
      <c r="B3192" s="1">
        <v>43566</v>
      </c>
      <c r="C3192" s="6" t="s">
        <v>13</v>
      </c>
      <c r="D3192" s="6" t="s">
        <v>16</v>
      </c>
      <c r="E3192" s="6">
        <v>3</v>
      </c>
      <c r="F3192" s="6">
        <v>1</v>
      </c>
      <c r="G3192" s="6" t="s">
        <v>11</v>
      </c>
      <c r="H3192" s="6" t="s">
        <v>28</v>
      </c>
      <c r="I3192" s="6">
        <f>TabJogos[[#This Row],[PontosTime1]]-TabJogos[[#This Row],[PontosTime2]]</f>
        <v>2</v>
      </c>
    </row>
    <row r="3193" spans="1:9" ht="15" customHeight="1" x14ac:dyDescent="0.25">
      <c r="A3193" s="7">
        <v>3192</v>
      </c>
      <c r="B3193" s="1">
        <v>43566</v>
      </c>
      <c r="C3193" s="6" t="s">
        <v>13</v>
      </c>
      <c r="D3193" s="6" t="s">
        <v>11</v>
      </c>
      <c r="E3193" s="6">
        <v>0</v>
      </c>
      <c r="F3193" s="6">
        <v>3</v>
      </c>
      <c r="G3193" s="6" t="s">
        <v>41</v>
      </c>
      <c r="H3193" s="6" t="s">
        <v>16</v>
      </c>
      <c r="I3193" s="6">
        <f>TabJogos[[#This Row],[PontosTime1]]-TabJogos[[#This Row],[PontosTime2]]</f>
        <v>-3</v>
      </c>
    </row>
    <row r="3194" spans="1:9" ht="15" customHeight="1" x14ac:dyDescent="0.25">
      <c r="A3194" s="7">
        <v>3193</v>
      </c>
      <c r="B3194" s="1">
        <v>43566</v>
      </c>
      <c r="C3194" s="6" t="s">
        <v>41</v>
      </c>
      <c r="D3194" s="6" t="s">
        <v>28</v>
      </c>
      <c r="E3194" s="6">
        <v>3</v>
      </c>
      <c r="F3194" s="6">
        <v>0</v>
      </c>
      <c r="G3194" s="6" t="s">
        <v>11</v>
      </c>
      <c r="H3194" s="6" t="s">
        <v>16</v>
      </c>
      <c r="I3194" s="6">
        <f>TabJogos[[#This Row],[PontosTime1]]-TabJogos[[#This Row],[PontosTime2]]</f>
        <v>3</v>
      </c>
    </row>
    <row r="3195" spans="1:9" ht="15" customHeight="1" x14ac:dyDescent="0.25">
      <c r="A3195" s="7">
        <v>3194</v>
      </c>
      <c r="B3195" s="1">
        <v>43566</v>
      </c>
      <c r="C3195" s="6" t="s">
        <v>41</v>
      </c>
      <c r="D3195" s="6" t="s">
        <v>13</v>
      </c>
      <c r="E3195" s="6">
        <v>3</v>
      </c>
      <c r="F3195" s="6">
        <v>1</v>
      </c>
      <c r="G3195" s="6" t="s">
        <v>41</v>
      </c>
      <c r="H3195" s="6" t="s">
        <v>28</v>
      </c>
      <c r="I3195" s="6">
        <f>TabJogos[[#This Row],[PontosTime1]]-TabJogos[[#This Row],[PontosTime2]]</f>
        <v>2</v>
      </c>
    </row>
    <row r="3196" spans="1:9" ht="15" customHeight="1" x14ac:dyDescent="0.25">
      <c r="A3196" s="7">
        <v>3195</v>
      </c>
      <c r="B3196" s="1">
        <v>43566</v>
      </c>
      <c r="C3196" s="6" t="s">
        <v>41</v>
      </c>
      <c r="D3196" s="6" t="s">
        <v>32</v>
      </c>
      <c r="E3196" s="6">
        <v>2</v>
      </c>
      <c r="F3196" s="6">
        <v>3</v>
      </c>
      <c r="G3196" s="6" t="s">
        <v>11</v>
      </c>
      <c r="H3196" s="6" t="s">
        <v>13</v>
      </c>
      <c r="I3196" s="6">
        <f>TabJogos[[#This Row],[PontosTime1]]-TabJogos[[#This Row],[PontosTime2]]</f>
        <v>-1</v>
      </c>
    </row>
    <row r="3197" spans="1:9" ht="15" customHeight="1" x14ac:dyDescent="0.25">
      <c r="A3197" s="7">
        <v>3196</v>
      </c>
      <c r="B3197" s="1">
        <v>43566</v>
      </c>
      <c r="C3197" s="6" t="s">
        <v>41</v>
      </c>
      <c r="D3197" s="6" t="s">
        <v>9</v>
      </c>
      <c r="E3197" s="6">
        <v>2</v>
      </c>
      <c r="F3197" s="6">
        <v>3</v>
      </c>
      <c r="G3197" s="6" t="s">
        <v>32</v>
      </c>
      <c r="H3197" s="6" t="s">
        <v>28</v>
      </c>
      <c r="I3197" s="6">
        <f>TabJogos[[#This Row],[PontosTime1]]-TabJogos[[#This Row],[PontosTime2]]</f>
        <v>-1</v>
      </c>
    </row>
    <row r="3198" spans="1:9" ht="15" customHeight="1" x14ac:dyDescent="0.25">
      <c r="A3198" s="7">
        <v>3197</v>
      </c>
      <c r="B3198" s="1">
        <v>43566</v>
      </c>
      <c r="C3198" s="6" t="s">
        <v>13</v>
      </c>
      <c r="D3198" s="6" t="s">
        <v>32</v>
      </c>
      <c r="E3198" s="6">
        <v>1</v>
      </c>
      <c r="F3198" s="6">
        <v>3</v>
      </c>
      <c r="G3198" s="6" t="s">
        <v>28</v>
      </c>
      <c r="H3198" s="6" t="s">
        <v>18</v>
      </c>
      <c r="I3198" s="6">
        <f>TabJogos[[#This Row],[PontosTime1]]-TabJogos[[#This Row],[PontosTime2]]</f>
        <v>-2</v>
      </c>
    </row>
    <row r="3199" spans="1:9" ht="15" customHeight="1" x14ac:dyDescent="0.25">
      <c r="A3199" s="7">
        <v>3198</v>
      </c>
      <c r="B3199" s="1">
        <v>43566</v>
      </c>
      <c r="C3199" s="6" t="s">
        <v>17</v>
      </c>
      <c r="D3199" s="6" t="s">
        <v>28</v>
      </c>
      <c r="E3199" s="6">
        <v>1</v>
      </c>
      <c r="F3199" s="6">
        <v>3</v>
      </c>
      <c r="G3199" s="6" t="s">
        <v>18</v>
      </c>
      <c r="H3199" s="6" t="s">
        <v>11</v>
      </c>
      <c r="I3199" s="6">
        <f>TabJogos[[#This Row],[PontosTime1]]-TabJogos[[#This Row],[PontosTime2]]</f>
        <v>-2</v>
      </c>
    </row>
    <row r="3200" spans="1:9" ht="15" customHeight="1" x14ac:dyDescent="0.25">
      <c r="A3200" s="7">
        <v>3199</v>
      </c>
      <c r="B3200" s="1">
        <v>43566</v>
      </c>
      <c r="C3200" s="6" t="s">
        <v>13</v>
      </c>
      <c r="D3200" s="6" t="s">
        <v>18</v>
      </c>
      <c r="E3200" s="6">
        <v>2</v>
      </c>
      <c r="F3200" s="6">
        <v>3</v>
      </c>
      <c r="G3200" s="6" t="s">
        <v>11</v>
      </c>
      <c r="H3200" s="6" t="s">
        <v>9</v>
      </c>
      <c r="I3200" s="6">
        <f>TabJogos[[#This Row],[PontosTime1]]-TabJogos[[#This Row],[PontosTime2]]</f>
        <v>-1</v>
      </c>
    </row>
    <row r="3201" spans="1:9" ht="15" customHeight="1" x14ac:dyDescent="0.25">
      <c r="A3201" s="7">
        <v>3200</v>
      </c>
      <c r="B3201" s="1">
        <v>43566</v>
      </c>
      <c r="C3201" s="6" t="s">
        <v>17</v>
      </c>
      <c r="D3201" s="6" t="s">
        <v>11</v>
      </c>
      <c r="E3201" s="6">
        <v>2</v>
      </c>
      <c r="F3201" s="6">
        <v>3</v>
      </c>
      <c r="G3201" s="6" t="s">
        <v>28</v>
      </c>
      <c r="H3201" s="6" t="s">
        <v>9</v>
      </c>
      <c r="I3201" s="6">
        <f>TabJogos[[#This Row],[PontosTime1]]-TabJogos[[#This Row],[PontosTime2]]</f>
        <v>-1</v>
      </c>
    </row>
    <row r="3202" spans="1:9" ht="15" customHeight="1" x14ac:dyDescent="0.25">
      <c r="A3202" s="7">
        <v>3201</v>
      </c>
      <c r="B3202" s="1">
        <v>43566</v>
      </c>
      <c r="C3202" s="6" t="s">
        <v>9</v>
      </c>
      <c r="D3202" s="6" t="s">
        <v>18</v>
      </c>
      <c r="E3202" s="6">
        <v>4</v>
      </c>
      <c r="F3202" s="6">
        <v>1</v>
      </c>
      <c r="G3202" s="6" t="s">
        <v>13</v>
      </c>
      <c r="H3202" s="6" t="s">
        <v>28</v>
      </c>
      <c r="I3202" s="6">
        <f>TabJogos[[#This Row],[PontosTime1]]-TabJogos[[#This Row],[PontosTime2]]</f>
        <v>3</v>
      </c>
    </row>
    <row r="3203" spans="1:9" ht="15" customHeight="1" x14ac:dyDescent="0.25">
      <c r="A3203" s="7">
        <v>3202</v>
      </c>
      <c r="B3203" s="1">
        <v>43566</v>
      </c>
      <c r="C3203" s="6" t="s">
        <v>9</v>
      </c>
      <c r="D3203" s="6" t="s">
        <v>13</v>
      </c>
      <c r="E3203" s="6">
        <v>3</v>
      </c>
      <c r="F3203" s="6">
        <v>0</v>
      </c>
      <c r="G3203" s="6" t="s">
        <v>11</v>
      </c>
      <c r="H3203" s="6" t="s">
        <v>18</v>
      </c>
      <c r="I3203" s="6">
        <f>TabJogos[[#This Row],[PontosTime1]]-TabJogos[[#This Row],[PontosTime2]]</f>
        <v>3</v>
      </c>
    </row>
    <row r="3204" spans="1:9" ht="15" customHeight="1" x14ac:dyDescent="0.25">
      <c r="A3204" s="7">
        <v>3203</v>
      </c>
      <c r="B3204" s="1">
        <v>43566</v>
      </c>
      <c r="C3204" s="6" t="s">
        <v>13</v>
      </c>
      <c r="D3204" s="6" t="s">
        <v>11</v>
      </c>
      <c r="E3204" s="6">
        <v>4</v>
      </c>
      <c r="F3204" s="6">
        <v>0</v>
      </c>
      <c r="G3204" s="6" t="s">
        <v>9</v>
      </c>
      <c r="H3204" s="6" t="s">
        <v>28</v>
      </c>
      <c r="I3204" s="6">
        <f>TabJogos[[#This Row],[PontosTime1]]-TabJogos[[#This Row],[PontosTime2]]</f>
        <v>4</v>
      </c>
    </row>
    <row r="3205" spans="1:9" ht="15" customHeight="1" x14ac:dyDescent="0.25">
      <c r="A3205" s="7">
        <v>3204</v>
      </c>
      <c r="B3205" s="1">
        <v>43566</v>
      </c>
      <c r="C3205" s="6" t="s">
        <v>18</v>
      </c>
      <c r="D3205" s="6" t="s">
        <v>13</v>
      </c>
      <c r="E3205" s="6">
        <v>1</v>
      </c>
      <c r="F3205" s="6">
        <v>3</v>
      </c>
      <c r="G3205" s="6" t="s">
        <v>11</v>
      </c>
      <c r="H3205" s="6" t="s">
        <v>28</v>
      </c>
      <c r="I3205" s="6">
        <f>TabJogos[[#This Row],[PontosTime1]]-TabJogos[[#This Row],[PontosTime2]]</f>
        <v>-2</v>
      </c>
    </row>
    <row r="3206" spans="1:9" ht="15" customHeight="1" x14ac:dyDescent="0.25">
      <c r="A3206" s="7">
        <v>3205</v>
      </c>
      <c r="B3206" s="1">
        <v>43566</v>
      </c>
      <c r="C3206" s="6" t="s">
        <v>13</v>
      </c>
      <c r="D3206" s="6" t="s">
        <v>28</v>
      </c>
      <c r="E3206" s="6">
        <v>3</v>
      </c>
      <c r="F3206" s="6">
        <v>0</v>
      </c>
      <c r="G3206" s="6" t="s">
        <v>11</v>
      </c>
      <c r="H3206" s="6" t="s">
        <v>18</v>
      </c>
      <c r="I3206" s="6">
        <f>TabJogos[[#This Row],[PontosTime1]]-TabJogos[[#This Row],[PontosTime2]]</f>
        <v>3</v>
      </c>
    </row>
    <row r="3207" spans="1:9" ht="15" customHeight="1" x14ac:dyDescent="0.25">
      <c r="A3207" s="7">
        <v>3206</v>
      </c>
      <c r="B3207" s="1">
        <v>43566</v>
      </c>
      <c r="C3207" s="6" t="s">
        <v>11</v>
      </c>
      <c r="D3207" s="6" t="s">
        <v>13</v>
      </c>
      <c r="E3207" s="6">
        <v>3</v>
      </c>
      <c r="F3207" s="6">
        <v>1</v>
      </c>
      <c r="G3207" s="6" t="s">
        <v>28</v>
      </c>
      <c r="H3207" s="6" t="s">
        <v>18</v>
      </c>
      <c r="I3207" s="6">
        <f>TabJogos[[#This Row],[PontosTime1]]-TabJogos[[#This Row],[PontosTime2]]</f>
        <v>2</v>
      </c>
    </row>
    <row r="3208" spans="1:9" ht="15" customHeight="1" x14ac:dyDescent="0.25">
      <c r="A3208" s="7">
        <v>3207</v>
      </c>
      <c r="B3208" s="1">
        <v>43566</v>
      </c>
      <c r="C3208" s="6" t="s">
        <v>11</v>
      </c>
      <c r="D3208" s="6" t="s">
        <v>28</v>
      </c>
      <c r="E3208" s="6">
        <v>3</v>
      </c>
      <c r="F3208" s="6">
        <v>2</v>
      </c>
      <c r="G3208" s="6" t="s">
        <v>18</v>
      </c>
      <c r="H3208" s="6" t="s">
        <v>13</v>
      </c>
      <c r="I3208" s="6">
        <f>TabJogos[[#This Row],[PontosTime1]]-TabJogos[[#This Row],[PontosTime2]]</f>
        <v>1</v>
      </c>
    </row>
    <row r="3209" spans="1:9" ht="15" customHeight="1" x14ac:dyDescent="0.25">
      <c r="A3209" s="7">
        <v>3208</v>
      </c>
      <c r="B3209" s="1">
        <v>43566</v>
      </c>
      <c r="C3209" s="6" t="s">
        <v>11</v>
      </c>
      <c r="D3209" s="6" t="s">
        <v>18</v>
      </c>
      <c r="E3209" s="6">
        <v>3</v>
      </c>
      <c r="F3209" s="6">
        <v>1</v>
      </c>
      <c r="G3209" s="6" t="s">
        <v>13</v>
      </c>
      <c r="H3209" s="6" t="s">
        <v>28</v>
      </c>
      <c r="I3209" s="6">
        <f>TabJogos[[#This Row],[PontosTime1]]-TabJogos[[#This Row],[PontosTime2]]</f>
        <v>2</v>
      </c>
    </row>
    <row r="3210" spans="1:9" ht="15" customHeight="1" x14ac:dyDescent="0.25">
      <c r="A3210" s="7">
        <v>3209</v>
      </c>
      <c r="B3210" s="1">
        <v>43567</v>
      </c>
      <c r="C3210" s="6" t="s">
        <v>32</v>
      </c>
      <c r="D3210" s="6" t="s">
        <v>28</v>
      </c>
      <c r="E3210" s="6">
        <v>3</v>
      </c>
      <c r="F3210" s="6">
        <v>1</v>
      </c>
      <c r="G3210" s="6" t="s">
        <v>13</v>
      </c>
      <c r="H3210" s="6" t="s">
        <v>11</v>
      </c>
      <c r="I3210" s="6">
        <f>TabJogos[[#This Row],[PontosTime1]]-TabJogos[[#This Row],[PontosTime2]]</f>
        <v>2</v>
      </c>
    </row>
    <row r="3211" spans="1:9" ht="15" customHeight="1" x14ac:dyDescent="0.25">
      <c r="A3211" s="7">
        <v>3210</v>
      </c>
      <c r="B3211" s="1">
        <v>43567</v>
      </c>
      <c r="C3211" s="6" t="s">
        <v>28</v>
      </c>
      <c r="D3211" s="6" t="s">
        <v>13</v>
      </c>
      <c r="E3211" s="6">
        <v>3</v>
      </c>
      <c r="F3211" s="6">
        <v>1</v>
      </c>
      <c r="G3211" s="6" t="s">
        <v>32</v>
      </c>
      <c r="H3211" s="6" t="s">
        <v>11</v>
      </c>
      <c r="I3211" s="6">
        <f>TabJogos[[#This Row],[PontosTime1]]-TabJogos[[#This Row],[PontosTime2]]</f>
        <v>2</v>
      </c>
    </row>
    <row r="3212" spans="1:9" ht="15" customHeight="1" x14ac:dyDescent="0.25">
      <c r="A3212" s="7">
        <v>3211</v>
      </c>
      <c r="B3212" s="1">
        <v>43567</v>
      </c>
      <c r="C3212" s="6" t="s">
        <v>17</v>
      </c>
      <c r="D3212" s="6" t="s">
        <v>28</v>
      </c>
      <c r="E3212" s="6">
        <v>3</v>
      </c>
      <c r="F3212" s="6">
        <v>2</v>
      </c>
      <c r="G3212" s="6" t="s">
        <v>13</v>
      </c>
      <c r="H3212" s="6" t="s">
        <v>32</v>
      </c>
      <c r="I3212" s="6">
        <f>TabJogos[[#This Row],[PontosTime1]]-TabJogos[[#This Row],[PontosTime2]]</f>
        <v>1</v>
      </c>
    </row>
    <row r="3213" spans="1:9" ht="15" customHeight="1" x14ac:dyDescent="0.25">
      <c r="A3213" s="7">
        <v>3212</v>
      </c>
      <c r="B3213" s="1">
        <v>43567</v>
      </c>
      <c r="C3213" s="6" t="s">
        <v>17</v>
      </c>
      <c r="D3213" s="6" t="s">
        <v>32</v>
      </c>
      <c r="E3213" s="6">
        <v>4</v>
      </c>
      <c r="F3213" s="6">
        <v>0</v>
      </c>
      <c r="G3213" s="6" t="s">
        <v>11</v>
      </c>
      <c r="H3213" s="6" t="s">
        <v>28</v>
      </c>
      <c r="I3213" s="6">
        <f>TabJogos[[#This Row],[PontosTime1]]-TabJogos[[#This Row],[PontosTime2]]</f>
        <v>4</v>
      </c>
    </row>
    <row r="3214" spans="1:9" ht="15" customHeight="1" x14ac:dyDescent="0.25">
      <c r="A3214" s="7">
        <v>3213</v>
      </c>
      <c r="B3214" s="1">
        <v>43567</v>
      </c>
      <c r="C3214" s="6" t="s">
        <v>27</v>
      </c>
      <c r="D3214" s="6" t="s">
        <v>32</v>
      </c>
      <c r="E3214" s="6">
        <v>2</v>
      </c>
      <c r="F3214" s="6">
        <v>3</v>
      </c>
      <c r="G3214" s="6" t="s">
        <v>13</v>
      </c>
      <c r="H3214" s="6" t="s">
        <v>17</v>
      </c>
      <c r="I3214" s="6">
        <f>TabJogos[[#This Row],[PontosTime1]]-TabJogos[[#This Row],[PontosTime2]]</f>
        <v>-1</v>
      </c>
    </row>
    <row r="3215" spans="1:9" ht="15" customHeight="1" x14ac:dyDescent="0.25">
      <c r="A3215" s="7">
        <v>3214</v>
      </c>
      <c r="B3215" s="1">
        <v>43567</v>
      </c>
      <c r="C3215" s="6" t="s">
        <v>18</v>
      </c>
      <c r="D3215" s="6" t="s">
        <v>17</v>
      </c>
      <c r="E3215" s="6">
        <v>3</v>
      </c>
      <c r="F3215" s="6">
        <v>2</v>
      </c>
      <c r="G3215" s="6" t="s">
        <v>13</v>
      </c>
      <c r="H3215" s="6" t="s">
        <v>28</v>
      </c>
      <c r="I3215" s="6">
        <f>TabJogos[[#This Row],[PontosTime1]]-TabJogos[[#This Row],[PontosTime2]]</f>
        <v>1</v>
      </c>
    </row>
    <row r="3216" spans="1:9" ht="15" customHeight="1" x14ac:dyDescent="0.25">
      <c r="A3216" s="7">
        <v>3215</v>
      </c>
      <c r="B3216" s="1">
        <v>43567</v>
      </c>
      <c r="C3216" s="6" t="s">
        <v>11</v>
      </c>
      <c r="D3216" s="6" t="s">
        <v>18</v>
      </c>
      <c r="E3216" s="6">
        <v>2</v>
      </c>
      <c r="F3216" s="6">
        <v>3</v>
      </c>
      <c r="G3216" s="6" t="s">
        <v>17</v>
      </c>
      <c r="H3216" s="6" t="s">
        <v>27</v>
      </c>
      <c r="I3216" s="6">
        <f>TabJogos[[#This Row],[PontosTime1]]-TabJogos[[#This Row],[PontosTime2]]</f>
        <v>-1</v>
      </c>
    </row>
    <row r="3217" spans="1:9" ht="15" customHeight="1" x14ac:dyDescent="0.25">
      <c r="A3217" s="7">
        <v>3216</v>
      </c>
      <c r="B3217" s="1">
        <v>43567</v>
      </c>
      <c r="C3217" s="6" t="s">
        <v>17</v>
      </c>
      <c r="D3217" s="6" t="s">
        <v>13</v>
      </c>
      <c r="E3217" s="6">
        <v>2</v>
      </c>
      <c r="F3217" s="6">
        <v>4</v>
      </c>
      <c r="G3217" s="6" t="s">
        <v>28</v>
      </c>
      <c r="H3217" s="6" t="s">
        <v>27</v>
      </c>
      <c r="I3217" s="6">
        <f>TabJogos[[#This Row],[PontosTime1]]-TabJogos[[#This Row],[PontosTime2]]</f>
        <v>-2</v>
      </c>
    </row>
    <row r="3218" spans="1:9" ht="15" customHeight="1" x14ac:dyDescent="0.25">
      <c r="A3218" s="7">
        <v>3217</v>
      </c>
      <c r="B3218" s="1">
        <v>43567</v>
      </c>
      <c r="C3218" s="6" t="s">
        <v>11</v>
      </c>
      <c r="D3218" s="6" t="s">
        <v>27</v>
      </c>
      <c r="E3218" s="6">
        <v>0</v>
      </c>
      <c r="F3218" s="6">
        <v>3</v>
      </c>
      <c r="G3218" s="6" t="s">
        <v>18</v>
      </c>
      <c r="H3218" s="6" t="s">
        <v>28</v>
      </c>
      <c r="I3218" s="6">
        <f>TabJogos[[#This Row],[PontosTime1]]-TabJogos[[#This Row],[PontosTime2]]</f>
        <v>-3</v>
      </c>
    </row>
    <row r="3219" spans="1:9" ht="15" customHeight="1" x14ac:dyDescent="0.25">
      <c r="A3219" s="7">
        <v>3218</v>
      </c>
      <c r="B3219" s="1">
        <v>43567</v>
      </c>
      <c r="C3219" s="6" t="s">
        <v>13</v>
      </c>
      <c r="D3219" s="6" t="s">
        <v>18</v>
      </c>
      <c r="E3219" s="6">
        <v>4</v>
      </c>
      <c r="F3219" s="6">
        <v>2</v>
      </c>
      <c r="G3219" s="6" t="s">
        <v>11</v>
      </c>
      <c r="H3219" s="6" t="s">
        <v>28</v>
      </c>
      <c r="I3219" s="6">
        <f>TabJogos[[#This Row],[PontosTime1]]-TabJogos[[#This Row],[PontosTime2]]</f>
        <v>2</v>
      </c>
    </row>
    <row r="3220" spans="1:9" ht="15" customHeight="1" x14ac:dyDescent="0.25">
      <c r="A3220" s="7">
        <v>3219</v>
      </c>
      <c r="B3220" s="1">
        <v>43567</v>
      </c>
      <c r="C3220" s="6" t="s">
        <v>11</v>
      </c>
      <c r="D3220" s="6" t="s">
        <v>18</v>
      </c>
      <c r="E3220" s="6">
        <v>2</v>
      </c>
      <c r="F3220" s="6">
        <v>4</v>
      </c>
      <c r="G3220" s="6" t="s">
        <v>13</v>
      </c>
      <c r="H3220" s="6" t="s">
        <v>28</v>
      </c>
      <c r="I3220" s="6">
        <f>TabJogos[[#This Row],[PontosTime1]]-TabJogos[[#This Row],[PontosTime2]]</f>
        <v>-2</v>
      </c>
    </row>
    <row r="3221" spans="1:9" ht="15" customHeight="1" x14ac:dyDescent="0.25">
      <c r="A3221" s="7">
        <v>3220</v>
      </c>
      <c r="B3221" s="1">
        <v>43567</v>
      </c>
      <c r="C3221" s="6" t="s">
        <v>11</v>
      </c>
      <c r="D3221" s="6" t="s">
        <v>13</v>
      </c>
      <c r="E3221" s="6">
        <v>1</v>
      </c>
      <c r="F3221" s="6">
        <v>3</v>
      </c>
      <c r="G3221" s="6" t="s">
        <v>28</v>
      </c>
      <c r="H3221" s="6" t="s">
        <v>18</v>
      </c>
      <c r="I3221" s="6">
        <f>TabJogos[[#This Row],[PontosTime1]]-TabJogos[[#This Row],[PontosTime2]]</f>
        <v>-2</v>
      </c>
    </row>
    <row r="3222" spans="1:9" ht="15" customHeight="1" x14ac:dyDescent="0.25">
      <c r="A3222" s="7">
        <v>3221</v>
      </c>
      <c r="B3222" s="1">
        <v>43567</v>
      </c>
      <c r="C3222" s="6" t="s">
        <v>11</v>
      </c>
      <c r="D3222" s="6" t="s">
        <v>28</v>
      </c>
      <c r="E3222" s="6">
        <v>3</v>
      </c>
      <c r="F3222" s="6">
        <v>1</v>
      </c>
      <c r="G3222" s="6" t="s">
        <v>13</v>
      </c>
      <c r="H3222" s="6" t="s">
        <v>18</v>
      </c>
      <c r="I3222" s="6">
        <f>TabJogos[[#This Row],[PontosTime1]]-TabJogos[[#This Row],[PontosTime2]]</f>
        <v>2</v>
      </c>
    </row>
    <row r="3223" spans="1:9" ht="15" customHeight="1" x14ac:dyDescent="0.25">
      <c r="A3223" s="7">
        <v>3222</v>
      </c>
      <c r="B3223" s="1">
        <v>43570</v>
      </c>
      <c r="C3223" s="6" t="s">
        <v>13</v>
      </c>
      <c r="D3223" s="6" t="s">
        <v>18</v>
      </c>
      <c r="E3223" s="6">
        <v>4</v>
      </c>
      <c r="F3223" s="6">
        <v>2</v>
      </c>
      <c r="G3223" s="6" t="s">
        <v>11</v>
      </c>
      <c r="H3223" s="6" t="s">
        <v>27</v>
      </c>
      <c r="I3223" s="6">
        <f>TabJogos[[#This Row],[PontosTime1]]-TabJogos[[#This Row],[PontosTime2]]</f>
        <v>2</v>
      </c>
    </row>
    <row r="3224" spans="1:9" ht="15" customHeight="1" x14ac:dyDescent="0.25">
      <c r="A3224" s="7">
        <v>3223</v>
      </c>
      <c r="B3224" s="1">
        <v>43570</v>
      </c>
      <c r="C3224" s="6" t="s">
        <v>13</v>
      </c>
      <c r="D3224" s="6" t="s">
        <v>27</v>
      </c>
      <c r="E3224" s="6">
        <v>4</v>
      </c>
      <c r="F3224" s="6">
        <v>0</v>
      </c>
      <c r="G3224" s="6" t="s">
        <v>11</v>
      </c>
      <c r="H3224" s="6" t="s">
        <v>18</v>
      </c>
      <c r="I3224" s="6">
        <f>TabJogos[[#This Row],[PontosTime1]]-TabJogos[[#This Row],[PontosTime2]]</f>
        <v>4</v>
      </c>
    </row>
    <row r="3225" spans="1:9" ht="15" customHeight="1" x14ac:dyDescent="0.25">
      <c r="A3225" s="7">
        <v>3224</v>
      </c>
      <c r="B3225" s="1">
        <v>43570</v>
      </c>
      <c r="C3225" s="6" t="s">
        <v>13</v>
      </c>
      <c r="D3225" s="6" t="s">
        <v>11</v>
      </c>
      <c r="E3225" s="6">
        <v>3</v>
      </c>
      <c r="F3225" s="6">
        <v>0</v>
      </c>
      <c r="G3225" s="6" t="s">
        <v>27</v>
      </c>
      <c r="H3225" s="6" t="s">
        <v>18</v>
      </c>
      <c r="I3225" s="6">
        <f>TabJogos[[#This Row],[PontosTime1]]-TabJogos[[#This Row],[PontosTime2]]</f>
        <v>3</v>
      </c>
    </row>
    <row r="3226" spans="1:9" ht="15" customHeight="1" x14ac:dyDescent="0.25">
      <c r="A3226" s="7">
        <v>3225</v>
      </c>
      <c r="B3226" s="1">
        <v>43570</v>
      </c>
      <c r="C3226" s="6" t="s">
        <v>13</v>
      </c>
      <c r="D3226" s="6" t="s">
        <v>18</v>
      </c>
      <c r="E3226" s="6">
        <v>0</v>
      </c>
      <c r="F3226" s="6">
        <v>3</v>
      </c>
      <c r="G3226" s="6" t="s">
        <v>11</v>
      </c>
      <c r="H3226" s="6" t="s">
        <v>27</v>
      </c>
      <c r="I3226" s="6">
        <f>TabJogos[[#This Row],[PontosTime1]]-TabJogos[[#This Row],[PontosTime2]]</f>
        <v>-3</v>
      </c>
    </row>
    <row r="3227" spans="1:9" ht="15" customHeight="1" x14ac:dyDescent="0.25">
      <c r="A3227" s="7">
        <v>3226</v>
      </c>
      <c r="B3227" s="1">
        <v>43570</v>
      </c>
      <c r="C3227" s="6" t="s">
        <v>13</v>
      </c>
      <c r="D3227" s="6" t="s">
        <v>11</v>
      </c>
      <c r="E3227" s="6">
        <v>3</v>
      </c>
      <c r="F3227" s="6">
        <v>2</v>
      </c>
      <c r="G3227" s="6" t="s">
        <v>18</v>
      </c>
      <c r="H3227" s="6" t="s">
        <v>27</v>
      </c>
      <c r="I3227" s="6">
        <f>TabJogos[[#This Row],[PontosTime1]]-TabJogos[[#This Row],[PontosTime2]]</f>
        <v>1</v>
      </c>
    </row>
    <row r="3228" spans="1:9" ht="15" customHeight="1" x14ac:dyDescent="0.25">
      <c r="A3228" s="7">
        <v>3227</v>
      </c>
      <c r="B3228" s="1">
        <v>43570</v>
      </c>
      <c r="C3228" s="6" t="s">
        <v>11</v>
      </c>
      <c r="D3228" s="6" t="s">
        <v>18</v>
      </c>
      <c r="E3228" s="6">
        <v>4</v>
      </c>
      <c r="F3228" s="6">
        <v>2</v>
      </c>
      <c r="G3228" s="6" t="s">
        <v>27</v>
      </c>
      <c r="H3228" s="6" t="s">
        <v>13</v>
      </c>
      <c r="I3228" s="6">
        <f>TabJogos[[#This Row],[PontosTime1]]-TabJogos[[#This Row],[PontosTime2]]</f>
        <v>2</v>
      </c>
    </row>
    <row r="3229" spans="1:9" ht="15" customHeight="1" x14ac:dyDescent="0.25">
      <c r="A3229" s="7">
        <v>3228</v>
      </c>
      <c r="B3229" s="1">
        <v>43570</v>
      </c>
      <c r="C3229" s="6" t="s">
        <v>13</v>
      </c>
      <c r="D3229" s="6" t="s">
        <v>18</v>
      </c>
      <c r="E3229" s="6">
        <v>3</v>
      </c>
      <c r="F3229" s="6">
        <v>1</v>
      </c>
      <c r="G3229" s="6" t="s">
        <v>11</v>
      </c>
      <c r="H3229" s="6" t="s">
        <v>27</v>
      </c>
      <c r="I3229" s="6">
        <f>TabJogos[[#This Row],[PontosTime1]]-TabJogos[[#This Row],[PontosTime2]]</f>
        <v>2</v>
      </c>
    </row>
    <row r="3230" spans="1:9" ht="15" customHeight="1" x14ac:dyDescent="0.25">
      <c r="A3230" s="7">
        <v>3229</v>
      </c>
      <c r="B3230" s="1">
        <v>43570</v>
      </c>
      <c r="C3230" s="6" t="s">
        <v>13</v>
      </c>
      <c r="D3230" s="6" t="s">
        <v>11</v>
      </c>
      <c r="E3230" s="6">
        <v>3</v>
      </c>
      <c r="F3230" s="6">
        <v>2</v>
      </c>
      <c r="G3230" s="6" t="s">
        <v>27</v>
      </c>
      <c r="H3230" s="6" t="s">
        <v>18</v>
      </c>
      <c r="I3230" s="6">
        <f>TabJogos[[#This Row],[PontosTime1]]-TabJogos[[#This Row],[PontosTime2]]</f>
        <v>1</v>
      </c>
    </row>
    <row r="3231" spans="1:9" ht="15" customHeight="1" x14ac:dyDescent="0.25">
      <c r="A3231" s="7">
        <v>3230</v>
      </c>
      <c r="B3231" s="1">
        <v>43570</v>
      </c>
      <c r="C3231" s="6" t="s">
        <v>13</v>
      </c>
      <c r="D3231" s="6" t="s">
        <v>27</v>
      </c>
      <c r="E3231" s="6">
        <v>3</v>
      </c>
      <c r="F3231" s="6">
        <v>1</v>
      </c>
      <c r="G3231" s="6" t="s">
        <v>11</v>
      </c>
      <c r="H3231" s="6" t="s">
        <v>18</v>
      </c>
      <c r="I3231" s="6">
        <f>TabJogos[[#This Row],[PontosTime1]]-TabJogos[[#This Row],[PontosTime2]]</f>
        <v>2</v>
      </c>
    </row>
    <row r="3232" spans="1:9" ht="15" customHeight="1" x14ac:dyDescent="0.25">
      <c r="A3232" s="7">
        <v>3231</v>
      </c>
      <c r="B3232" s="1">
        <v>43571</v>
      </c>
      <c r="C3232" s="6" t="s">
        <v>13</v>
      </c>
      <c r="D3232" s="6" t="s">
        <v>28</v>
      </c>
      <c r="E3232" s="6">
        <v>1</v>
      </c>
      <c r="F3232" s="6">
        <v>5</v>
      </c>
      <c r="G3232" s="6" t="s">
        <v>27</v>
      </c>
      <c r="H3232" s="6" t="s">
        <v>11</v>
      </c>
      <c r="I3232" s="6">
        <f>TabJogos[[#This Row],[PontosTime1]]-TabJogos[[#This Row],[PontosTime2]]</f>
        <v>-4</v>
      </c>
    </row>
    <row r="3233" spans="1:9" ht="15" customHeight="1" x14ac:dyDescent="0.25">
      <c r="A3233" s="7">
        <v>3232</v>
      </c>
      <c r="B3233" s="1">
        <v>43571</v>
      </c>
      <c r="C3233" s="6" t="s">
        <v>11</v>
      </c>
      <c r="D3233" s="6" t="s">
        <v>28</v>
      </c>
      <c r="E3233" s="6">
        <v>4</v>
      </c>
      <c r="F3233" s="6">
        <v>0</v>
      </c>
      <c r="G3233" s="6" t="s">
        <v>27</v>
      </c>
      <c r="H3233" s="6" t="s">
        <v>13</v>
      </c>
      <c r="I3233" s="6">
        <f>TabJogos[[#This Row],[PontosTime1]]-TabJogos[[#This Row],[PontosTime2]]</f>
        <v>4</v>
      </c>
    </row>
    <row r="3234" spans="1:9" ht="15" customHeight="1" x14ac:dyDescent="0.25">
      <c r="A3234" s="7">
        <v>3233</v>
      </c>
      <c r="B3234" s="1">
        <v>43571</v>
      </c>
      <c r="C3234" s="6" t="s">
        <v>11</v>
      </c>
      <c r="D3234" s="6" t="s">
        <v>13</v>
      </c>
      <c r="E3234" s="6">
        <v>4</v>
      </c>
      <c r="F3234" s="6">
        <v>0</v>
      </c>
      <c r="G3234" s="6" t="s">
        <v>27</v>
      </c>
      <c r="H3234" s="6" t="s">
        <v>28</v>
      </c>
      <c r="I3234" s="6">
        <f>TabJogos[[#This Row],[PontosTime1]]-TabJogos[[#This Row],[PontosTime2]]</f>
        <v>4</v>
      </c>
    </row>
    <row r="3235" spans="1:9" ht="15" customHeight="1" x14ac:dyDescent="0.25">
      <c r="A3235" s="7">
        <v>3234</v>
      </c>
      <c r="B3235" s="1">
        <v>43571</v>
      </c>
      <c r="C3235" s="6" t="s">
        <v>11</v>
      </c>
      <c r="D3235" s="6" t="s">
        <v>27</v>
      </c>
      <c r="E3235" s="6">
        <v>3</v>
      </c>
      <c r="F3235" s="6">
        <v>0</v>
      </c>
      <c r="G3235" s="6" t="s">
        <v>28</v>
      </c>
      <c r="H3235" s="6" t="s">
        <v>13</v>
      </c>
      <c r="I3235" s="6">
        <f>TabJogos[[#This Row],[PontosTime1]]-TabJogos[[#This Row],[PontosTime2]]</f>
        <v>3</v>
      </c>
    </row>
    <row r="3236" spans="1:9" ht="15" customHeight="1" x14ac:dyDescent="0.25">
      <c r="A3236" s="7">
        <v>3235</v>
      </c>
      <c r="B3236" s="1">
        <v>43571</v>
      </c>
      <c r="C3236" s="6" t="s">
        <v>11</v>
      </c>
      <c r="D3236" s="6" t="s">
        <v>28</v>
      </c>
      <c r="E3236" s="6">
        <v>4</v>
      </c>
      <c r="F3236" s="6">
        <v>1</v>
      </c>
      <c r="G3236" s="6" t="s">
        <v>13</v>
      </c>
      <c r="H3236" s="6" t="s">
        <v>27</v>
      </c>
      <c r="I3236" s="6">
        <f>TabJogos[[#This Row],[PontosTime1]]-TabJogos[[#This Row],[PontosTime2]]</f>
        <v>3</v>
      </c>
    </row>
    <row r="3237" spans="1:9" ht="15" customHeight="1" x14ac:dyDescent="0.25">
      <c r="A3237" s="7">
        <v>3236</v>
      </c>
      <c r="B3237" s="1">
        <v>43571</v>
      </c>
      <c r="C3237" s="6" t="s">
        <v>11</v>
      </c>
      <c r="D3237" s="6" t="s">
        <v>13</v>
      </c>
      <c r="E3237" s="6">
        <v>4</v>
      </c>
      <c r="F3237" s="6">
        <v>0</v>
      </c>
      <c r="G3237" s="6" t="s">
        <v>28</v>
      </c>
      <c r="H3237" s="6" t="s">
        <v>27</v>
      </c>
      <c r="I3237" s="6">
        <f>TabJogos[[#This Row],[PontosTime1]]-TabJogos[[#This Row],[PontosTime2]]</f>
        <v>4</v>
      </c>
    </row>
    <row r="3238" spans="1:9" ht="15" customHeight="1" x14ac:dyDescent="0.25">
      <c r="A3238" s="7">
        <v>3237</v>
      </c>
      <c r="B3238" s="1">
        <v>43571</v>
      </c>
      <c r="C3238" s="6" t="s">
        <v>11</v>
      </c>
      <c r="D3238" s="6" t="s">
        <v>27</v>
      </c>
      <c r="E3238" s="6">
        <v>4</v>
      </c>
      <c r="F3238" s="6">
        <v>1</v>
      </c>
      <c r="G3238" s="6" t="s">
        <v>28</v>
      </c>
      <c r="H3238" s="6" t="s">
        <v>13</v>
      </c>
      <c r="I3238" s="6">
        <f>TabJogos[[#This Row],[PontosTime1]]-TabJogos[[#This Row],[PontosTime2]]</f>
        <v>3</v>
      </c>
    </row>
    <row r="3239" spans="1:9" ht="15" customHeight="1" x14ac:dyDescent="0.25">
      <c r="A3239" s="7">
        <v>3238</v>
      </c>
      <c r="B3239" s="1">
        <v>43571</v>
      </c>
      <c r="C3239" s="6" t="s">
        <v>13</v>
      </c>
      <c r="D3239" s="6" t="s">
        <v>27</v>
      </c>
      <c r="E3239" s="6">
        <v>3</v>
      </c>
      <c r="F3239" s="6">
        <v>1</v>
      </c>
      <c r="G3239" s="6" t="s">
        <v>11</v>
      </c>
      <c r="H3239" s="6" t="s">
        <v>28</v>
      </c>
      <c r="I3239" s="6">
        <f>TabJogos[[#This Row],[PontosTime1]]-TabJogos[[#This Row],[PontosTime2]]</f>
        <v>2</v>
      </c>
    </row>
    <row r="3240" spans="1:9" ht="15" customHeight="1" x14ac:dyDescent="0.25">
      <c r="A3240" s="7">
        <v>3239</v>
      </c>
      <c r="B3240" s="1">
        <v>43571</v>
      </c>
      <c r="C3240" s="6" t="s">
        <v>27</v>
      </c>
      <c r="D3240" s="6" t="s">
        <v>18</v>
      </c>
      <c r="E3240" s="6">
        <v>3</v>
      </c>
      <c r="F3240" s="6">
        <v>2</v>
      </c>
      <c r="G3240" s="6" t="s">
        <v>41</v>
      </c>
      <c r="H3240" s="6" t="s">
        <v>13</v>
      </c>
      <c r="I3240" s="6">
        <f>TabJogos[[#This Row],[PontosTime1]]-TabJogos[[#This Row],[PontosTime2]]</f>
        <v>1</v>
      </c>
    </row>
    <row r="3241" spans="1:9" ht="15" customHeight="1" x14ac:dyDescent="0.25">
      <c r="A3241" s="7">
        <v>3240</v>
      </c>
      <c r="B3241" s="1">
        <v>43571</v>
      </c>
      <c r="C3241" s="6" t="s">
        <v>11</v>
      </c>
      <c r="D3241" s="6" t="s">
        <v>18</v>
      </c>
      <c r="E3241" s="6">
        <v>4</v>
      </c>
      <c r="F3241" s="6">
        <v>2</v>
      </c>
      <c r="G3241" s="6" t="s">
        <v>27</v>
      </c>
      <c r="H3241" s="6" t="s">
        <v>28</v>
      </c>
      <c r="I3241" s="6">
        <f>TabJogos[[#This Row],[PontosTime1]]-TabJogos[[#This Row],[PontosTime2]]</f>
        <v>2</v>
      </c>
    </row>
    <row r="3242" spans="1:9" ht="15" customHeight="1" x14ac:dyDescent="0.25">
      <c r="A3242" s="7">
        <v>3241</v>
      </c>
      <c r="B3242" s="1">
        <v>43571</v>
      </c>
      <c r="C3242" s="6" t="s">
        <v>11</v>
      </c>
      <c r="D3242" s="6" t="s">
        <v>41</v>
      </c>
      <c r="E3242" s="6">
        <v>3</v>
      </c>
      <c r="F3242" s="6">
        <v>0</v>
      </c>
      <c r="G3242" s="6" t="s">
        <v>13</v>
      </c>
      <c r="H3242" s="6" t="s">
        <v>18</v>
      </c>
      <c r="I3242" s="6">
        <f>TabJogos[[#This Row],[PontosTime1]]-TabJogos[[#This Row],[PontosTime2]]</f>
        <v>3</v>
      </c>
    </row>
    <row r="3243" spans="1:9" ht="15" customHeight="1" x14ac:dyDescent="0.25">
      <c r="A3243" s="7">
        <v>3242</v>
      </c>
      <c r="B3243" s="1">
        <v>43571</v>
      </c>
      <c r="C3243" s="6" t="s">
        <v>28</v>
      </c>
      <c r="D3243" s="6" t="s">
        <v>41</v>
      </c>
      <c r="E3243" s="6">
        <v>3</v>
      </c>
      <c r="F3243" s="6">
        <v>0</v>
      </c>
      <c r="G3243" s="6" t="s">
        <v>11</v>
      </c>
      <c r="H3243" s="6" t="s">
        <v>13</v>
      </c>
      <c r="I3243" s="6">
        <f>TabJogos[[#This Row],[PontosTime1]]-TabJogos[[#This Row],[PontosTime2]]</f>
        <v>3</v>
      </c>
    </row>
    <row r="3244" spans="1:9" ht="15" customHeight="1" x14ac:dyDescent="0.25">
      <c r="A3244" s="7">
        <v>3243</v>
      </c>
      <c r="B3244" s="1">
        <v>43571</v>
      </c>
      <c r="C3244" s="6" t="s">
        <v>11</v>
      </c>
      <c r="D3244" s="6" t="s">
        <v>18</v>
      </c>
      <c r="E3244" s="6">
        <v>1</v>
      </c>
      <c r="F3244" s="6">
        <v>3</v>
      </c>
      <c r="G3244" s="6" t="s">
        <v>28</v>
      </c>
      <c r="H3244" s="6" t="s">
        <v>13</v>
      </c>
      <c r="I3244" s="6">
        <f>TabJogos[[#This Row],[PontosTime1]]-TabJogos[[#This Row],[PontosTime2]]</f>
        <v>-2</v>
      </c>
    </row>
    <row r="3245" spans="1:9" ht="15" customHeight="1" x14ac:dyDescent="0.25">
      <c r="A3245" s="7">
        <v>3244</v>
      </c>
      <c r="B3245" s="1">
        <v>43571</v>
      </c>
      <c r="C3245" s="6" t="s">
        <v>28</v>
      </c>
      <c r="D3245" s="6" t="s">
        <v>11</v>
      </c>
      <c r="E3245" s="6">
        <v>2</v>
      </c>
      <c r="F3245" s="6">
        <v>3</v>
      </c>
      <c r="G3245" s="6" t="s">
        <v>13</v>
      </c>
      <c r="H3245" s="6" t="s">
        <v>18</v>
      </c>
      <c r="I3245" s="6">
        <f>TabJogos[[#This Row],[PontosTime1]]-TabJogos[[#This Row],[PontosTime2]]</f>
        <v>-1</v>
      </c>
    </row>
    <row r="3246" spans="1:9" ht="15" customHeight="1" x14ac:dyDescent="0.25">
      <c r="A3246" s="7">
        <v>3245</v>
      </c>
      <c r="B3246" s="1">
        <v>43571</v>
      </c>
      <c r="C3246" s="6" t="s">
        <v>28</v>
      </c>
      <c r="D3246" s="6" t="s">
        <v>18</v>
      </c>
      <c r="E3246" s="6">
        <v>3</v>
      </c>
      <c r="F3246" s="6">
        <v>1</v>
      </c>
      <c r="G3246" s="6" t="s">
        <v>11</v>
      </c>
      <c r="H3246" s="6" t="s">
        <v>13</v>
      </c>
      <c r="I3246" s="6">
        <f>TabJogos[[#This Row],[PontosTime1]]-TabJogos[[#This Row],[PontosTime2]]</f>
        <v>2</v>
      </c>
    </row>
    <row r="3247" spans="1:9" ht="15" customHeight="1" x14ac:dyDescent="0.25">
      <c r="A3247" s="7">
        <v>3246</v>
      </c>
      <c r="B3247" s="1">
        <v>43571</v>
      </c>
      <c r="C3247" s="6" t="s">
        <v>11</v>
      </c>
      <c r="D3247" s="6" t="s">
        <v>18</v>
      </c>
      <c r="E3247" s="6">
        <v>1</v>
      </c>
      <c r="F3247" s="6">
        <v>3</v>
      </c>
      <c r="G3247" s="6" t="s">
        <v>28</v>
      </c>
      <c r="H3247" s="6" t="s">
        <v>13</v>
      </c>
      <c r="I3247" s="6">
        <f>TabJogos[[#This Row],[PontosTime1]]-TabJogos[[#This Row],[PontosTime2]]</f>
        <v>-2</v>
      </c>
    </row>
    <row r="3248" spans="1:9" ht="15" customHeight="1" x14ac:dyDescent="0.25">
      <c r="A3248" s="7">
        <v>3247</v>
      </c>
      <c r="B3248" s="1">
        <v>43572</v>
      </c>
      <c r="C3248" s="6" t="s">
        <v>60</v>
      </c>
      <c r="D3248" s="6" t="s">
        <v>41</v>
      </c>
      <c r="E3248" s="6">
        <v>0</v>
      </c>
      <c r="F3248" s="6">
        <v>3</v>
      </c>
      <c r="G3248" s="6" t="s">
        <v>28</v>
      </c>
      <c r="H3248" s="6" t="s">
        <v>18</v>
      </c>
      <c r="I3248" s="6">
        <f>TabJogos[[#This Row],[PontosTime1]]-TabJogos[[#This Row],[PontosTime2]]</f>
        <v>-3</v>
      </c>
    </row>
    <row r="3249" spans="1:9" ht="15" customHeight="1" x14ac:dyDescent="0.25">
      <c r="A3249" s="7">
        <v>3248</v>
      </c>
      <c r="B3249" s="1">
        <v>43572</v>
      </c>
      <c r="C3249" s="6" t="s">
        <v>60</v>
      </c>
      <c r="D3249" s="6" t="s">
        <v>18</v>
      </c>
      <c r="E3249" s="6">
        <v>3</v>
      </c>
      <c r="F3249" s="6">
        <v>1</v>
      </c>
      <c r="G3249" s="6" t="s">
        <v>28</v>
      </c>
      <c r="H3249" s="6" t="s">
        <v>41</v>
      </c>
      <c r="I3249" s="6">
        <f>TabJogos[[#This Row],[PontosTime1]]-TabJogos[[#This Row],[PontosTime2]]</f>
        <v>2</v>
      </c>
    </row>
    <row r="3250" spans="1:9" ht="15" customHeight="1" x14ac:dyDescent="0.25">
      <c r="A3250" s="7">
        <v>3249</v>
      </c>
      <c r="B3250" s="1">
        <v>43572</v>
      </c>
      <c r="C3250" s="6" t="s">
        <v>41</v>
      </c>
      <c r="D3250" s="6" t="s">
        <v>18</v>
      </c>
      <c r="E3250" s="6">
        <v>5</v>
      </c>
      <c r="F3250" s="6">
        <v>2</v>
      </c>
      <c r="G3250" s="6" t="s">
        <v>28</v>
      </c>
      <c r="H3250" s="6" t="s">
        <v>60</v>
      </c>
      <c r="I3250" s="6">
        <f>TabJogos[[#This Row],[PontosTime1]]-TabJogos[[#This Row],[PontosTime2]]</f>
        <v>3</v>
      </c>
    </row>
    <row r="3251" spans="1:9" ht="15" customHeight="1" x14ac:dyDescent="0.25">
      <c r="A3251" s="7">
        <v>3250</v>
      </c>
      <c r="B3251" s="1">
        <v>43572</v>
      </c>
      <c r="C3251" s="6" t="s">
        <v>28</v>
      </c>
      <c r="D3251" s="6" t="s">
        <v>18</v>
      </c>
      <c r="E3251" s="6">
        <v>1</v>
      </c>
      <c r="F3251" s="6">
        <v>3</v>
      </c>
      <c r="G3251" s="6" t="s">
        <v>13</v>
      </c>
      <c r="H3251" s="6" t="s">
        <v>41</v>
      </c>
      <c r="I3251" s="6">
        <f>TabJogos[[#This Row],[PontosTime1]]-TabJogos[[#This Row],[PontosTime2]]</f>
        <v>-2</v>
      </c>
    </row>
    <row r="3252" spans="1:9" ht="15" customHeight="1" x14ac:dyDescent="0.25">
      <c r="A3252" s="7">
        <v>3251</v>
      </c>
      <c r="B3252" s="1">
        <v>43572</v>
      </c>
      <c r="C3252" s="6" t="s">
        <v>41</v>
      </c>
      <c r="D3252" s="6" t="s">
        <v>18</v>
      </c>
      <c r="E3252" s="6">
        <v>3</v>
      </c>
      <c r="F3252" s="6">
        <v>2</v>
      </c>
      <c r="G3252" s="6" t="s">
        <v>13</v>
      </c>
      <c r="H3252" s="6" t="s">
        <v>60</v>
      </c>
      <c r="I3252" s="6">
        <f>TabJogos[[#This Row],[PontosTime1]]-TabJogos[[#This Row],[PontosTime2]]</f>
        <v>1</v>
      </c>
    </row>
    <row r="3253" spans="1:9" ht="15" customHeight="1" x14ac:dyDescent="0.25">
      <c r="A3253" s="7">
        <v>3252</v>
      </c>
      <c r="B3253" s="1">
        <v>43572</v>
      </c>
      <c r="C3253" s="6" t="s">
        <v>13</v>
      </c>
      <c r="D3253" s="6" t="s">
        <v>18</v>
      </c>
      <c r="E3253" s="6">
        <v>2</v>
      </c>
      <c r="F3253" s="6">
        <v>3</v>
      </c>
      <c r="G3253" s="6" t="s">
        <v>41</v>
      </c>
      <c r="H3253" s="6" t="s">
        <v>28</v>
      </c>
      <c r="I3253" s="6">
        <f>TabJogos[[#This Row],[PontosTime1]]-TabJogos[[#This Row],[PontosTime2]]</f>
        <v>-1</v>
      </c>
    </row>
    <row r="3254" spans="1:9" ht="15" customHeight="1" x14ac:dyDescent="0.25">
      <c r="A3254" s="7">
        <v>3253</v>
      </c>
      <c r="B3254" s="1">
        <v>43573</v>
      </c>
      <c r="C3254" s="6" t="s">
        <v>27</v>
      </c>
      <c r="D3254" s="6" t="s">
        <v>41</v>
      </c>
      <c r="E3254" s="6">
        <v>3</v>
      </c>
      <c r="F3254" s="6">
        <v>0</v>
      </c>
      <c r="G3254" s="6" t="s">
        <v>18</v>
      </c>
      <c r="H3254" s="6" t="s">
        <v>13</v>
      </c>
      <c r="I3254" s="6">
        <f>TabJogos[[#This Row],[PontosTime1]]-TabJogos[[#This Row],[PontosTime2]]</f>
        <v>3</v>
      </c>
    </row>
    <row r="3255" spans="1:9" ht="15" customHeight="1" x14ac:dyDescent="0.25">
      <c r="A3255" s="7">
        <v>3254</v>
      </c>
      <c r="B3255" s="1">
        <v>43573</v>
      </c>
      <c r="C3255" s="6" t="s">
        <v>41</v>
      </c>
      <c r="D3255" s="6" t="s">
        <v>18</v>
      </c>
      <c r="E3255" s="6">
        <v>3</v>
      </c>
      <c r="F3255" s="6">
        <v>1</v>
      </c>
      <c r="G3255" s="6" t="s">
        <v>27</v>
      </c>
      <c r="H3255" s="6" t="s">
        <v>28</v>
      </c>
      <c r="I3255" s="6">
        <f>TabJogos[[#This Row],[PontosTime1]]-TabJogos[[#This Row],[PontosTime2]]</f>
        <v>2</v>
      </c>
    </row>
    <row r="3256" spans="1:9" ht="15" customHeight="1" x14ac:dyDescent="0.25">
      <c r="A3256" s="7">
        <v>3255</v>
      </c>
      <c r="B3256" s="1">
        <v>43573</v>
      </c>
      <c r="C3256" s="6" t="s">
        <v>41</v>
      </c>
      <c r="D3256" s="6" t="s">
        <v>13</v>
      </c>
      <c r="E3256" s="6">
        <v>3</v>
      </c>
      <c r="F3256" s="6">
        <v>2</v>
      </c>
      <c r="G3256" s="6" t="s">
        <v>28</v>
      </c>
      <c r="H3256" s="6" t="s">
        <v>18</v>
      </c>
      <c r="I3256" s="6">
        <f>TabJogos[[#This Row],[PontosTime1]]-TabJogos[[#This Row],[PontosTime2]]</f>
        <v>1</v>
      </c>
    </row>
    <row r="3257" spans="1:9" ht="15" customHeight="1" x14ac:dyDescent="0.25">
      <c r="A3257" s="7">
        <v>3256</v>
      </c>
      <c r="B3257" s="1">
        <v>43573</v>
      </c>
      <c r="C3257" s="6" t="s">
        <v>13</v>
      </c>
      <c r="D3257" s="6" t="s">
        <v>27</v>
      </c>
      <c r="E3257" s="6">
        <v>4</v>
      </c>
      <c r="F3257" s="6">
        <v>0</v>
      </c>
      <c r="G3257" s="6" t="s">
        <v>41</v>
      </c>
      <c r="H3257" s="6" t="s">
        <v>18</v>
      </c>
      <c r="I3257" s="6">
        <f>TabJogos[[#This Row],[PontosTime1]]-TabJogos[[#This Row],[PontosTime2]]</f>
        <v>4</v>
      </c>
    </row>
    <row r="3258" spans="1:9" ht="15" customHeight="1" x14ac:dyDescent="0.25">
      <c r="A3258" s="7">
        <v>3257</v>
      </c>
      <c r="B3258" s="1">
        <v>43573</v>
      </c>
      <c r="C3258" s="6" t="s">
        <v>27</v>
      </c>
      <c r="D3258" s="6" t="s">
        <v>18</v>
      </c>
      <c r="E3258" s="6">
        <v>3</v>
      </c>
      <c r="F3258" s="6">
        <v>0</v>
      </c>
      <c r="G3258" s="6" t="s">
        <v>28</v>
      </c>
      <c r="H3258" s="6" t="s">
        <v>13</v>
      </c>
      <c r="I3258" s="6">
        <f>TabJogos[[#This Row],[PontosTime1]]-TabJogos[[#This Row],[PontosTime2]]</f>
        <v>3</v>
      </c>
    </row>
    <row r="3259" spans="1:9" ht="15" customHeight="1" x14ac:dyDescent="0.25">
      <c r="A3259" s="7">
        <v>3258</v>
      </c>
      <c r="B3259" s="1">
        <v>43573</v>
      </c>
      <c r="C3259" s="6" t="s">
        <v>27</v>
      </c>
      <c r="D3259" s="6" t="s">
        <v>13</v>
      </c>
      <c r="E3259" s="6">
        <v>5</v>
      </c>
      <c r="F3259" s="6">
        <v>2</v>
      </c>
      <c r="G3259" s="6" t="s">
        <v>28</v>
      </c>
      <c r="H3259" s="6" t="s">
        <v>18</v>
      </c>
      <c r="I3259" s="6">
        <f>TabJogos[[#This Row],[PontosTime1]]-TabJogos[[#This Row],[PontosTime2]]</f>
        <v>3</v>
      </c>
    </row>
    <row r="3260" spans="1:9" ht="15" customHeight="1" x14ac:dyDescent="0.25">
      <c r="A3260" s="7">
        <v>3259</v>
      </c>
      <c r="B3260" s="1">
        <v>43573</v>
      </c>
      <c r="C3260" s="6" t="s">
        <v>27</v>
      </c>
      <c r="D3260" s="6" t="s">
        <v>28</v>
      </c>
      <c r="E3260" s="6">
        <v>3</v>
      </c>
      <c r="F3260" s="6">
        <v>2</v>
      </c>
      <c r="G3260" s="6" t="s">
        <v>13</v>
      </c>
      <c r="H3260" s="6" t="s">
        <v>18</v>
      </c>
      <c r="I3260" s="6">
        <f>TabJogos[[#This Row],[PontosTime1]]-TabJogos[[#This Row],[PontosTime2]]</f>
        <v>1</v>
      </c>
    </row>
    <row r="3261" spans="1:9" ht="15" customHeight="1" x14ac:dyDescent="0.25">
      <c r="A3261" s="7">
        <v>3260</v>
      </c>
      <c r="B3261" s="1">
        <v>43573</v>
      </c>
      <c r="C3261" s="6" t="s">
        <v>27</v>
      </c>
      <c r="D3261" s="6" t="s">
        <v>18</v>
      </c>
      <c r="E3261" s="6">
        <v>0</v>
      </c>
      <c r="F3261" s="6">
        <v>4</v>
      </c>
      <c r="G3261" s="6" t="s">
        <v>13</v>
      </c>
      <c r="H3261" s="6" t="s">
        <v>28</v>
      </c>
      <c r="I3261" s="6">
        <f>TabJogos[[#This Row],[PontosTime1]]-TabJogos[[#This Row],[PontosTime2]]</f>
        <v>-4</v>
      </c>
    </row>
    <row r="3262" spans="1:9" ht="15" customHeight="1" x14ac:dyDescent="0.25">
      <c r="A3262" s="7">
        <v>3261</v>
      </c>
      <c r="B3262" s="1">
        <v>43573</v>
      </c>
      <c r="C3262" s="6" t="s">
        <v>27</v>
      </c>
      <c r="D3262" s="6" t="s">
        <v>13</v>
      </c>
      <c r="E3262" s="6">
        <v>2</v>
      </c>
      <c r="F3262" s="6">
        <v>3</v>
      </c>
      <c r="G3262" s="6" t="s">
        <v>28</v>
      </c>
      <c r="H3262" s="6" t="s">
        <v>18</v>
      </c>
      <c r="I3262" s="6">
        <f>TabJogos[[#This Row],[PontosTime1]]-TabJogos[[#This Row],[PontosTime2]]</f>
        <v>-1</v>
      </c>
    </row>
    <row r="3263" spans="1:9" ht="15" customHeight="1" x14ac:dyDescent="0.25">
      <c r="A3263" s="7">
        <v>3262</v>
      </c>
      <c r="B3263" s="1">
        <v>43577</v>
      </c>
      <c r="C3263" s="6" t="s">
        <v>28</v>
      </c>
      <c r="D3263" s="6" t="s">
        <v>13</v>
      </c>
      <c r="E3263" s="6">
        <v>2</v>
      </c>
      <c r="F3263" s="6">
        <v>3</v>
      </c>
      <c r="G3263" s="6" t="s">
        <v>9</v>
      </c>
      <c r="H3263" s="6" t="s">
        <v>18</v>
      </c>
      <c r="I3263" s="6">
        <f>TabJogos[[#This Row],[PontosTime1]]-TabJogos[[#This Row],[PontosTime2]]</f>
        <v>-1</v>
      </c>
    </row>
    <row r="3264" spans="1:9" ht="15" customHeight="1" x14ac:dyDescent="0.25">
      <c r="A3264" s="7">
        <v>3263</v>
      </c>
      <c r="B3264" s="1">
        <v>43577</v>
      </c>
      <c r="C3264" s="6" t="s">
        <v>9</v>
      </c>
      <c r="D3264" s="6" t="s">
        <v>28</v>
      </c>
      <c r="E3264" s="6">
        <v>4</v>
      </c>
      <c r="F3264" s="6">
        <v>1</v>
      </c>
      <c r="G3264" s="6" t="s">
        <v>13</v>
      </c>
      <c r="H3264" s="6" t="s">
        <v>18</v>
      </c>
      <c r="I3264" s="6">
        <f>TabJogos[[#This Row],[PontosTime1]]-TabJogos[[#This Row],[PontosTime2]]</f>
        <v>3</v>
      </c>
    </row>
    <row r="3265" spans="1:9" ht="15" customHeight="1" x14ac:dyDescent="0.25">
      <c r="A3265" s="7">
        <v>3264</v>
      </c>
      <c r="B3265" s="1">
        <v>43577</v>
      </c>
      <c r="C3265" s="6" t="s">
        <v>9</v>
      </c>
      <c r="D3265" s="6" t="s">
        <v>13</v>
      </c>
      <c r="E3265" s="6">
        <v>0</v>
      </c>
      <c r="F3265" s="6">
        <v>3</v>
      </c>
      <c r="G3265" s="6" t="s">
        <v>28</v>
      </c>
      <c r="H3265" s="6" t="s">
        <v>18</v>
      </c>
      <c r="I3265" s="6">
        <f>TabJogos[[#This Row],[PontosTime1]]-TabJogos[[#This Row],[PontosTime2]]</f>
        <v>-3</v>
      </c>
    </row>
    <row r="3266" spans="1:9" ht="15" customHeight="1" x14ac:dyDescent="0.25">
      <c r="A3266" s="7">
        <v>3265</v>
      </c>
      <c r="B3266" s="1">
        <v>43577</v>
      </c>
      <c r="C3266" s="6" t="s">
        <v>28</v>
      </c>
      <c r="D3266" s="6" t="s">
        <v>13</v>
      </c>
      <c r="E3266" s="6">
        <v>3</v>
      </c>
      <c r="F3266" s="6">
        <v>2</v>
      </c>
      <c r="G3266" s="6" t="s">
        <v>9</v>
      </c>
      <c r="H3266" s="6" t="s">
        <v>18</v>
      </c>
      <c r="I3266" s="6">
        <f>TabJogos[[#This Row],[PontosTime1]]-TabJogos[[#This Row],[PontosTime2]]</f>
        <v>1</v>
      </c>
    </row>
    <row r="3267" spans="1:9" ht="15" customHeight="1" x14ac:dyDescent="0.25">
      <c r="A3267" s="7">
        <v>3266</v>
      </c>
      <c r="B3267" s="1">
        <v>43577</v>
      </c>
      <c r="C3267" s="6" t="s">
        <v>28</v>
      </c>
      <c r="D3267" s="6" t="s">
        <v>60</v>
      </c>
      <c r="E3267" s="6">
        <v>0</v>
      </c>
      <c r="F3267" s="6">
        <v>3</v>
      </c>
      <c r="G3267" s="6" t="s">
        <v>13</v>
      </c>
      <c r="H3267" s="6" t="s">
        <v>41</v>
      </c>
      <c r="I3267" s="6">
        <f>TabJogos[[#This Row],[PontosTime1]]-TabJogos[[#This Row],[PontosTime2]]</f>
        <v>-3</v>
      </c>
    </row>
    <row r="3268" spans="1:9" ht="15" customHeight="1" x14ac:dyDescent="0.25">
      <c r="A3268" s="7">
        <v>3267</v>
      </c>
      <c r="B3268" s="1">
        <v>43577</v>
      </c>
      <c r="C3268" s="6" t="s">
        <v>9</v>
      </c>
      <c r="D3268" s="6" t="s">
        <v>41</v>
      </c>
      <c r="E3268" s="6">
        <v>3</v>
      </c>
      <c r="F3268" s="6">
        <v>1</v>
      </c>
      <c r="G3268" s="6" t="s">
        <v>13</v>
      </c>
      <c r="H3268" s="6" t="s">
        <v>60</v>
      </c>
      <c r="I3268" s="6">
        <f>TabJogos[[#This Row],[PontosTime1]]-TabJogos[[#This Row],[PontosTime2]]</f>
        <v>2</v>
      </c>
    </row>
    <row r="3269" spans="1:9" ht="15" customHeight="1" x14ac:dyDescent="0.25">
      <c r="A3269" s="7">
        <v>3268</v>
      </c>
      <c r="B3269" s="1">
        <v>43577</v>
      </c>
      <c r="C3269" s="6" t="s">
        <v>13</v>
      </c>
      <c r="D3269" s="6" t="s">
        <v>18</v>
      </c>
      <c r="E3269" s="6">
        <v>4</v>
      </c>
      <c r="F3269" s="6">
        <v>2</v>
      </c>
      <c r="G3269" s="6" t="s">
        <v>9</v>
      </c>
      <c r="H3269" s="6" t="s">
        <v>28</v>
      </c>
      <c r="I3269" s="6">
        <f>TabJogos[[#This Row],[PontosTime1]]-TabJogos[[#This Row],[PontosTime2]]</f>
        <v>2</v>
      </c>
    </row>
    <row r="3270" spans="1:9" ht="15" customHeight="1" x14ac:dyDescent="0.25">
      <c r="A3270" s="7">
        <v>3269</v>
      </c>
      <c r="B3270" s="1">
        <v>43577</v>
      </c>
      <c r="C3270" s="6" t="s">
        <v>13</v>
      </c>
      <c r="D3270" s="6" t="s">
        <v>9</v>
      </c>
      <c r="E3270" s="6">
        <v>3</v>
      </c>
      <c r="F3270" s="6">
        <v>1</v>
      </c>
      <c r="G3270" s="6" t="s">
        <v>18</v>
      </c>
      <c r="H3270" s="6" t="s">
        <v>28</v>
      </c>
      <c r="I3270" s="6">
        <f>TabJogos[[#This Row],[PontosTime1]]-TabJogos[[#This Row],[PontosTime2]]</f>
        <v>2</v>
      </c>
    </row>
    <row r="3271" spans="1:9" ht="15" customHeight="1" x14ac:dyDescent="0.25">
      <c r="A3271" s="7">
        <v>3270</v>
      </c>
      <c r="B3271" s="1">
        <v>43578</v>
      </c>
      <c r="C3271" s="6" t="s">
        <v>13</v>
      </c>
      <c r="D3271" s="6" t="s">
        <v>28</v>
      </c>
      <c r="E3271" s="6">
        <v>1</v>
      </c>
      <c r="F3271" s="6">
        <v>3</v>
      </c>
      <c r="G3271" s="6" t="s">
        <v>9</v>
      </c>
      <c r="H3271" s="6" t="s">
        <v>18</v>
      </c>
      <c r="I3271" s="6">
        <f>TabJogos[[#This Row],[PontosTime1]]-TabJogos[[#This Row],[PontosTime2]]</f>
        <v>-2</v>
      </c>
    </row>
    <row r="3272" spans="1:9" ht="15" customHeight="1" x14ac:dyDescent="0.25">
      <c r="A3272" s="7">
        <v>3271</v>
      </c>
      <c r="B3272" s="1">
        <v>43578</v>
      </c>
      <c r="C3272" s="6" t="s">
        <v>9</v>
      </c>
      <c r="D3272" s="6" t="s">
        <v>28</v>
      </c>
      <c r="E3272" s="6">
        <v>2</v>
      </c>
      <c r="F3272" s="6">
        <v>3</v>
      </c>
      <c r="G3272" s="6" t="s">
        <v>13</v>
      </c>
      <c r="H3272" s="6" t="s">
        <v>18</v>
      </c>
      <c r="I3272" s="6">
        <f>TabJogos[[#This Row],[PontosTime1]]-TabJogos[[#This Row],[PontosTime2]]</f>
        <v>-1</v>
      </c>
    </row>
    <row r="3273" spans="1:9" ht="15" customHeight="1" x14ac:dyDescent="0.25">
      <c r="A3273" s="7">
        <v>3272</v>
      </c>
      <c r="B3273" s="1">
        <v>43578</v>
      </c>
      <c r="C3273" s="6" t="s">
        <v>13</v>
      </c>
      <c r="D3273" s="6" t="s">
        <v>32</v>
      </c>
      <c r="E3273" s="6">
        <v>4</v>
      </c>
      <c r="F3273" s="6">
        <v>2</v>
      </c>
      <c r="G3273" s="6" t="s">
        <v>18</v>
      </c>
      <c r="H3273" s="6" t="s">
        <v>28</v>
      </c>
      <c r="I3273" s="6">
        <f>TabJogos[[#This Row],[PontosTime1]]-TabJogos[[#This Row],[PontosTime2]]</f>
        <v>2</v>
      </c>
    </row>
    <row r="3274" spans="1:9" ht="15" customHeight="1" x14ac:dyDescent="0.25">
      <c r="A3274" s="7">
        <v>3273</v>
      </c>
      <c r="B3274" s="1">
        <v>43578</v>
      </c>
      <c r="C3274" s="6" t="s">
        <v>13</v>
      </c>
      <c r="D3274" s="6" t="s">
        <v>9</v>
      </c>
      <c r="E3274" s="6">
        <v>3</v>
      </c>
      <c r="F3274" s="6">
        <v>2</v>
      </c>
      <c r="G3274" s="6" t="s">
        <v>32</v>
      </c>
      <c r="H3274" s="6" t="s">
        <v>18</v>
      </c>
      <c r="I3274" s="6">
        <f>TabJogos[[#This Row],[PontosTime1]]-TabJogos[[#This Row],[PontosTime2]]</f>
        <v>1</v>
      </c>
    </row>
    <row r="3275" spans="1:9" ht="15" customHeight="1" x14ac:dyDescent="0.25">
      <c r="A3275" s="7">
        <v>3274</v>
      </c>
      <c r="B3275" s="1">
        <v>43578</v>
      </c>
      <c r="C3275" s="6" t="s">
        <v>9</v>
      </c>
      <c r="D3275" s="6" t="s">
        <v>32</v>
      </c>
      <c r="E3275" s="6">
        <v>3</v>
      </c>
      <c r="F3275" s="6">
        <v>2</v>
      </c>
      <c r="G3275" s="6" t="s">
        <v>28</v>
      </c>
      <c r="H3275" s="6" t="s">
        <v>13</v>
      </c>
      <c r="I3275" s="6">
        <f>TabJogos[[#This Row],[PontosTime1]]-TabJogos[[#This Row],[PontosTime2]]</f>
        <v>1</v>
      </c>
    </row>
    <row r="3276" spans="1:9" ht="15" customHeight="1" x14ac:dyDescent="0.25">
      <c r="A3276" s="7">
        <v>3275</v>
      </c>
      <c r="B3276" s="1">
        <v>43578</v>
      </c>
      <c r="C3276" s="6" t="s">
        <v>9</v>
      </c>
      <c r="D3276" s="6" t="s">
        <v>18</v>
      </c>
      <c r="E3276" s="6">
        <v>3</v>
      </c>
      <c r="F3276" s="6">
        <v>2</v>
      </c>
      <c r="G3276" s="6" t="s">
        <v>32</v>
      </c>
      <c r="H3276" s="6" t="s">
        <v>13</v>
      </c>
      <c r="I3276" s="6">
        <f>TabJogos[[#This Row],[PontosTime1]]-TabJogos[[#This Row],[PontosTime2]]</f>
        <v>1</v>
      </c>
    </row>
    <row r="3277" spans="1:9" ht="15" customHeight="1" x14ac:dyDescent="0.25">
      <c r="A3277" s="7">
        <v>3276</v>
      </c>
      <c r="B3277" s="1">
        <v>43578</v>
      </c>
      <c r="C3277" s="6" t="s">
        <v>18</v>
      </c>
      <c r="D3277" s="6" t="s">
        <v>13</v>
      </c>
      <c r="E3277" s="6">
        <v>4</v>
      </c>
      <c r="F3277" s="6">
        <v>0</v>
      </c>
      <c r="G3277" s="6" t="s">
        <v>9</v>
      </c>
      <c r="H3277" s="6" t="s">
        <v>28</v>
      </c>
      <c r="I3277" s="6">
        <f>TabJogos[[#This Row],[PontosTime1]]-TabJogos[[#This Row],[PontosTime2]]</f>
        <v>4</v>
      </c>
    </row>
    <row r="3278" spans="1:9" ht="15" customHeight="1" x14ac:dyDescent="0.25">
      <c r="A3278" s="7">
        <v>3277</v>
      </c>
      <c r="B3278" s="1">
        <v>43578</v>
      </c>
      <c r="C3278" s="6" t="s">
        <v>28</v>
      </c>
      <c r="D3278" s="6" t="s">
        <v>18</v>
      </c>
      <c r="E3278" s="6">
        <v>0</v>
      </c>
      <c r="F3278" s="6">
        <v>3</v>
      </c>
      <c r="G3278" s="6" t="s">
        <v>13</v>
      </c>
      <c r="H3278" s="6" t="s">
        <v>32</v>
      </c>
      <c r="I3278" s="6">
        <f>TabJogos[[#This Row],[PontosTime1]]-TabJogos[[#This Row],[PontosTime2]]</f>
        <v>-3</v>
      </c>
    </row>
    <row r="3279" spans="1:9" ht="15" customHeight="1" x14ac:dyDescent="0.25">
      <c r="A3279" s="7">
        <v>3278</v>
      </c>
      <c r="B3279" s="1">
        <v>43578</v>
      </c>
      <c r="C3279" s="6" t="s">
        <v>13</v>
      </c>
      <c r="D3279" s="6" t="s">
        <v>9</v>
      </c>
      <c r="E3279" s="6">
        <v>3</v>
      </c>
      <c r="F3279" s="6">
        <v>0</v>
      </c>
      <c r="G3279" s="6" t="s">
        <v>18</v>
      </c>
      <c r="H3279" s="6" t="s">
        <v>32</v>
      </c>
      <c r="I3279" s="6">
        <f>TabJogos[[#This Row],[PontosTime1]]-TabJogos[[#This Row],[PontosTime2]]</f>
        <v>3</v>
      </c>
    </row>
    <row r="3280" spans="1:9" ht="15" customHeight="1" x14ac:dyDescent="0.25">
      <c r="A3280" s="7">
        <v>3279</v>
      </c>
      <c r="B3280" s="1">
        <v>43578</v>
      </c>
      <c r="C3280" s="6" t="s">
        <v>9</v>
      </c>
      <c r="D3280" s="6" t="s">
        <v>32</v>
      </c>
      <c r="E3280" s="6">
        <v>3</v>
      </c>
      <c r="F3280" s="6">
        <v>2</v>
      </c>
      <c r="G3280" s="6" t="s">
        <v>13</v>
      </c>
      <c r="H3280" s="6" t="s">
        <v>28</v>
      </c>
      <c r="I3280" s="6">
        <f>TabJogos[[#This Row],[PontosTime1]]-TabJogos[[#This Row],[PontosTime2]]</f>
        <v>1</v>
      </c>
    </row>
    <row r="3281" spans="1:9" ht="15" customHeight="1" x14ac:dyDescent="0.25">
      <c r="A3281" s="7">
        <v>3280</v>
      </c>
      <c r="B3281" s="1">
        <v>43578</v>
      </c>
      <c r="C3281" s="6" t="s">
        <v>9</v>
      </c>
      <c r="D3281" s="6" t="s">
        <v>18</v>
      </c>
      <c r="E3281" s="6">
        <v>3</v>
      </c>
      <c r="F3281" s="6">
        <v>1</v>
      </c>
      <c r="G3281" s="6" t="s">
        <v>13</v>
      </c>
      <c r="H3281" s="6" t="s">
        <v>32</v>
      </c>
      <c r="I3281" s="6">
        <f>TabJogos[[#This Row],[PontosTime1]]-TabJogos[[#This Row],[PontosTime2]]</f>
        <v>2</v>
      </c>
    </row>
    <row r="3282" spans="1:9" ht="15" customHeight="1" x14ac:dyDescent="0.25">
      <c r="A3282" s="7">
        <v>3281</v>
      </c>
      <c r="B3282" s="1">
        <v>43578</v>
      </c>
      <c r="C3282" s="6" t="s">
        <v>9</v>
      </c>
      <c r="D3282" s="6" t="s">
        <v>28</v>
      </c>
      <c r="E3282" s="6">
        <v>1</v>
      </c>
      <c r="F3282" s="6">
        <v>3</v>
      </c>
      <c r="G3282" s="6" t="s">
        <v>41</v>
      </c>
      <c r="H3282" s="6" t="s">
        <v>18</v>
      </c>
      <c r="I3282" s="6">
        <f>TabJogos[[#This Row],[PontosTime1]]-TabJogos[[#This Row],[PontosTime2]]</f>
        <v>-2</v>
      </c>
    </row>
    <row r="3283" spans="1:9" ht="15" customHeight="1" x14ac:dyDescent="0.25">
      <c r="A3283" s="7">
        <v>3282</v>
      </c>
      <c r="B3283" s="1">
        <v>43578</v>
      </c>
      <c r="C3283" s="6" t="s">
        <v>13</v>
      </c>
      <c r="D3283" s="6" t="s">
        <v>41</v>
      </c>
      <c r="E3283" s="6">
        <v>3</v>
      </c>
      <c r="F3283" s="6">
        <v>0</v>
      </c>
      <c r="G3283" s="6" t="s">
        <v>18</v>
      </c>
      <c r="H3283" s="6" t="s">
        <v>32</v>
      </c>
      <c r="I3283" s="6">
        <f>TabJogos[[#This Row],[PontosTime1]]-TabJogos[[#This Row],[PontosTime2]]</f>
        <v>3</v>
      </c>
    </row>
    <row r="3284" spans="1:9" ht="15" customHeight="1" x14ac:dyDescent="0.25">
      <c r="A3284" s="7">
        <v>3283</v>
      </c>
      <c r="B3284" s="1">
        <v>43578</v>
      </c>
      <c r="C3284" s="6" t="s">
        <v>9</v>
      </c>
      <c r="D3284" s="6" t="s">
        <v>41</v>
      </c>
      <c r="E3284" s="6">
        <v>3</v>
      </c>
      <c r="F3284" s="6">
        <v>2</v>
      </c>
      <c r="G3284" s="6" t="s">
        <v>13</v>
      </c>
      <c r="H3284" s="6" t="s">
        <v>28</v>
      </c>
      <c r="I3284" s="6">
        <f>TabJogos[[#This Row],[PontosTime1]]-TabJogos[[#This Row],[PontosTime2]]</f>
        <v>1</v>
      </c>
    </row>
    <row r="3285" spans="1:9" ht="15" customHeight="1" x14ac:dyDescent="0.25">
      <c r="A3285" s="7">
        <v>3284</v>
      </c>
      <c r="B3285" s="1">
        <v>43578</v>
      </c>
      <c r="C3285" s="6" t="s">
        <v>13</v>
      </c>
      <c r="D3285" s="6" t="s">
        <v>18</v>
      </c>
      <c r="E3285" s="6">
        <v>4</v>
      </c>
      <c r="F3285" s="6">
        <v>0</v>
      </c>
      <c r="G3285" s="6" t="s">
        <v>9</v>
      </c>
      <c r="H3285" s="6" t="s">
        <v>28</v>
      </c>
      <c r="I3285" s="6">
        <f>TabJogos[[#This Row],[PontosTime1]]-TabJogos[[#This Row],[PontosTime2]]</f>
        <v>4</v>
      </c>
    </row>
    <row r="3286" spans="1:9" ht="15" customHeight="1" x14ac:dyDescent="0.25">
      <c r="A3286" s="7">
        <v>3285</v>
      </c>
      <c r="B3286" s="1">
        <v>43578</v>
      </c>
      <c r="C3286" s="6" t="s">
        <v>28</v>
      </c>
      <c r="D3286" s="6" t="s">
        <v>18</v>
      </c>
      <c r="E3286" s="6">
        <v>3</v>
      </c>
      <c r="F3286" s="6">
        <v>1</v>
      </c>
      <c r="G3286" s="6" t="s">
        <v>9</v>
      </c>
      <c r="H3286" s="6" t="s">
        <v>13</v>
      </c>
      <c r="I3286" s="6">
        <f>TabJogos[[#This Row],[PontosTime1]]-TabJogos[[#This Row],[PontosTime2]]</f>
        <v>2</v>
      </c>
    </row>
    <row r="3287" spans="1:9" ht="15" customHeight="1" x14ac:dyDescent="0.25">
      <c r="A3287" s="7">
        <v>3286</v>
      </c>
      <c r="B3287" s="1">
        <v>43578</v>
      </c>
      <c r="C3287" s="6" t="s">
        <v>9</v>
      </c>
      <c r="D3287" s="6" t="s">
        <v>18</v>
      </c>
      <c r="E3287" s="6">
        <v>3</v>
      </c>
      <c r="F3287" s="6">
        <v>1</v>
      </c>
      <c r="G3287" s="6" t="s">
        <v>13</v>
      </c>
      <c r="H3287" s="6" t="s">
        <v>28</v>
      </c>
      <c r="I3287" s="6">
        <f>TabJogos[[#This Row],[PontosTime1]]-TabJogos[[#This Row],[PontosTime2]]</f>
        <v>2</v>
      </c>
    </row>
    <row r="3288" spans="1:9" ht="15" customHeight="1" x14ac:dyDescent="0.25">
      <c r="A3288" s="7">
        <v>3287</v>
      </c>
      <c r="B3288" s="1">
        <v>43579</v>
      </c>
      <c r="C3288" s="6" t="s">
        <v>13</v>
      </c>
      <c r="D3288" s="6" t="s">
        <v>32</v>
      </c>
      <c r="E3288" s="6">
        <v>3</v>
      </c>
      <c r="F3288" s="6">
        <v>1</v>
      </c>
      <c r="G3288" s="6" t="s">
        <v>28</v>
      </c>
      <c r="H3288" s="6" t="s">
        <v>41</v>
      </c>
      <c r="I3288" s="6">
        <f>TabJogos[[#This Row],[PontosTime1]]-TabJogos[[#This Row],[PontosTime2]]</f>
        <v>2</v>
      </c>
    </row>
    <row r="3289" spans="1:9" ht="15" customHeight="1" x14ac:dyDescent="0.25">
      <c r="A3289" s="7">
        <v>3288</v>
      </c>
      <c r="B3289" s="1">
        <v>43579</v>
      </c>
      <c r="C3289" s="6" t="s">
        <v>13</v>
      </c>
      <c r="D3289" s="6" t="s">
        <v>41</v>
      </c>
      <c r="E3289" s="6">
        <v>0</v>
      </c>
      <c r="F3289" s="6">
        <v>4</v>
      </c>
      <c r="G3289" s="6" t="s">
        <v>28</v>
      </c>
      <c r="H3289" s="6" t="s">
        <v>32</v>
      </c>
      <c r="I3289" s="6">
        <f>TabJogos[[#This Row],[PontosTime1]]-TabJogos[[#This Row],[PontosTime2]]</f>
        <v>-4</v>
      </c>
    </row>
    <row r="3290" spans="1:9" ht="15" customHeight="1" x14ac:dyDescent="0.25">
      <c r="A3290" s="7">
        <v>3289</v>
      </c>
      <c r="B3290" s="1">
        <v>43579</v>
      </c>
      <c r="C3290" s="6" t="s">
        <v>32</v>
      </c>
      <c r="D3290" s="6" t="s">
        <v>41</v>
      </c>
      <c r="E3290" s="6">
        <v>3</v>
      </c>
      <c r="F3290" s="6">
        <v>0</v>
      </c>
      <c r="G3290" s="6" t="s">
        <v>13</v>
      </c>
      <c r="H3290" s="6" t="s">
        <v>28</v>
      </c>
      <c r="I3290" s="6">
        <f>TabJogos[[#This Row],[PontosTime1]]-TabJogos[[#This Row],[PontosTime2]]</f>
        <v>3</v>
      </c>
    </row>
    <row r="3291" spans="1:9" ht="15" customHeight="1" x14ac:dyDescent="0.25">
      <c r="A3291" s="7">
        <v>3290</v>
      </c>
      <c r="B3291" s="1">
        <v>43579</v>
      </c>
      <c r="C3291" s="6" t="s">
        <v>41</v>
      </c>
      <c r="D3291" s="6" t="s">
        <v>28</v>
      </c>
      <c r="E3291" s="6">
        <v>2</v>
      </c>
      <c r="F3291" s="6">
        <v>5</v>
      </c>
      <c r="G3291" s="6" t="s">
        <v>32</v>
      </c>
      <c r="H3291" s="6" t="s">
        <v>13</v>
      </c>
      <c r="I3291" s="6">
        <f>TabJogos[[#This Row],[PontosTime1]]-TabJogos[[#This Row],[PontosTime2]]</f>
        <v>-3</v>
      </c>
    </row>
    <row r="3292" spans="1:9" ht="15" customHeight="1" x14ac:dyDescent="0.25">
      <c r="A3292" s="7">
        <v>3291</v>
      </c>
      <c r="B3292" s="1">
        <v>43579</v>
      </c>
      <c r="C3292" s="6" t="s">
        <v>13</v>
      </c>
      <c r="D3292" s="6" t="s">
        <v>41</v>
      </c>
      <c r="E3292" s="6">
        <v>3</v>
      </c>
      <c r="F3292" s="6">
        <v>1</v>
      </c>
      <c r="G3292" s="6" t="s">
        <v>32</v>
      </c>
      <c r="H3292" s="6" t="s">
        <v>28</v>
      </c>
      <c r="I3292" s="6">
        <f>TabJogos[[#This Row],[PontosTime1]]-TabJogos[[#This Row],[PontosTime2]]</f>
        <v>2</v>
      </c>
    </row>
    <row r="3293" spans="1:9" ht="15" customHeight="1" x14ac:dyDescent="0.25">
      <c r="A3293" s="7">
        <v>3292</v>
      </c>
      <c r="B3293" s="1">
        <v>43579</v>
      </c>
      <c r="C3293" s="6" t="s">
        <v>41</v>
      </c>
      <c r="D3293" s="6" t="s">
        <v>32</v>
      </c>
      <c r="E3293" s="6">
        <v>0</v>
      </c>
      <c r="F3293" s="6">
        <v>3</v>
      </c>
      <c r="G3293" s="6" t="s">
        <v>28</v>
      </c>
      <c r="H3293" s="6" t="s">
        <v>13</v>
      </c>
      <c r="I3293" s="6">
        <f>TabJogos[[#This Row],[PontosTime1]]-TabJogos[[#This Row],[PontosTime2]]</f>
        <v>-3</v>
      </c>
    </row>
    <row r="3294" spans="1:9" ht="15" customHeight="1" x14ac:dyDescent="0.25">
      <c r="A3294" s="7">
        <v>3293</v>
      </c>
      <c r="B3294" s="1">
        <v>43579</v>
      </c>
      <c r="C3294" s="6" t="s">
        <v>13</v>
      </c>
      <c r="D3294" s="6" t="s">
        <v>32</v>
      </c>
      <c r="E3294" s="6">
        <v>3</v>
      </c>
      <c r="F3294" s="6">
        <v>2</v>
      </c>
      <c r="G3294" s="6" t="s">
        <v>41</v>
      </c>
      <c r="H3294" s="6" t="s">
        <v>28</v>
      </c>
      <c r="I3294" s="6">
        <f>TabJogos[[#This Row],[PontosTime1]]-TabJogos[[#This Row],[PontosTime2]]</f>
        <v>1</v>
      </c>
    </row>
    <row r="3295" spans="1:9" ht="15" customHeight="1" x14ac:dyDescent="0.25">
      <c r="A3295" s="7">
        <v>3294</v>
      </c>
      <c r="B3295" s="1">
        <v>43579</v>
      </c>
      <c r="C3295" s="6" t="s">
        <v>13</v>
      </c>
      <c r="D3295" s="6" t="s">
        <v>41</v>
      </c>
      <c r="E3295" s="6">
        <v>3</v>
      </c>
      <c r="F3295" s="6">
        <v>0</v>
      </c>
      <c r="G3295" s="6" t="s">
        <v>32</v>
      </c>
      <c r="H3295" s="6" t="s">
        <v>28</v>
      </c>
      <c r="I3295" s="6">
        <f>TabJogos[[#This Row],[PontosTime1]]-TabJogos[[#This Row],[PontosTime2]]</f>
        <v>3</v>
      </c>
    </row>
    <row r="3296" spans="1:9" ht="15" customHeight="1" x14ac:dyDescent="0.25">
      <c r="A3296" s="7">
        <v>3295</v>
      </c>
      <c r="B3296" s="1">
        <v>43579</v>
      </c>
      <c r="C3296" s="6" t="s">
        <v>41</v>
      </c>
      <c r="D3296" s="6" t="s">
        <v>32</v>
      </c>
      <c r="E3296" s="6">
        <v>3</v>
      </c>
      <c r="F3296" s="6">
        <v>0</v>
      </c>
      <c r="G3296" s="6" t="s">
        <v>28</v>
      </c>
      <c r="H3296" s="6" t="s">
        <v>13</v>
      </c>
      <c r="I3296" s="6">
        <f>TabJogos[[#This Row],[PontosTime1]]-TabJogos[[#This Row],[PontosTime2]]</f>
        <v>3</v>
      </c>
    </row>
    <row r="3297" spans="1:9" ht="15" customHeight="1" x14ac:dyDescent="0.25">
      <c r="A3297" s="7">
        <v>3296</v>
      </c>
      <c r="B3297" s="1">
        <v>43580</v>
      </c>
      <c r="C3297" s="6" t="s">
        <v>13</v>
      </c>
      <c r="D3297" s="6" t="s">
        <v>9</v>
      </c>
      <c r="E3297" s="6">
        <v>1</v>
      </c>
      <c r="F3297" s="6">
        <v>3</v>
      </c>
      <c r="G3297" s="6" t="s">
        <v>28</v>
      </c>
      <c r="H3297" s="6" t="s">
        <v>60</v>
      </c>
      <c r="I3297" s="6">
        <f>TabJogos[[#This Row],[PontosTime1]]-TabJogos[[#This Row],[PontosTime2]]</f>
        <v>-2</v>
      </c>
    </row>
    <row r="3298" spans="1:9" ht="15" customHeight="1" x14ac:dyDescent="0.25">
      <c r="A3298" s="7">
        <v>3297</v>
      </c>
      <c r="B3298" s="1">
        <v>43580</v>
      </c>
      <c r="C3298" s="6" t="s">
        <v>28</v>
      </c>
      <c r="D3298" s="6" t="s">
        <v>58</v>
      </c>
      <c r="E3298" s="6">
        <v>2</v>
      </c>
      <c r="F3298" s="6">
        <v>3</v>
      </c>
      <c r="G3298" s="6" t="s">
        <v>32</v>
      </c>
      <c r="H3298" s="6" t="s">
        <v>60</v>
      </c>
      <c r="I3298" s="6">
        <f>TabJogos[[#This Row],[PontosTime1]]-TabJogos[[#This Row],[PontosTime2]]</f>
        <v>-1</v>
      </c>
    </row>
    <row r="3299" spans="1:9" ht="15" customHeight="1" x14ac:dyDescent="0.25">
      <c r="A3299" s="7">
        <v>3298</v>
      </c>
      <c r="B3299" s="1">
        <v>43580</v>
      </c>
      <c r="C3299" s="6" t="s">
        <v>32</v>
      </c>
      <c r="D3299" s="6" t="s">
        <v>9</v>
      </c>
      <c r="E3299" s="6">
        <v>3</v>
      </c>
      <c r="F3299" s="6">
        <v>1</v>
      </c>
      <c r="G3299" s="6" t="s">
        <v>13</v>
      </c>
      <c r="H3299" s="6" t="s">
        <v>60</v>
      </c>
      <c r="I3299" s="6">
        <f>TabJogos[[#This Row],[PontosTime1]]-TabJogos[[#This Row],[PontosTime2]]</f>
        <v>2</v>
      </c>
    </row>
    <row r="3300" spans="1:9" ht="15" customHeight="1" x14ac:dyDescent="0.25">
      <c r="A3300" s="7">
        <v>3299</v>
      </c>
      <c r="B3300" s="1">
        <v>43580</v>
      </c>
      <c r="C3300" s="6" t="s">
        <v>28</v>
      </c>
      <c r="D3300" s="6" t="s">
        <v>32</v>
      </c>
      <c r="E3300" s="6">
        <v>3</v>
      </c>
      <c r="F3300" s="6">
        <v>0</v>
      </c>
      <c r="G3300" s="6" t="s">
        <v>58</v>
      </c>
      <c r="H3300" s="6" t="s">
        <v>9</v>
      </c>
      <c r="I3300" s="6">
        <f>TabJogos[[#This Row],[PontosTime1]]-TabJogos[[#This Row],[PontosTime2]]</f>
        <v>3</v>
      </c>
    </row>
    <row r="3301" spans="1:9" ht="15" customHeight="1" x14ac:dyDescent="0.25">
      <c r="A3301" s="7">
        <v>3300</v>
      </c>
      <c r="B3301" s="1">
        <v>43580</v>
      </c>
      <c r="C3301" s="6" t="s">
        <v>32</v>
      </c>
      <c r="D3301" s="6" t="s">
        <v>13</v>
      </c>
      <c r="E3301" s="6">
        <v>3</v>
      </c>
      <c r="F3301" s="6">
        <v>2</v>
      </c>
      <c r="G3301" s="6" t="s">
        <v>60</v>
      </c>
      <c r="H3301" s="6" t="s">
        <v>28</v>
      </c>
      <c r="I3301" s="6">
        <f>TabJogos[[#This Row],[PontosTime1]]-TabJogos[[#This Row],[PontosTime2]]</f>
        <v>1</v>
      </c>
    </row>
    <row r="3302" spans="1:9" ht="15" customHeight="1" x14ac:dyDescent="0.25">
      <c r="A3302" s="7">
        <v>3301</v>
      </c>
      <c r="B3302" s="1">
        <v>43580</v>
      </c>
      <c r="C3302" s="6" t="s">
        <v>32</v>
      </c>
      <c r="D3302" s="6" t="s">
        <v>18</v>
      </c>
      <c r="E3302" s="6">
        <v>2</v>
      </c>
      <c r="F3302" s="6">
        <v>3</v>
      </c>
      <c r="G3302" s="6" t="s">
        <v>9</v>
      </c>
      <c r="H3302" s="6" t="s">
        <v>13</v>
      </c>
      <c r="I3302" s="6">
        <f>TabJogos[[#This Row],[PontosTime1]]-TabJogos[[#This Row],[PontosTime2]]</f>
        <v>-1</v>
      </c>
    </row>
    <row r="3303" spans="1:9" ht="15" customHeight="1" x14ac:dyDescent="0.25">
      <c r="A3303" s="7">
        <v>3302</v>
      </c>
      <c r="B3303" s="1">
        <v>43580</v>
      </c>
      <c r="C3303" s="6" t="s">
        <v>60</v>
      </c>
      <c r="D3303" s="6" t="s">
        <v>9</v>
      </c>
      <c r="E3303" s="6">
        <v>0</v>
      </c>
      <c r="F3303" s="6">
        <v>4</v>
      </c>
      <c r="G3303" s="6" t="s">
        <v>28</v>
      </c>
      <c r="H3303" s="6" t="s">
        <v>13</v>
      </c>
      <c r="I3303" s="6">
        <f>TabJogos[[#This Row],[PontosTime1]]-TabJogos[[#This Row],[PontosTime2]]</f>
        <v>-4</v>
      </c>
    </row>
    <row r="3304" spans="1:9" ht="15" customHeight="1" x14ac:dyDescent="0.25">
      <c r="A3304" s="7">
        <v>3303</v>
      </c>
      <c r="B3304" s="1">
        <v>43580</v>
      </c>
      <c r="C3304" s="6" t="s">
        <v>18</v>
      </c>
      <c r="D3304" s="6" t="s">
        <v>13</v>
      </c>
      <c r="E3304" s="6">
        <v>3</v>
      </c>
      <c r="F3304" s="6">
        <v>0</v>
      </c>
      <c r="G3304" s="6" t="s">
        <v>9</v>
      </c>
      <c r="H3304" s="6" t="s">
        <v>28</v>
      </c>
      <c r="I3304" s="6">
        <f>TabJogos[[#This Row],[PontosTime1]]-TabJogos[[#This Row],[PontosTime2]]</f>
        <v>3</v>
      </c>
    </row>
    <row r="3305" spans="1:9" ht="15" customHeight="1" x14ac:dyDescent="0.25">
      <c r="A3305" s="7">
        <v>3304</v>
      </c>
      <c r="B3305" s="1">
        <v>43580</v>
      </c>
      <c r="C3305" s="6" t="s">
        <v>60</v>
      </c>
      <c r="D3305" s="6" t="s">
        <v>18</v>
      </c>
      <c r="E3305" s="6">
        <v>3</v>
      </c>
      <c r="F3305" s="6">
        <v>2</v>
      </c>
      <c r="G3305" s="6" t="s">
        <v>13</v>
      </c>
      <c r="H3305" s="6" t="s">
        <v>32</v>
      </c>
      <c r="I3305" s="6">
        <f>TabJogos[[#This Row],[PontosTime1]]-TabJogos[[#This Row],[PontosTime2]]</f>
        <v>1</v>
      </c>
    </row>
    <row r="3306" spans="1:9" ht="15" customHeight="1" x14ac:dyDescent="0.25">
      <c r="A3306" s="7">
        <v>3305</v>
      </c>
      <c r="B3306" s="1">
        <v>43580</v>
      </c>
      <c r="C3306" s="6" t="s">
        <v>18</v>
      </c>
      <c r="D3306" s="6" t="s">
        <v>9</v>
      </c>
      <c r="E3306" s="6">
        <v>4</v>
      </c>
      <c r="F3306" s="6">
        <v>2</v>
      </c>
      <c r="G3306" s="6" t="s">
        <v>28</v>
      </c>
      <c r="H3306" s="6" t="s">
        <v>60</v>
      </c>
      <c r="I3306" s="6">
        <f>TabJogos[[#This Row],[PontosTime1]]-TabJogos[[#This Row],[PontosTime2]]</f>
        <v>2</v>
      </c>
    </row>
    <row r="3307" spans="1:9" ht="15" customHeight="1" x14ac:dyDescent="0.25">
      <c r="A3307" s="7">
        <v>3306</v>
      </c>
      <c r="B3307" s="1">
        <v>43580</v>
      </c>
      <c r="C3307" s="6" t="s">
        <v>41</v>
      </c>
      <c r="D3307" s="6" t="s">
        <v>9</v>
      </c>
      <c r="E3307" s="6">
        <v>3</v>
      </c>
      <c r="F3307" s="6">
        <v>1</v>
      </c>
      <c r="G3307" s="6" t="s">
        <v>60</v>
      </c>
      <c r="H3307" s="6" t="s">
        <v>13</v>
      </c>
      <c r="I3307" s="6">
        <f>TabJogos[[#This Row],[PontosTime1]]-TabJogos[[#This Row],[PontosTime2]]</f>
        <v>2</v>
      </c>
    </row>
    <row r="3308" spans="1:9" ht="15" customHeight="1" x14ac:dyDescent="0.25">
      <c r="A3308" s="7">
        <v>3307</v>
      </c>
      <c r="B3308" s="1">
        <v>43581</v>
      </c>
      <c r="C3308" s="6" t="s">
        <v>13</v>
      </c>
      <c r="D3308" s="6" t="s">
        <v>41</v>
      </c>
      <c r="E3308" s="6">
        <v>0</v>
      </c>
      <c r="F3308" s="6">
        <v>3</v>
      </c>
      <c r="G3308" s="6" t="s">
        <v>18</v>
      </c>
      <c r="H3308" s="6" t="s">
        <v>28</v>
      </c>
      <c r="I3308" s="6">
        <f>TabJogos[[#This Row],[PontosTime1]]-TabJogos[[#This Row],[PontosTime2]]</f>
        <v>-3</v>
      </c>
    </row>
    <row r="3309" spans="1:9" ht="15" customHeight="1" x14ac:dyDescent="0.25">
      <c r="A3309" s="7">
        <v>3308</v>
      </c>
      <c r="B3309" s="1">
        <v>43581</v>
      </c>
      <c r="C3309" s="6" t="s">
        <v>18</v>
      </c>
      <c r="D3309" s="6" t="s">
        <v>41</v>
      </c>
      <c r="E3309" s="6">
        <v>3</v>
      </c>
      <c r="F3309" s="6">
        <v>2</v>
      </c>
      <c r="G3309" s="6" t="s">
        <v>13</v>
      </c>
      <c r="H3309" s="6" t="s">
        <v>28</v>
      </c>
      <c r="I3309" s="6">
        <f>TabJogos[[#This Row],[PontosTime1]]-TabJogos[[#This Row],[PontosTime2]]</f>
        <v>1</v>
      </c>
    </row>
    <row r="3310" spans="1:9" ht="15" customHeight="1" x14ac:dyDescent="0.25">
      <c r="A3310" s="7">
        <v>3309</v>
      </c>
      <c r="B3310" s="1">
        <v>43581</v>
      </c>
      <c r="C3310" s="6" t="s">
        <v>28</v>
      </c>
      <c r="D3310" s="6" t="s">
        <v>41</v>
      </c>
      <c r="E3310" s="6">
        <v>1</v>
      </c>
      <c r="F3310" s="6">
        <v>3</v>
      </c>
      <c r="G3310" s="6" t="s">
        <v>60</v>
      </c>
      <c r="H3310" s="6" t="s">
        <v>13</v>
      </c>
      <c r="I3310" s="6">
        <f>TabJogos[[#This Row],[PontosTime1]]-TabJogos[[#This Row],[PontosTime2]]</f>
        <v>-2</v>
      </c>
    </row>
    <row r="3311" spans="1:9" ht="15" customHeight="1" x14ac:dyDescent="0.25">
      <c r="A3311" s="7">
        <v>3310</v>
      </c>
      <c r="B3311" s="1">
        <v>43581</v>
      </c>
      <c r="C3311" s="6" t="s">
        <v>13</v>
      </c>
      <c r="D3311" s="6" t="s">
        <v>18</v>
      </c>
      <c r="E3311" s="6">
        <v>3</v>
      </c>
      <c r="F3311" s="6">
        <v>1</v>
      </c>
      <c r="G3311" s="6" t="s">
        <v>60</v>
      </c>
      <c r="H3311" s="6" t="s">
        <v>41</v>
      </c>
      <c r="I3311" s="6">
        <f>TabJogos[[#This Row],[PontosTime1]]-TabJogos[[#This Row],[PontosTime2]]</f>
        <v>2</v>
      </c>
    </row>
    <row r="3312" spans="1:9" ht="15" customHeight="1" x14ac:dyDescent="0.25">
      <c r="A3312" s="7">
        <v>3311</v>
      </c>
      <c r="B3312" s="1">
        <v>43581</v>
      </c>
      <c r="C3312" s="6" t="s">
        <v>13</v>
      </c>
      <c r="D3312" s="6" t="s">
        <v>60</v>
      </c>
      <c r="E3312" s="6">
        <v>3</v>
      </c>
      <c r="F3312" s="6">
        <v>1</v>
      </c>
      <c r="G3312" s="6" t="s">
        <v>28</v>
      </c>
      <c r="H3312" s="6" t="s">
        <v>18</v>
      </c>
      <c r="I3312" s="6">
        <f>TabJogos[[#This Row],[PontosTime1]]-TabJogos[[#This Row],[PontosTime2]]</f>
        <v>2</v>
      </c>
    </row>
    <row r="3313" spans="1:9" ht="15" customHeight="1" x14ac:dyDescent="0.25">
      <c r="A3313" s="7">
        <v>3312</v>
      </c>
      <c r="B3313" s="1">
        <v>43581</v>
      </c>
      <c r="C3313" s="6" t="s">
        <v>18</v>
      </c>
      <c r="D3313" s="6" t="s">
        <v>60</v>
      </c>
      <c r="E3313" s="6">
        <v>3</v>
      </c>
      <c r="F3313" s="6">
        <v>0</v>
      </c>
      <c r="G3313" s="6" t="s">
        <v>13</v>
      </c>
      <c r="H3313" s="6" t="s">
        <v>41</v>
      </c>
      <c r="I3313" s="6">
        <f>TabJogos[[#This Row],[PontosTime1]]-TabJogos[[#This Row],[PontosTime2]]</f>
        <v>3</v>
      </c>
    </row>
    <row r="3314" spans="1:9" ht="15" customHeight="1" x14ac:dyDescent="0.25">
      <c r="A3314" s="7">
        <v>3313</v>
      </c>
      <c r="B3314" s="1">
        <v>43581</v>
      </c>
      <c r="C3314" s="6" t="s">
        <v>13</v>
      </c>
      <c r="D3314" s="6" t="s">
        <v>18</v>
      </c>
      <c r="E3314" s="6">
        <v>0</v>
      </c>
      <c r="F3314" s="6">
        <v>3</v>
      </c>
      <c r="G3314" s="6" t="s">
        <v>60</v>
      </c>
      <c r="H3314" s="6" t="s">
        <v>28</v>
      </c>
      <c r="I3314" s="6">
        <f>TabJogos[[#This Row],[PontosTime1]]-TabJogos[[#This Row],[PontosTime2]]</f>
        <v>-3</v>
      </c>
    </row>
    <row r="3315" spans="1:9" ht="15" customHeight="1" x14ac:dyDescent="0.25">
      <c r="A3315" s="7">
        <v>3314</v>
      </c>
      <c r="B3315" s="1">
        <v>43582</v>
      </c>
      <c r="C3315" s="6" t="s">
        <v>17</v>
      </c>
      <c r="D3315" s="6" t="s">
        <v>28</v>
      </c>
      <c r="E3315" s="6">
        <v>3</v>
      </c>
      <c r="F3315" s="6">
        <v>1</v>
      </c>
      <c r="G3315" s="6" t="s">
        <v>60</v>
      </c>
      <c r="H3315" s="6" t="s">
        <v>13</v>
      </c>
      <c r="I3315" s="6">
        <f>TabJogos[[#This Row],[PontosTime1]]-TabJogos[[#This Row],[PontosTime2]]</f>
        <v>2</v>
      </c>
    </row>
    <row r="3316" spans="1:9" ht="15" customHeight="1" x14ac:dyDescent="0.25">
      <c r="A3316" s="7">
        <v>3315</v>
      </c>
      <c r="B3316" s="1">
        <v>43582</v>
      </c>
      <c r="C3316" s="6" t="s">
        <v>17</v>
      </c>
      <c r="D3316" s="6" t="s">
        <v>60</v>
      </c>
      <c r="E3316" s="6">
        <v>1</v>
      </c>
      <c r="F3316" s="6">
        <v>3</v>
      </c>
      <c r="G3316" s="6" t="s">
        <v>13</v>
      </c>
      <c r="H3316" s="6" t="s">
        <v>28</v>
      </c>
      <c r="I3316" s="6">
        <f>TabJogos[[#This Row],[PontosTime1]]-TabJogos[[#This Row],[PontosTime2]]</f>
        <v>-2</v>
      </c>
    </row>
    <row r="3317" spans="1:9" ht="15" customHeight="1" x14ac:dyDescent="0.25">
      <c r="A3317" s="7">
        <v>3316</v>
      </c>
      <c r="B3317" s="1">
        <v>43582</v>
      </c>
      <c r="C3317" s="6" t="s">
        <v>17</v>
      </c>
      <c r="D3317" s="6" t="s">
        <v>13</v>
      </c>
      <c r="E3317" s="6">
        <v>0</v>
      </c>
      <c r="F3317" s="6">
        <v>3</v>
      </c>
      <c r="G3317" s="6" t="s">
        <v>28</v>
      </c>
      <c r="H3317" s="6" t="s">
        <v>60</v>
      </c>
      <c r="I3317" s="6">
        <f>TabJogos[[#This Row],[PontosTime1]]-TabJogos[[#This Row],[PontosTime2]]</f>
        <v>-3</v>
      </c>
    </row>
    <row r="3318" spans="1:9" ht="15" customHeight="1" x14ac:dyDescent="0.25">
      <c r="A3318" s="7">
        <v>3317</v>
      </c>
      <c r="B3318" s="1">
        <v>43582</v>
      </c>
      <c r="C3318" s="6" t="s">
        <v>13</v>
      </c>
      <c r="D3318" s="6" t="s">
        <v>60</v>
      </c>
      <c r="E3318" s="6">
        <v>3</v>
      </c>
      <c r="F3318" s="6">
        <v>0</v>
      </c>
      <c r="G3318" s="6" t="s">
        <v>28</v>
      </c>
      <c r="H3318" s="6" t="s">
        <v>17</v>
      </c>
      <c r="I3318" s="6">
        <f>TabJogos[[#This Row],[PontosTime1]]-TabJogos[[#This Row],[PontosTime2]]</f>
        <v>3</v>
      </c>
    </row>
    <row r="3319" spans="1:9" ht="15" customHeight="1" x14ac:dyDescent="0.25">
      <c r="A3319" s="7">
        <v>3318</v>
      </c>
      <c r="B3319" s="1">
        <v>43582</v>
      </c>
      <c r="C3319" s="6" t="s">
        <v>13</v>
      </c>
      <c r="D3319" s="6" t="s">
        <v>28</v>
      </c>
      <c r="E3319" s="6">
        <v>2</v>
      </c>
      <c r="F3319" s="6">
        <v>3</v>
      </c>
      <c r="G3319" s="6" t="s">
        <v>60</v>
      </c>
      <c r="H3319" s="6" t="s">
        <v>17</v>
      </c>
      <c r="I3319" s="6">
        <f>TabJogos[[#This Row],[PontosTime1]]-TabJogos[[#This Row],[PontosTime2]]</f>
        <v>-1</v>
      </c>
    </row>
    <row r="3320" spans="1:9" ht="15" customHeight="1" x14ac:dyDescent="0.25">
      <c r="A3320" s="7">
        <v>3319</v>
      </c>
      <c r="B3320" s="1">
        <v>43582</v>
      </c>
      <c r="C3320" s="6" t="s">
        <v>17</v>
      </c>
      <c r="D3320" s="6" t="s">
        <v>28</v>
      </c>
      <c r="E3320" s="6">
        <v>4</v>
      </c>
      <c r="F3320" s="6">
        <v>2</v>
      </c>
      <c r="G3320" s="6" t="s">
        <v>60</v>
      </c>
      <c r="H3320" s="6" t="s">
        <v>18</v>
      </c>
      <c r="I3320" s="6">
        <f>TabJogos[[#This Row],[PontosTime1]]-TabJogos[[#This Row],[PontosTime2]]</f>
        <v>2</v>
      </c>
    </row>
    <row r="3321" spans="1:9" ht="15" customHeight="1" x14ac:dyDescent="0.25">
      <c r="A3321" s="7">
        <v>3320</v>
      </c>
      <c r="B3321" s="1">
        <v>43582</v>
      </c>
      <c r="C3321" s="6" t="s">
        <v>28</v>
      </c>
      <c r="D3321" s="6" t="s">
        <v>9</v>
      </c>
      <c r="E3321" s="6">
        <v>0</v>
      </c>
      <c r="F3321" s="6">
        <v>3</v>
      </c>
      <c r="G3321" s="6" t="s">
        <v>13</v>
      </c>
      <c r="H3321" s="6" t="s">
        <v>17</v>
      </c>
      <c r="I3321" s="6">
        <f>TabJogos[[#This Row],[PontosTime1]]-TabJogos[[#This Row],[PontosTime2]]</f>
        <v>-3</v>
      </c>
    </row>
    <row r="3322" spans="1:9" ht="15" customHeight="1" x14ac:dyDescent="0.25">
      <c r="A3322" s="7">
        <v>3321</v>
      </c>
      <c r="B3322" s="1">
        <v>43582</v>
      </c>
      <c r="C3322" s="6" t="s">
        <v>32</v>
      </c>
      <c r="D3322" s="6" t="s">
        <v>18</v>
      </c>
      <c r="E3322" s="6">
        <v>3</v>
      </c>
      <c r="F3322" s="6">
        <v>0</v>
      </c>
      <c r="G3322" s="6" t="s">
        <v>9</v>
      </c>
      <c r="H3322" s="6" t="s">
        <v>41</v>
      </c>
      <c r="I3322" s="6">
        <f>TabJogos[[#This Row],[PontosTime1]]-TabJogos[[#This Row],[PontosTime2]]</f>
        <v>3</v>
      </c>
    </row>
    <row r="3323" spans="1:9" ht="15" customHeight="1" x14ac:dyDescent="0.25">
      <c r="A3323" s="7">
        <v>3322</v>
      </c>
      <c r="B3323" s="1">
        <v>43582</v>
      </c>
      <c r="C3323" s="6" t="s">
        <v>13</v>
      </c>
      <c r="D3323" s="6" t="s">
        <v>60</v>
      </c>
      <c r="E3323" s="6">
        <v>0</v>
      </c>
      <c r="F3323" s="6">
        <v>3</v>
      </c>
      <c r="G3323" s="6" t="s">
        <v>17</v>
      </c>
      <c r="H3323" s="6" t="s">
        <v>18</v>
      </c>
      <c r="I3323" s="6">
        <f>TabJogos[[#This Row],[PontosTime1]]-TabJogos[[#This Row],[PontosTime2]]</f>
        <v>-3</v>
      </c>
    </row>
    <row r="3324" spans="1:9" ht="15" customHeight="1" x14ac:dyDescent="0.25">
      <c r="A3324" s="7">
        <v>3323</v>
      </c>
      <c r="B3324" s="1">
        <v>43582</v>
      </c>
      <c r="C3324" s="6" t="s">
        <v>17</v>
      </c>
      <c r="D3324" s="6" t="s">
        <v>9</v>
      </c>
      <c r="E3324" s="6">
        <v>1</v>
      </c>
      <c r="F3324" s="6">
        <v>3</v>
      </c>
      <c r="G3324" s="6" t="s">
        <v>28</v>
      </c>
      <c r="H3324" s="6" t="s">
        <v>18</v>
      </c>
      <c r="I3324" s="6">
        <f>TabJogos[[#This Row],[PontosTime1]]-TabJogos[[#This Row],[PontosTime2]]</f>
        <v>-2</v>
      </c>
    </row>
    <row r="3325" spans="1:9" ht="15" customHeight="1" x14ac:dyDescent="0.25">
      <c r="A3325" s="7">
        <v>3324</v>
      </c>
      <c r="B3325" s="1">
        <v>43582</v>
      </c>
      <c r="C3325" s="6" t="s">
        <v>28</v>
      </c>
      <c r="D3325" s="6" t="s">
        <v>60</v>
      </c>
      <c r="E3325" s="6">
        <v>3</v>
      </c>
      <c r="F3325" s="6">
        <v>1</v>
      </c>
      <c r="G3325" s="6" t="s">
        <v>13</v>
      </c>
      <c r="H3325" s="6" t="s">
        <v>18</v>
      </c>
      <c r="I3325" s="6">
        <f>TabJogos[[#This Row],[PontosTime1]]-TabJogos[[#This Row],[PontosTime2]]</f>
        <v>2</v>
      </c>
    </row>
    <row r="3326" spans="1:9" ht="15" customHeight="1" x14ac:dyDescent="0.25">
      <c r="A3326" s="7">
        <v>3325</v>
      </c>
      <c r="B3326" s="1">
        <v>43582</v>
      </c>
      <c r="C3326" s="6" t="s">
        <v>32</v>
      </c>
      <c r="D3326" s="6" t="s">
        <v>13</v>
      </c>
      <c r="E3326" s="6">
        <v>0</v>
      </c>
      <c r="F3326" s="6">
        <v>3</v>
      </c>
      <c r="G3326" s="6" t="s">
        <v>18</v>
      </c>
      <c r="H3326" s="6" t="s">
        <v>41</v>
      </c>
      <c r="I3326" s="6">
        <f>TabJogos[[#This Row],[PontosTime1]]-TabJogos[[#This Row],[PontosTime2]]</f>
        <v>-3</v>
      </c>
    </row>
    <row r="3327" spans="1:9" ht="15" customHeight="1" x14ac:dyDescent="0.25">
      <c r="A3327" s="7">
        <v>3326</v>
      </c>
      <c r="B3327" s="1">
        <v>43582</v>
      </c>
      <c r="C3327" s="6" t="s">
        <v>13</v>
      </c>
      <c r="D3327" s="6" t="s">
        <v>9</v>
      </c>
      <c r="E3327" s="6">
        <v>1</v>
      </c>
      <c r="F3327" s="6">
        <v>3</v>
      </c>
      <c r="G3327" s="6" t="s">
        <v>18</v>
      </c>
      <c r="H3327" s="6" t="s">
        <v>32</v>
      </c>
      <c r="I3327" s="6">
        <f>TabJogos[[#This Row],[PontosTime1]]-TabJogos[[#This Row],[PontosTime2]]</f>
        <v>-2</v>
      </c>
    </row>
    <row r="3328" spans="1:9" ht="15" customHeight="1" x14ac:dyDescent="0.25">
      <c r="A3328" s="7">
        <v>3327</v>
      </c>
      <c r="B3328" s="1">
        <v>43582</v>
      </c>
      <c r="C3328" s="6" t="s">
        <v>32</v>
      </c>
      <c r="D3328" s="6" t="s">
        <v>9</v>
      </c>
      <c r="E3328" s="6">
        <v>3</v>
      </c>
      <c r="F3328" s="6">
        <v>0</v>
      </c>
      <c r="G3328" s="6" t="s">
        <v>18</v>
      </c>
      <c r="H3328" s="6" t="s">
        <v>60</v>
      </c>
      <c r="I3328" s="6">
        <f>TabJogos[[#This Row],[PontosTime1]]-TabJogos[[#This Row],[PontosTime2]]</f>
        <v>3</v>
      </c>
    </row>
    <row r="3329" spans="1:9" ht="15" customHeight="1" x14ac:dyDescent="0.25">
      <c r="A3329" s="7">
        <v>3328</v>
      </c>
      <c r="B3329" s="1">
        <v>43582</v>
      </c>
      <c r="C3329" s="6" t="s">
        <v>9</v>
      </c>
      <c r="D3329" s="6" t="s">
        <v>18</v>
      </c>
      <c r="E3329" s="6">
        <v>4</v>
      </c>
      <c r="F3329" s="6">
        <v>0</v>
      </c>
      <c r="G3329" s="6" t="s">
        <v>60</v>
      </c>
      <c r="H3329" s="6" t="s">
        <v>13</v>
      </c>
      <c r="I3329" s="6">
        <f>TabJogos[[#This Row],[PontosTime1]]-TabJogos[[#This Row],[PontosTime2]]</f>
        <v>4</v>
      </c>
    </row>
    <row r="3330" spans="1:9" ht="15" customHeight="1" x14ac:dyDescent="0.25">
      <c r="A3330" s="7">
        <v>3329</v>
      </c>
      <c r="B3330" s="1">
        <v>43582</v>
      </c>
      <c r="C3330" s="6" t="s">
        <v>9</v>
      </c>
      <c r="D3330" s="6" t="s">
        <v>60</v>
      </c>
      <c r="E3330" s="6">
        <v>3</v>
      </c>
      <c r="F3330" s="6">
        <v>2</v>
      </c>
      <c r="G3330" s="6" t="s">
        <v>13</v>
      </c>
      <c r="H3330" s="6" t="s">
        <v>18</v>
      </c>
      <c r="I3330" s="6">
        <f>TabJogos[[#This Row],[PontosTime1]]-TabJogos[[#This Row],[PontosTime2]]</f>
        <v>1</v>
      </c>
    </row>
    <row r="3331" spans="1:9" ht="15" customHeight="1" x14ac:dyDescent="0.25">
      <c r="A3331" s="7">
        <v>3330</v>
      </c>
      <c r="B3331" s="1">
        <v>43582</v>
      </c>
      <c r="C3331" s="6" t="s">
        <v>13</v>
      </c>
      <c r="D3331" s="6" t="s">
        <v>9</v>
      </c>
      <c r="E3331" s="6">
        <v>2</v>
      </c>
      <c r="F3331" s="6">
        <v>4</v>
      </c>
      <c r="G3331" s="6" t="s">
        <v>18</v>
      </c>
      <c r="H3331" s="6" t="s">
        <v>60</v>
      </c>
      <c r="I3331" s="6">
        <f>TabJogos[[#This Row],[PontosTime1]]-TabJogos[[#This Row],[PontosTime2]]</f>
        <v>-2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7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667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359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308</v>
      </c>
      <c r="E3" s="3">
        <f t="shared" ca="1" si="0"/>
        <v>51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49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142</v>
      </c>
      <c r="H3" s="4">
        <f t="shared" ca="1" si="1"/>
        <v>0.53823088455772117</v>
      </c>
      <c r="I3" s="27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53.823088455772115</v>
      </c>
      <c r="L3" s="12" t="s">
        <v>53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542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280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262</v>
      </c>
      <c r="E4" s="3">
        <f t="shared" ca="1" si="0"/>
        <v>18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58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80</v>
      </c>
      <c r="H4" s="4">
        <f t="shared" ca="1" si="1"/>
        <v>0.51660516605166051</v>
      </c>
      <c r="I4" s="27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51.660516605166052</v>
      </c>
      <c r="L4" s="12" t="s">
        <v>54</v>
      </c>
      <c r="M4" s="14">
        <f ca="1">EOMONTH(TODAY(),0)</f>
        <v>43585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1315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716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599</v>
      </c>
      <c r="E5" s="3">
        <f t="shared" ca="1" si="0"/>
        <v>117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100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404</v>
      </c>
      <c r="H5" s="4">
        <f t="shared" ca="1" si="1"/>
        <v>0.54448669201520916</v>
      </c>
      <c r="I5" s="27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54.448669201520914</v>
      </c>
      <c r="K5" s="28"/>
      <c r="M5" s="29"/>
      <c r="N5" s="29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1037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553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484</v>
      </c>
      <c r="E6" s="3">
        <f t="shared" ca="1" si="0"/>
        <v>69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82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161</v>
      </c>
      <c r="H6" s="4">
        <f t="shared" ca="1" si="1"/>
        <v>0.5332690453230472</v>
      </c>
      <c r="I6" s="27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53.326904532304717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363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187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176</v>
      </c>
      <c r="E7" s="3">
        <f t="shared" ca="1" si="0"/>
        <v>11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33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41</v>
      </c>
      <c r="H7" s="4">
        <f t="shared" ca="1" si="1"/>
        <v>0.51515151515151514</v>
      </c>
      <c r="I7" s="27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51.515151515151516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2070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1094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976</v>
      </c>
      <c r="E8" s="3">
        <f t="shared" ca="1" si="0"/>
        <v>118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161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444</v>
      </c>
      <c r="H8" s="4">
        <f t="shared" ca="1" si="1"/>
        <v>0.52850241545893717</v>
      </c>
      <c r="I8" s="27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52.850241545893716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1746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883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863</v>
      </c>
      <c r="E9" s="3">
        <f t="shared" ca="1" si="0"/>
        <v>20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131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43</v>
      </c>
      <c r="H9" s="4">
        <f t="shared" ca="1" si="1"/>
        <v>0.50572737686139746</v>
      </c>
      <c r="I9" s="27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50.572737686139746</v>
      </c>
      <c r="K9" s="28"/>
      <c r="M9" s="29"/>
      <c r="N9" s="29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760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371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389</v>
      </c>
      <c r="E10" s="3">
        <f t="shared" ca="1" si="0"/>
        <v>-18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48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-61</v>
      </c>
      <c r="H10" s="4">
        <f t="shared" ca="1" si="1"/>
        <v>0.48815789473684212</v>
      </c>
      <c r="I10" s="27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48.815789473684212</v>
      </c>
      <c r="K10" s="28"/>
      <c r="M10" s="29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7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782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383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399</v>
      </c>
      <c r="E12" s="3">
        <f t="shared" ca="1" si="0"/>
        <v>-16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57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-48</v>
      </c>
      <c r="H12" s="4">
        <f t="shared" ca="1" si="1"/>
        <v>0.489769820971867</v>
      </c>
      <c r="I12" s="27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48.976982097186699</v>
      </c>
      <c r="K12" s="28"/>
      <c r="M12" s="29"/>
      <c r="N12" s="29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7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452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227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225</v>
      </c>
      <c r="E14" s="3">
        <f t="shared" ca="1" si="0"/>
        <v>2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46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-21</v>
      </c>
      <c r="H14" s="4">
        <f t="shared" ca="1" si="1"/>
        <v>0.50221238938053092</v>
      </c>
      <c r="I14" s="27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50.221238938053091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537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243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294</v>
      </c>
      <c r="E15" s="3">
        <f t="shared" ca="1" si="0"/>
        <v>-51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49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-127</v>
      </c>
      <c r="H15" s="4">
        <f t="shared" ca="1" si="1"/>
        <v>0.45251396648044695</v>
      </c>
      <c r="I15" s="27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45.251396648044697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7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1863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804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1059</v>
      </c>
      <c r="E17" s="3">
        <f t="shared" ca="1" si="0"/>
        <v>-255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128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-893</v>
      </c>
      <c r="H17" s="4">
        <f t="shared" ca="1" si="1"/>
        <v>0.43156199677938806</v>
      </c>
      <c r="I17" s="27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43.156199677938808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365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148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217</v>
      </c>
      <c r="E18" s="3">
        <f t="shared" ca="1" si="0"/>
        <v>-69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18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-210</v>
      </c>
      <c r="H18" s="4">
        <f t="shared" ca="1" si="1"/>
        <v>0.40547945205479452</v>
      </c>
      <c r="I18" s="27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40.547945205479451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7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7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45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25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20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2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14</v>
      </c>
      <c r="H21" s="4">
        <f t="shared" ca="1" si="1"/>
        <v>0.55555555555555558</v>
      </c>
      <c r="I21" s="27">
        <f ca="1">IF(TabResultados3[[#This Row],[Jogos]]&lt;20,0,IF(TabResultados3[[#This Row],[Jogos]]&lt;=40,0.9+0.1*(TabResultados3[[#This Row],[Jogos]]-20)/20,1))</f>
        <v>1</v>
      </c>
      <c r="J21" s="22">
        <f ca="1">100*TabResultados3[[#This Row],[Aprov]]*TabResultados3[[#This Row],[KJogos]]</f>
        <v>55.555555555555557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7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7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7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7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28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12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16</v>
      </c>
      <c r="E26" s="3">
        <f t="shared" ca="1" si="0"/>
        <v>-4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-17</v>
      </c>
      <c r="H26" s="4">
        <f t="shared" ca="1" si="1"/>
        <v>0.42857142857142855</v>
      </c>
      <c r="I26" s="27">
        <f ca="1">IF(TabResultados3[[#This Row],[Jogos]]&lt;20,0,IF(TabResultados3[[#This Row],[Jogos]]&lt;=40,0.9+0.1*(TabResultados3[[#This Row],[Jogos]]-20)/20,1))</f>
        <v>0.94000000000000006</v>
      </c>
      <c r="J26" s="22">
        <f ca="1">100*TabResultados3[[#This Row],[Aprov]]*TabResultados3[[#This Row],[KJogos]]</f>
        <v>40.285714285714285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7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7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7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7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Historico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2019-04-30T14:24:13Z</dcterms:modified>
  <cp:category/>
  <cp:contentStatus/>
</cp:coreProperties>
</file>
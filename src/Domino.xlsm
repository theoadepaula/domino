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13_ncr:1_{F8EA33FC-6B19-4E68-BB69-8024B11E211D}" xr6:coauthVersionLast="43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Historico" sheetId="3" r:id="rId1"/>
    <sheet name="Planilha2" sheetId="6" r:id="rId2"/>
    <sheet name="Desempenho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781" i="3" l="1"/>
  <c r="I3732" i="3"/>
  <c r="I3733" i="3"/>
  <c r="I3734" i="3"/>
  <c r="I3735" i="3"/>
  <c r="I3736" i="3"/>
  <c r="I3737" i="3"/>
  <c r="I3738" i="3"/>
  <c r="I3739" i="3"/>
  <c r="I3740" i="3"/>
  <c r="I3741" i="3"/>
  <c r="I3742" i="3"/>
  <c r="I3743" i="3"/>
  <c r="I3744" i="3"/>
  <c r="I3745" i="3"/>
  <c r="I3746" i="3"/>
  <c r="I3747" i="3"/>
  <c r="I3748" i="3"/>
  <c r="I3749" i="3"/>
  <c r="I3750" i="3"/>
  <c r="I3751" i="3"/>
  <c r="I3752" i="3"/>
  <c r="I3753" i="3"/>
  <c r="I3754" i="3"/>
  <c r="I3755" i="3"/>
  <c r="I3756" i="3"/>
  <c r="I3757" i="3"/>
  <c r="I3758" i="3"/>
  <c r="I3759" i="3"/>
  <c r="I3760" i="3"/>
  <c r="I3761" i="3"/>
  <c r="I3762" i="3"/>
  <c r="I3763" i="3"/>
  <c r="I3764" i="3"/>
  <c r="I3765" i="3"/>
  <c r="I3766" i="3"/>
  <c r="I3767" i="3"/>
  <c r="I3768" i="3"/>
  <c r="I3769" i="3"/>
  <c r="I3770" i="3"/>
  <c r="I3771" i="3"/>
  <c r="I3772" i="3"/>
  <c r="I3773" i="3"/>
  <c r="I3774" i="3"/>
  <c r="I3775" i="3"/>
  <c r="I3776" i="3"/>
  <c r="I3777" i="3"/>
  <c r="I3778" i="3"/>
  <c r="I3779" i="3"/>
  <c r="I3780" i="3"/>
  <c r="I3782" i="3"/>
  <c r="I3783" i="3"/>
  <c r="I3784" i="3"/>
  <c r="I3785" i="3"/>
  <c r="I3786" i="3"/>
  <c r="I3787" i="3"/>
  <c r="I3788" i="3"/>
  <c r="I3789" i="3"/>
  <c r="I3790" i="3"/>
  <c r="I3731" i="3" l="1"/>
  <c r="I3720" i="3"/>
  <c r="I3721" i="3"/>
  <c r="I3722" i="3"/>
  <c r="I3723" i="3"/>
  <c r="I3724" i="3"/>
  <c r="I3725" i="3"/>
  <c r="I3726" i="3"/>
  <c r="I3727" i="3"/>
  <c r="I3728" i="3"/>
  <c r="I3729" i="3"/>
  <c r="I3730" i="3"/>
  <c r="I3713" i="3" l="1"/>
  <c r="I3714" i="3"/>
  <c r="I3715" i="3"/>
  <c r="I3716" i="3"/>
  <c r="I3717" i="3"/>
  <c r="I3718" i="3"/>
  <c r="I3719" i="3"/>
  <c r="I3681" i="3"/>
  <c r="I3682" i="3"/>
  <c r="I3683" i="3"/>
  <c r="I3684" i="3"/>
  <c r="I3685" i="3"/>
  <c r="I3686" i="3"/>
  <c r="I3687" i="3"/>
  <c r="I3688" i="3"/>
  <c r="I3689" i="3"/>
  <c r="I3690" i="3"/>
  <c r="I3691" i="3"/>
  <c r="I3692" i="3"/>
  <c r="I3693" i="3"/>
  <c r="I3694" i="3"/>
  <c r="I3695" i="3"/>
  <c r="I3696" i="3"/>
  <c r="I3697" i="3"/>
  <c r="I3698" i="3"/>
  <c r="I3699" i="3"/>
  <c r="I3700" i="3"/>
  <c r="I3701" i="3"/>
  <c r="I3702" i="3"/>
  <c r="I3703" i="3"/>
  <c r="I3704" i="3"/>
  <c r="I3705" i="3"/>
  <c r="I3706" i="3"/>
  <c r="I3707" i="3"/>
  <c r="I3708" i="3"/>
  <c r="I3709" i="3"/>
  <c r="I3710" i="3"/>
  <c r="I3711" i="3"/>
  <c r="I3712" i="3"/>
  <c r="I3673" i="3" l="1"/>
  <c r="I3674" i="3"/>
  <c r="I3675" i="3"/>
  <c r="I3676" i="3"/>
  <c r="I3677" i="3"/>
  <c r="I3678" i="3"/>
  <c r="I3679" i="3"/>
  <c r="I3680" i="3"/>
  <c r="I3671" i="3" l="1"/>
  <c r="I3672" i="3"/>
  <c r="I3656" i="3"/>
  <c r="I3657" i="3"/>
  <c r="I3658" i="3"/>
  <c r="I3659" i="3"/>
  <c r="I3660" i="3"/>
  <c r="I3661" i="3"/>
  <c r="I3662" i="3"/>
  <c r="I3663" i="3"/>
  <c r="I3664" i="3"/>
  <c r="I3665" i="3"/>
  <c r="I3666" i="3"/>
  <c r="I3667" i="3"/>
  <c r="I3668" i="3"/>
  <c r="I3669" i="3"/>
  <c r="I3670" i="3"/>
  <c r="I3467" i="3" l="1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459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60" i="3"/>
  <c r="I3461" i="3"/>
  <c r="I3462" i="3"/>
  <c r="I3463" i="3"/>
  <c r="I3464" i="3"/>
  <c r="I3465" i="3"/>
  <c r="I3466" i="3"/>
  <c r="I3408" i="3"/>
  <c r="I3409" i="3"/>
  <c r="I3410" i="3"/>
  <c r="I3411" i="3"/>
  <c r="I3399" i="3" l="1"/>
  <c r="I3400" i="3"/>
  <c r="I3401" i="3"/>
  <c r="I3402" i="3"/>
  <c r="I3403" i="3"/>
  <c r="I3404" i="3"/>
  <c r="I3405" i="3"/>
  <c r="I3406" i="3"/>
  <c r="I3407" i="3"/>
  <c r="I3398" i="3"/>
  <c r="I3376" i="3" l="1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52" i="3" l="1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32" i="3" l="1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15" i="3" l="1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08" i="3" l="1"/>
  <c r="I3309" i="3"/>
  <c r="I3310" i="3"/>
  <c r="I3311" i="3"/>
  <c r="I3312" i="3"/>
  <c r="I3313" i="3"/>
  <c r="I3314" i="3"/>
  <c r="I3297" i="3" l="1"/>
  <c r="I3298" i="3"/>
  <c r="I3299" i="3"/>
  <c r="I3300" i="3"/>
  <c r="I3301" i="3"/>
  <c r="I3302" i="3"/>
  <c r="I3303" i="3"/>
  <c r="I3304" i="3"/>
  <c r="I3305" i="3"/>
  <c r="I3306" i="3"/>
  <c r="I3307" i="3"/>
  <c r="I3288" i="3" l="1"/>
  <c r="I3289" i="3"/>
  <c r="I3290" i="3"/>
  <c r="I3291" i="3"/>
  <c r="I3292" i="3"/>
  <c r="I3293" i="3"/>
  <c r="I3294" i="3"/>
  <c r="I3295" i="3"/>
  <c r="I3296" i="3"/>
  <c r="I3271" i="3" l="1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63" i="3" l="1"/>
  <c r="I3264" i="3"/>
  <c r="I3265" i="3"/>
  <c r="I3266" i="3"/>
  <c r="I3267" i="3"/>
  <c r="I3268" i="3"/>
  <c r="I3269" i="3"/>
  <c r="I3270" i="3"/>
  <c r="I3254" i="3" l="1"/>
  <c r="I3255" i="3"/>
  <c r="I3256" i="3"/>
  <c r="I3257" i="3"/>
  <c r="I3258" i="3"/>
  <c r="I3259" i="3"/>
  <c r="I3260" i="3"/>
  <c r="I3261" i="3"/>
  <c r="I3262" i="3"/>
  <c r="I3248" i="3" l="1"/>
  <c r="I3249" i="3"/>
  <c r="I3250" i="3"/>
  <c r="I3251" i="3"/>
  <c r="I3252" i="3"/>
  <c r="I3253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23" i="3" l="1"/>
  <c r="I3224" i="3"/>
  <c r="I3225" i="3"/>
  <c r="I3226" i="3"/>
  <c r="I3227" i="3"/>
  <c r="I3228" i="3"/>
  <c r="I3229" i="3"/>
  <c r="I3230" i="3"/>
  <c r="I3231" i="3"/>
  <c r="I3210" i="3" l="1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192" i="3" l="1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190" i="3" l="1"/>
  <c r="I3191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20" i="3" l="1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05" i="3" l="1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03" i="3" l="1"/>
  <c r="I3104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076" i="3" l="1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37" i="3" l="1"/>
  <c r="I3038" i="3"/>
  <c r="I3039" i="3"/>
  <c r="I3040" i="3"/>
  <c r="I3041" i="3"/>
  <c r="I3042" i="3"/>
  <c r="I3043" i="3"/>
  <c r="I3044" i="3"/>
  <c r="I3045" i="3"/>
  <c r="I3030" i="3" l="1"/>
  <c r="I3031" i="3"/>
  <c r="I3032" i="3"/>
  <c r="I3033" i="3"/>
  <c r="I3034" i="3"/>
  <c r="I3035" i="3"/>
  <c r="I3036" i="3"/>
  <c r="I3022" i="3" l="1"/>
  <c r="I3023" i="3"/>
  <c r="I3024" i="3"/>
  <c r="I3025" i="3"/>
  <c r="I3026" i="3"/>
  <c r="I3027" i="3"/>
  <c r="I3028" i="3"/>
  <c r="I3029" i="3"/>
  <c r="I3021" i="3" l="1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01" i="3" l="1"/>
  <c r="I3002" i="3"/>
  <c r="I3003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2974" i="3" l="1"/>
  <c r="I2975" i="3"/>
  <c r="I2976" i="3"/>
  <c r="I2977" i="3"/>
  <c r="I2978" i="3"/>
  <c r="I2979" i="3"/>
  <c r="I2980" i="3"/>
  <c r="I2968" i="3" l="1"/>
  <c r="I2969" i="3"/>
  <c r="I2970" i="3"/>
  <c r="I2971" i="3"/>
  <c r="I2972" i="3"/>
  <c r="I2973" i="3"/>
  <c r="I2961" i="3" l="1"/>
  <c r="I2962" i="3"/>
  <c r="I2963" i="3"/>
  <c r="I2964" i="3"/>
  <c r="I2965" i="3"/>
  <c r="I2966" i="3"/>
  <c r="I2967" i="3"/>
  <c r="I2952" i="3" l="1"/>
  <c r="I2953" i="3"/>
  <c r="I2954" i="3"/>
  <c r="I2955" i="3"/>
  <c r="I2956" i="3"/>
  <c r="I2957" i="3"/>
  <c r="I2958" i="3"/>
  <c r="I2959" i="3"/>
  <c r="I2960" i="3"/>
  <c r="I2941" i="3" l="1"/>
  <c r="I2942" i="3"/>
  <c r="I2943" i="3"/>
  <c r="I2944" i="3"/>
  <c r="I2945" i="3"/>
  <c r="I2946" i="3"/>
  <c r="I2947" i="3"/>
  <c r="I2948" i="3"/>
  <c r="I2949" i="3"/>
  <c r="I2950" i="3"/>
  <c r="I2951" i="3"/>
  <c r="I2937" i="3" l="1"/>
  <c r="I2938" i="3"/>
  <c r="I2939" i="3"/>
  <c r="I2940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18" i="3" l="1"/>
  <c r="I2919" i="3"/>
  <c r="I2920" i="3"/>
  <c r="I2921" i="3"/>
  <c r="I2906" i="3" l="1"/>
  <c r="I2907" i="3"/>
  <c r="I2908" i="3"/>
  <c r="I2909" i="3"/>
  <c r="I2910" i="3"/>
  <c r="I2911" i="3"/>
  <c r="I2912" i="3"/>
  <c r="I2913" i="3"/>
  <c r="I2914" i="3"/>
  <c r="I2915" i="3"/>
  <c r="I2916" i="3"/>
  <c r="I2917" i="3"/>
  <c r="I2898" i="3"/>
  <c r="I2899" i="3"/>
  <c r="I2900" i="3"/>
  <c r="I2901" i="3"/>
  <c r="I2902" i="3"/>
  <c r="I2903" i="3"/>
  <c r="I2904" i="3"/>
  <c r="I2905" i="3"/>
  <c r="I2887" i="3" l="1"/>
  <c r="I2888" i="3"/>
  <c r="I2889" i="3"/>
  <c r="I2890" i="3"/>
  <c r="I2891" i="3"/>
  <c r="I2892" i="3"/>
  <c r="I2893" i="3"/>
  <c r="I2894" i="3"/>
  <c r="I2895" i="3"/>
  <c r="I2896" i="3"/>
  <c r="I2897" i="3"/>
  <c r="I2885" i="3" l="1"/>
  <c r="I2886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55" i="3" l="1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46" i="3" l="1"/>
  <c r="I2847" i="3"/>
  <c r="I2848" i="3"/>
  <c r="I2849" i="3"/>
  <c r="I2850" i="3"/>
  <c r="I2851" i="3"/>
  <c r="I2852" i="3"/>
  <c r="I2853" i="3"/>
  <c r="I2854" i="3"/>
  <c r="I2837" i="3" l="1"/>
  <c r="I2838" i="3"/>
  <c r="I2839" i="3"/>
  <c r="I2840" i="3"/>
  <c r="I2841" i="3"/>
  <c r="I2842" i="3"/>
  <c r="I2843" i="3"/>
  <c r="I2844" i="3"/>
  <c r="I2845" i="3"/>
  <c r="I2827" i="3"/>
  <c r="I2828" i="3"/>
  <c r="I2829" i="3"/>
  <c r="I2830" i="3"/>
  <c r="I2831" i="3"/>
  <c r="I2832" i="3"/>
  <c r="I2833" i="3"/>
  <c r="I2834" i="3"/>
  <c r="I2835" i="3"/>
  <c r="I2836" i="3"/>
  <c r="I2815" i="3" l="1"/>
  <c r="I2816" i="3"/>
  <c r="I2817" i="3"/>
  <c r="I2818" i="3"/>
  <c r="I2819" i="3"/>
  <c r="I2820" i="3"/>
  <c r="I2821" i="3"/>
  <c r="I2822" i="3"/>
  <c r="I2823" i="3"/>
  <c r="I2824" i="3"/>
  <c r="I2825" i="3"/>
  <c r="I2826" i="3"/>
  <c r="I2804" i="3" l="1"/>
  <c r="I2805" i="3"/>
  <c r="I2806" i="3"/>
  <c r="I2807" i="3"/>
  <c r="I2808" i="3"/>
  <c r="I2809" i="3"/>
  <c r="I2810" i="3"/>
  <c r="I2811" i="3"/>
  <c r="I2812" i="3"/>
  <c r="I2813" i="3"/>
  <c r="I2814" i="3"/>
  <c r="I2792" i="3" l="1"/>
  <c r="I2793" i="3"/>
  <c r="I2794" i="3"/>
  <c r="I2795" i="3"/>
  <c r="I2796" i="3"/>
  <c r="I2797" i="3"/>
  <c r="I2798" i="3"/>
  <c r="I2799" i="3"/>
  <c r="I2800" i="3"/>
  <c r="I2801" i="3"/>
  <c r="I2802" i="3"/>
  <c r="I2803" i="3"/>
  <c r="I2791" i="3" l="1"/>
  <c r="I2782" i="3"/>
  <c r="I2783" i="3"/>
  <c r="I2784" i="3"/>
  <c r="I2785" i="3"/>
  <c r="I2786" i="3"/>
  <c r="I2787" i="3"/>
  <c r="I2788" i="3"/>
  <c r="I2789" i="3"/>
  <c r="I2790" i="3"/>
  <c r="I2773" i="3" l="1"/>
  <c r="I2774" i="3"/>
  <c r="I2775" i="3"/>
  <c r="I2776" i="3"/>
  <c r="I2777" i="3"/>
  <c r="I2778" i="3"/>
  <c r="I2779" i="3"/>
  <c r="I2780" i="3"/>
  <c r="I2781" i="3"/>
  <c r="I2764" i="3" l="1"/>
  <c r="I2765" i="3"/>
  <c r="I2766" i="3"/>
  <c r="I2767" i="3"/>
  <c r="I2768" i="3"/>
  <c r="I2769" i="3"/>
  <c r="I2770" i="3"/>
  <c r="I2771" i="3"/>
  <c r="I2772" i="3"/>
  <c r="I2756" i="3" l="1"/>
  <c r="I2757" i="3"/>
  <c r="I2758" i="3"/>
  <c r="I2759" i="3"/>
  <c r="I2760" i="3"/>
  <c r="I2761" i="3"/>
  <c r="I2762" i="3"/>
  <c r="I2763" i="3"/>
  <c r="I2744" i="3" l="1"/>
  <c r="I2745" i="3"/>
  <c r="I2746" i="3"/>
  <c r="I2747" i="3"/>
  <c r="I2748" i="3"/>
  <c r="I2749" i="3"/>
  <c r="I2750" i="3"/>
  <c r="I2751" i="3"/>
  <c r="I2752" i="3"/>
  <c r="I2753" i="3"/>
  <c r="I2754" i="3"/>
  <c r="I2755" i="3"/>
  <c r="I2734" i="3" l="1"/>
  <c r="I2735" i="3"/>
  <c r="I2736" i="3"/>
  <c r="I2737" i="3"/>
  <c r="I2738" i="3"/>
  <c r="I2739" i="3"/>
  <c r="I2740" i="3"/>
  <c r="I2741" i="3"/>
  <c r="I2742" i="3"/>
  <c r="I2743" i="3"/>
  <c r="I2723" i="3" l="1"/>
  <c r="I2724" i="3"/>
  <c r="I2725" i="3"/>
  <c r="I2726" i="3"/>
  <c r="I2727" i="3"/>
  <c r="I2728" i="3"/>
  <c r="I2729" i="3"/>
  <c r="I2730" i="3"/>
  <c r="I2731" i="3"/>
  <c r="I2732" i="3"/>
  <c r="I2733" i="3"/>
  <c r="I2713" i="3" l="1"/>
  <c r="I2714" i="3"/>
  <c r="I2715" i="3"/>
  <c r="I2716" i="3"/>
  <c r="I2717" i="3"/>
  <c r="I2718" i="3"/>
  <c r="I2719" i="3"/>
  <c r="I2720" i="3"/>
  <c r="I2721" i="3"/>
  <c r="I2722" i="3"/>
  <c r="I2703" i="3" l="1"/>
  <c r="I2704" i="3"/>
  <c r="I2705" i="3"/>
  <c r="I2706" i="3"/>
  <c r="I2707" i="3"/>
  <c r="I2708" i="3"/>
  <c r="I2709" i="3"/>
  <c r="I2710" i="3"/>
  <c r="I2711" i="3"/>
  <c r="I2712" i="3"/>
  <c r="I2699" i="3" l="1"/>
  <c r="I2700" i="3"/>
  <c r="I2701" i="3"/>
  <c r="I2702" i="3"/>
  <c r="I2690" i="3"/>
  <c r="I2691" i="3"/>
  <c r="I2692" i="3"/>
  <c r="I2693" i="3"/>
  <c r="I2694" i="3"/>
  <c r="I2695" i="3"/>
  <c r="I2696" i="3"/>
  <c r="I2697" i="3"/>
  <c r="I2698" i="3"/>
  <c r="I2685" i="3" l="1"/>
  <c r="I2686" i="3"/>
  <c r="I2687" i="3"/>
  <c r="I2688" i="3"/>
  <c r="I2689" i="3"/>
  <c r="I2680" i="3"/>
  <c r="I2681" i="3"/>
  <c r="I2682" i="3"/>
  <c r="I2683" i="3"/>
  <c r="I2684" i="3"/>
  <c r="I2670" i="3" l="1"/>
  <c r="I2671" i="3"/>
  <c r="I2672" i="3"/>
  <c r="I2673" i="3"/>
  <c r="I2674" i="3"/>
  <c r="I2675" i="3"/>
  <c r="I2676" i="3"/>
  <c r="I2677" i="3"/>
  <c r="I2678" i="3"/>
  <c r="I2679" i="3"/>
  <c r="I2661" i="3"/>
  <c r="I2662" i="3"/>
  <c r="I2663" i="3"/>
  <c r="I2664" i="3"/>
  <c r="I2665" i="3"/>
  <c r="I2666" i="3"/>
  <c r="I2667" i="3"/>
  <c r="I2668" i="3"/>
  <c r="I2669" i="3"/>
  <c r="I2651" i="3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/>
  <c r="B14" i="4" s="1"/>
  <c r="I14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3" i="4" l="1"/>
  <c r="G17" i="4"/>
  <c r="B6" i="4"/>
  <c r="I6" i="4" s="1"/>
  <c r="D10" i="4"/>
  <c r="G30" i="4"/>
  <c r="C19" i="4"/>
  <c r="G13" i="4"/>
  <c r="C25" i="4"/>
  <c r="G24" i="4"/>
  <c r="G3" i="4"/>
  <c r="C27" i="4"/>
  <c r="F27" i="4"/>
  <c r="F21" i="4"/>
  <c r="F2" i="4"/>
  <c r="F7" i="4"/>
  <c r="B4" i="4"/>
  <c r="I4" i="4" s="1"/>
  <c r="B30" i="4"/>
  <c r="I30" i="4" s="1"/>
  <c r="B5" i="4"/>
  <c r="I5" i="4" s="1"/>
  <c r="B24" i="4"/>
  <c r="I24" i="4" s="1"/>
  <c r="B29" i="4"/>
  <c r="I29" i="4" s="1"/>
  <c r="C26" i="4"/>
  <c r="C20" i="4"/>
  <c r="D6" i="4"/>
  <c r="G12" i="4"/>
  <c r="F23" i="4"/>
  <c r="F6" i="4"/>
  <c r="D19" i="4"/>
  <c r="G25" i="4"/>
  <c r="D27" i="4"/>
  <c r="F18" i="4"/>
  <c r="B26" i="4"/>
  <c r="I26" i="4" s="1"/>
  <c r="C17" i="4"/>
  <c r="C10" i="4"/>
  <c r="D30" i="4"/>
  <c r="D9" i="4"/>
  <c r="D17" i="4"/>
  <c r="D13" i="4"/>
  <c r="D18" i="4"/>
  <c r="D24" i="4"/>
  <c r="D3" i="4"/>
  <c r="G8" i="4"/>
  <c r="F15" i="4"/>
  <c r="F16" i="4"/>
  <c r="F3" i="4"/>
  <c r="B25" i="4"/>
  <c r="I25" i="4" s="1"/>
  <c r="C29" i="4"/>
  <c r="G26" i="4"/>
  <c r="D14" i="4"/>
  <c r="G5" i="4"/>
  <c r="F30" i="4"/>
  <c r="F13" i="4"/>
  <c r="F5" i="4"/>
  <c r="B15" i="4"/>
  <c r="I15" i="4" s="1"/>
  <c r="B3" i="4"/>
  <c r="I3" i="4" s="1"/>
  <c r="B28" i="4"/>
  <c r="I28" i="4" s="1"/>
  <c r="B19" i="4"/>
  <c r="I19" i="4" s="1"/>
  <c r="B2" i="4"/>
  <c r="I2" i="4" s="1"/>
  <c r="F29" i="4"/>
  <c r="D26" i="4"/>
  <c r="C11" i="4"/>
  <c r="C21" i="4"/>
  <c r="D2" i="4"/>
  <c r="F11" i="4"/>
  <c r="C16" i="4"/>
  <c r="G23" i="4"/>
  <c r="D7" i="4"/>
  <c r="F25" i="4"/>
  <c r="B8" i="4"/>
  <c r="I8" i="4" s="1"/>
  <c r="C30" i="4"/>
  <c r="C28" i="4"/>
  <c r="G18" i="4"/>
  <c r="C8" i="4"/>
  <c r="C22" i="4"/>
  <c r="G6" i="4"/>
  <c r="C9" i="4"/>
  <c r="G28" i="4"/>
  <c r="G21" i="4"/>
  <c r="C18" i="4"/>
  <c r="D5" i="4"/>
  <c r="D12" i="4"/>
  <c r="D8" i="4"/>
  <c r="F19" i="4"/>
  <c r="F4" i="4"/>
  <c r="F17" i="4"/>
  <c r="B11" i="4"/>
  <c r="I11" i="4" s="1"/>
  <c r="D29" i="4"/>
  <c r="G20" i="4"/>
  <c r="B20" i="4"/>
  <c r="I20" i="4" s="1"/>
  <c r="C7" i="4"/>
  <c r="G10" i="4"/>
  <c r="C24" i="4"/>
  <c r="B27" i="4"/>
  <c r="I27" i="4" s="1"/>
  <c r="D20" i="4"/>
  <c r="D22" i="4"/>
  <c r="G9" i="4"/>
  <c r="C13" i="4"/>
  <c r="C3" i="4"/>
  <c r="D11" i="4"/>
  <c r="G22" i="4"/>
  <c r="C6" i="4"/>
  <c r="G4" i="4"/>
  <c r="D28" i="4"/>
  <c r="D21" i="4"/>
  <c r="G15" i="4"/>
  <c r="C5" i="4"/>
  <c r="C12" i="4"/>
  <c r="G2" i="4"/>
  <c r="F28" i="4"/>
  <c r="F24" i="4"/>
  <c r="F8" i="4"/>
  <c r="B22" i="4"/>
  <c r="I22" i="4" s="1"/>
  <c r="B9" i="4"/>
  <c r="I9" i="4" s="1"/>
  <c r="B16" i="4"/>
  <c r="I16" i="4" s="1"/>
  <c r="B23" i="4"/>
  <c r="I23" i="4" s="1"/>
  <c r="B17" i="4"/>
  <c r="I17" i="4" s="1"/>
  <c r="G29" i="4"/>
  <c r="G14" i="4"/>
  <c r="C14" i="4"/>
  <c r="D4" i="4"/>
  <c r="B18" i="4"/>
  <c r="I18" i="4" s="1"/>
  <c r="G16" i="4"/>
  <c r="D15" i="4"/>
  <c r="B7" i="4"/>
  <c r="I7" i="4" s="1"/>
  <c r="F9" i="4"/>
  <c r="F26" i="4"/>
  <c r="F20" i="4"/>
  <c r="G11" i="4"/>
  <c r="D16" i="4"/>
  <c r="G19" i="4"/>
  <c r="C4" i="4"/>
  <c r="C23" i="4"/>
  <c r="D25" i="4"/>
  <c r="C15" i="4"/>
  <c r="G7" i="4"/>
  <c r="G27" i="4"/>
  <c r="C2" i="4"/>
  <c r="F22" i="4"/>
  <c r="F12" i="4"/>
  <c r="B13" i="4"/>
  <c r="I13" i="4" s="1"/>
  <c r="F10" i="4"/>
  <c r="B12" i="4"/>
  <c r="I12" i="4" s="1"/>
  <c r="B21" i="4"/>
  <c r="I21" i="4" s="1"/>
  <c r="B10" i="4"/>
  <c r="I10" i="4" s="1"/>
  <c r="F14" i="4"/>
  <c r="H13" i="4" l="1"/>
  <c r="J13" i="4" s="1"/>
  <c r="E13" i="4"/>
  <c r="E8" i="4"/>
  <c r="H8" i="4"/>
  <c r="J8" i="4" s="1"/>
  <c r="H16" i="4"/>
  <c r="J16" i="4" s="1"/>
  <c r="E16" i="4"/>
  <c r="H17" i="4"/>
  <c r="J17" i="4" s="1"/>
  <c r="E17" i="4"/>
  <c r="H25" i="4"/>
  <c r="J25" i="4" s="1"/>
  <c r="E25" i="4"/>
  <c r="H2" i="4"/>
  <c r="J2" i="4" s="1"/>
  <c r="E2" i="4"/>
  <c r="E14" i="4"/>
  <c r="H14" i="4"/>
  <c r="J14" i="4" s="1"/>
  <c r="E18" i="4"/>
  <c r="H18" i="4"/>
  <c r="J18" i="4" s="1"/>
  <c r="E28" i="4"/>
  <c r="H28" i="4"/>
  <c r="J28" i="4" s="1"/>
  <c r="E29" i="4"/>
  <c r="H29" i="4"/>
  <c r="J29" i="4" s="1"/>
  <c r="E20" i="4"/>
  <c r="H20" i="4"/>
  <c r="J20" i="4" s="1"/>
  <c r="E19" i="4"/>
  <c r="H19" i="4"/>
  <c r="J19" i="4" s="1"/>
  <c r="H15" i="4"/>
  <c r="J15" i="4" s="1"/>
  <c r="E15" i="4"/>
  <c r="E30" i="4"/>
  <c r="H30" i="4"/>
  <c r="J30" i="4" s="1"/>
  <c r="E21" i="4"/>
  <c r="H21" i="4"/>
  <c r="J21" i="4" s="1"/>
  <c r="E26" i="4"/>
  <c r="H26" i="4"/>
  <c r="J26" i="4" s="1"/>
  <c r="E6" i="4"/>
  <c r="H6" i="4"/>
  <c r="J6" i="4" s="1"/>
  <c r="H11" i="4"/>
  <c r="J11" i="4" s="1"/>
  <c r="E11" i="4"/>
  <c r="E24" i="4"/>
  <c r="H24" i="4"/>
  <c r="J24" i="4" s="1"/>
  <c r="H9" i="4"/>
  <c r="J9" i="4" s="1"/>
  <c r="E9" i="4"/>
  <c r="E27" i="4"/>
  <c r="H27" i="4"/>
  <c r="J27" i="4" s="1"/>
  <c r="E23" i="4"/>
  <c r="H23" i="4"/>
  <c r="J23" i="4" s="1"/>
  <c r="H4" i="4"/>
  <c r="J4" i="4" s="1"/>
  <c r="E4" i="4"/>
  <c r="E12" i="4"/>
  <c r="H12" i="4"/>
  <c r="J12" i="4" s="1"/>
  <c r="H5" i="4"/>
  <c r="J5" i="4" s="1"/>
  <c r="E5" i="4"/>
  <c r="E3" i="4"/>
  <c r="H3" i="4"/>
  <c r="J3" i="4" s="1"/>
  <c r="H7" i="4"/>
  <c r="J7" i="4" s="1"/>
  <c r="E7" i="4"/>
  <c r="H22" i="4"/>
  <c r="J22" i="4" s="1"/>
  <c r="E22" i="4"/>
  <c r="E10" i="4"/>
  <c r="H10" i="4"/>
  <c r="J10" i="4" s="1"/>
</calcChain>
</file>

<file path=xl/sharedStrings.xml><?xml version="1.0" encoding="utf-8"?>
<sst xmlns="http://schemas.openxmlformats.org/spreadsheetml/2006/main" count="15206" uniqueCount="62">
  <si>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</si>
  <si>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</si>
  <si>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</si>
  <si>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</si>
  <si>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</si>
  <si>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</si>
  <si>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</si>
  <si>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</si>
  <si>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</si>
  <si>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</si>
  <si>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</si>
  <si>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</si>
  <si>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</si>
  <si>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</si>
  <si>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</si>
  <si>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</si>
  <si>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</si>
  <si>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</si>
  <si>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</si>
  <si>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</si>
  <si>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</si>
  <si>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</si>
  <si>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</si>
  <si>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</si>
  <si>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</si>
  <si>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</si>
  <si>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</si>
  <si>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</si>
  <si>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</si>
  <si>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</si>
  <si>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</si>
  <si>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</si>
  <si>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</si>
  <si>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</si>
  <si>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</si>
  <si>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</si>
  <si>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</si>
  <si>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</si>
  <si>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</si>
  <si>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</si>
  <si>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</si>
  <si>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</si>
  <si>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</si>
  <si>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</si>
  <si>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</si>
  <si>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</si>
  <si>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</si>
  <si>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</si>
  <si>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</si>
  <si>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</si>
  <si>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</si>
  <si>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</si>
  <si>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</si>
  <si>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</si>
  <si>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</si>
  <si>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</si>
  <si>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</si>
  <si>
    <t>Karlete</t>
  </si>
  <si>
    <t>João Vitor</t>
  </si>
  <si>
    <t>Juliana Lopes</t>
  </si>
  <si>
    <t>Lidiane</t>
  </si>
  <si>
    <t>Paulo Victor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</si>
</sst>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3">
    <xf numFmtId="0" fontId="0" fillId="0" borderId="0" xfId="0"/>
    <xf numFmtId="1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fill>
        <patternFill patternType="solid">
          <bgColor theme="2"/>
        </patternFill>
      </fill>
    </dxf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3790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3">
      <calculatedColumnFormula>IFERROR(C2/B2,-0.000001)</calculatedColumnFormula>
    </tableColumn>
    <tableColumn id="15" xr3:uid="{00000000-0010-0000-0100-00000F000000}" name="KJogos" dataDxfId="2">
      <calculatedColumnFormula>_xlfn.FORECAST.LINEAR(TabResultados3[[#This Row],[Jogos]],$N$10:$N$11,$M$9:$M$11)</calculatedColumnFormula>
    </tableColumn>
    <tableColumn id="9" xr3:uid="{00000000-0010-0000-0100-000009000000}" name="Pontuação" dataDxfId="1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3790"/>
  <sheetViews>
    <sheetView tabSelected="1" zoomScaleNormal="100" workbookViewId="0">
      <pane ySplit="1" topLeftCell="A3769" activePane="bottomLeft" state="frozenSplit"/>
      <selection activeCell="D1" sqref="D1 D1"/>
      <selection pane="bottomLeft" activeCell="A3790" sqref="A3790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10</v>
      </c>
      <c r="D40" s="6" t="s">
        <v>15</v>
      </c>
      <c r="E40" s="6">
        <v>6</v>
      </c>
      <c r="F40" s="6">
        <v>2</v>
      </c>
      <c r="G40" s="6" t="s">
        <v>13</v>
      </c>
      <c r="H40" s="6" t="s">
        <v>14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10</v>
      </c>
      <c r="D41" s="6" t="s">
        <v>15</v>
      </c>
      <c r="E41" s="6">
        <v>6</v>
      </c>
      <c r="F41" s="6">
        <v>2</v>
      </c>
      <c r="G41" s="6" t="s">
        <v>14</v>
      </c>
      <c r="H41" s="6" t="s">
        <v>11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15</v>
      </c>
      <c r="D42" s="6" t="s">
        <v>13</v>
      </c>
      <c r="E42" s="6">
        <v>7</v>
      </c>
      <c r="F42" s="6">
        <v>2</v>
      </c>
      <c r="G42" s="6" t="s">
        <v>14</v>
      </c>
      <c r="H42" s="6" t="s">
        <v>11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15</v>
      </c>
      <c r="D43" s="6" t="s">
        <v>11</v>
      </c>
      <c r="E43" s="6">
        <v>6</v>
      </c>
      <c r="F43" s="6">
        <v>5</v>
      </c>
      <c r="G43" s="6" t="s">
        <v>14</v>
      </c>
      <c r="H43" s="6" t="s">
        <v>13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14</v>
      </c>
      <c r="D44" s="6" t="s">
        <v>10</v>
      </c>
      <c r="E44" s="6">
        <v>2</v>
      </c>
      <c r="F44" s="6">
        <v>6</v>
      </c>
      <c r="G44" s="6" t="s">
        <v>16</v>
      </c>
      <c r="H44" s="6" t="s">
        <v>13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9</v>
      </c>
      <c r="D45" s="6" t="s">
        <v>11</v>
      </c>
      <c r="E45" s="6">
        <v>6</v>
      </c>
      <c r="F45" s="6">
        <v>2</v>
      </c>
      <c r="G45" s="6" t="s">
        <v>16</v>
      </c>
      <c r="H45" s="6" t="s">
        <v>13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10</v>
      </c>
      <c r="D46" s="6" t="s">
        <v>15</v>
      </c>
      <c r="E46" s="6">
        <v>6</v>
      </c>
      <c r="F46" s="6">
        <v>0</v>
      </c>
      <c r="G46" s="6" t="s">
        <v>11</v>
      </c>
      <c r="H46" s="6" t="s">
        <v>9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13</v>
      </c>
      <c r="D47" s="6" t="s">
        <v>14</v>
      </c>
      <c r="E47" s="6">
        <v>5</v>
      </c>
      <c r="F47" s="6">
        <v>6</v>
      </c>
      <c r="G47" s="6" t="s">
        <v>15</v>
      </c>
      <c r="H47" s="6" t="s">
        <v>10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9</v>
      </c>
      <c r="D48" s="6" t="s">
        <v>15</v>
      </c>
      <c r="E48" s="6">
        <v>4</v>
      </c>
      <c r="F48" s="6">
        <v>6</v>
      </c>
      <c r="G48" s="6" t="s">
        <v>14</v>
      </c>
      <c r="H48" s="6" t="s">
        <v>11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13</v>
      </c>
      <c r="D49" s="6" t="s">
        <v>10</v>
      </c>
      <c r="E49" s="6">
        <v>5</v>
      </c>
      <c r="F49" s="6">
        <v>6</v>
      </c>
      <c r="G49" s="6" t="s">
        <v>14</v>
      </c>
      <c r="H49" s="6" t="s">
        <v>11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15</v>
      </c>
      <c r="D50" s="6" t="s">
        <v>13</v>
      </c>
      <c r="E50" s="6">
        <v>1</v>
      </c>
      <c r="F50" s="6">
        <v>6</v>
      </c>
      <c r="G50" s="6" t="s">
        <v>11</v>
      </c>
      <c r="H50" s="6" t="s">
        <v>14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6" t="s">
        <v>10</v>
      </c>
      <c r="D883" s="6" t="s">
        <v>13</v>
      </c>
      <c r="E883" s="6">
        <v>5</v>
      </c>
      <c r="F883" s="6">
        <v>2</v>
      </c>
      <c r="G883" s="6" t="s">
        <v>17</v>
      </c>
      <c r="H883" s="6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6" t="s">
        <v>10</v>
      </c>
      <c r="D884" s="6" t="s">
        <v>17</v>
      </c>
      <c r="E884" s="6">
        <v>5</v>
      </c>
      <c r="F884" s="6">
        <v>1</v>
      </c>
      <c r="G884" s="6" t="s">
        <v>11</v>
      </c>
      <c r="H884" s="6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6" t="s">
        <v>10</v>
      </c>
      <c r="D885" s="6" t="s">
        <v>16</v>
      </c>
      <c r="E885" s="6">
        <v>5</v>
      </c>
      <c r="F885" s="6">
        <v>1</v>
      </c>
      <c r="G885" s="6" t="s">
        <v>17</v>
      </c>
      <c r="H885" s="6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6" t="s">
        <v>18</v>
      </c>
      <c r="D886" s="6" t="s">
        <v>13</v>
      </c>
      <c r="E886" s="6">
        <v>5</v>
      </c>
      <c r="F886" s="6">
        <v>3</v>
      </c>
      <c r="G886" s="6" t="s">
        <v>29</v>
      </c>
      <c r="H886" s="6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6" t="s">
        <v>16</v>
      </c>
      <c r="D887" s="6" t="s">
        <v>17</v>
      </c>
      <c r="E887" s="6">
        <v>5</v>
      </c>
      <c r="F887" s="6">
        <v>1</v>
      </c>
      <c r="G887" s="6" t="s">
        <v>10</v>
      </c>
      <c r="H887" s="6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6" t="s">
        <v>16</v>
      </c>
      <c r="D888" s="6" t="s">
        <v>11</v>
      </c>
      <c r="E888" s="6">
        <v>6</v>
      </c>
      <c r="F888" s="6">
        <v>4</v>
      </c>
      <c r="G888" s="6" t="s">
        <v>17</v>
      </c>
      <c r="H888" s="6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6" t="s">
        <v>15</v>
      </c>
      <c r="D889" s="6" t="s">
        <v>13</v>
      </c>
      <c r="E889" s="6">
        <v>5</v>
      </c>
      <c r="F889" s="6">
        <v>3</v>
      </c>
      <c r="G889" s="6" t="s">
        <v>18</v>
      </c>
      <c r="H889" s="6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6" t="s">
        <v>15</v>
      </c>
      <c r="D890" s="6" t="s">
        <v>11</v>
      </c>
      <c r="E890" s="6">
        <v>5</v>
      </c>
      <c r="F890" s="6">
        <v>1</v>
      </c>
      <c r="G890" s="6" t="s">
        <v>17</v>
      </c>
      <c r="H890" s="6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6" t="s">
        <v>15</v>
      </c>
      <c r="D891" s="6" t="s">
        <v>18</v>
      </c>
      <c r="E891" s="6">
        <v>8</v>
      </c>
      <c r="F891" s="6">
        <v>3</v>
      </c>
      <c r="G891" s="6" t="s">
        <v>11</v>
      </c>
      <c r="H891" s="6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6" t="s">
        <v>15</v>
      </c>
      <c r="D892" s="6" t="s">
        <v>11</v>
      </c>
      <c r="E892" s="6">
        <v>5</v>
      </c>
      <c r="F892" s="6">
        <v>3</v>
      </c>
      <c r="G892" s="6" t="s">
        <v>17</v>
      </c>
      <c r="H892" s="6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6" t="s">
        <v>18</v>
      </c>
      <c r="D893" s="6" t="s">
        <v>13</v>
      </c>
      <c r="E893" s="6">
        <v>5</v>
      </c>
      <c r="F893" s="6">
        <v>2</v>
      </c>
      <c r="G893" s="6" t="s">
        <v>17</v>
      </c>
      <c r="H893" s="6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1">
        <v>43178</v>
      </c>
      <c r="C894" s="6" t="s">
        <v>10</v>
      </c>
      <c r="D894" s="6" t="s">
        <v>11</v>
      </c>
      <c r="E894" s="6">
        <v>6</v>
      </c>
      <c r="F894" s="6">
        <v>1</v>
      </c>
      <c r="G894" s="6" t="s">
        <v>18</v>
      </c>
      <c r="H894" s="6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1">
        <v>43178</v>
      </c>
      <c r="C895" s="6" t="s">
        <v>11</v>
      </c>
      <c r="D895" s="6" t="s">
        <v>18</v>
      </c>
      <c r="E895" s="6">
        <v>5</v>
      </c>
      <c r="F895" s="6">
        <v>1</v>
      </c>
      <c r="G895" s="6" t="s">
        <v>10</v>
      </c>
      <c r="H895" s="6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1">
        <v>43178</v>
      </c>
      <c r="C896" s="6" t="s">
        <v>18</v>
      </c>
      <c r="D896" s="6" t="s">
        <v>15</v>
      </c>
      <c r="E896" s="6">
        <v>5</v>
      </c>
      <c r="F896" s="6">
        <v>4</v>
      </c>
      <c r="G896" s="6" t="s">
        <v>11</v>
      </c>
      <c r="H896" s="6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1">
        <v>43178</v>
      </c>
      <c r="C897" s="6" t="s">
        <v>11</v>
      </c>
      <c r="D897" s="6" t="s">
        <v>15</v>
      </c>
      <c r="E897" s="6">
        <v>5</v>
      </c>
      <c r="F897" s="6">
        <v>1</v>
      </c>
      <c r="G897" s="6" t="s">
        <v>29</v>
      </c>
      <c r="H897" s="6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1">
        <v>43178</v>
      </c>
      <c r="C898" s="6" t="s">
        <v>29</v>
      </c>
      <c r="D898" s="6" t="s">
        <v>11</v>
      </c>
      <c r="E898" s="6">
        <v>0</v>
      </c>
      <c r="F898" s="6">
        <v>5</v>
      </c>
      <c r="G898" s="6" t="s">
        <v>17</v>
      </c>
      <c r="H898" s="6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1">
        <v>43178</v>
      </c>
      <c r="C899" s="6" t="s">
        <v>17</v>
      </c>
      <c r="D899" s="6" t="s">
        <v>18</v>
      </c>
      <c r="E899" s="6">
        <v>5</v>
      </c>
      <c r="F899" s="6">
        <v>0</v>
      </c>
      <c r="G899" s="6" t="s">
        <v>15</v>
      </c>
      <c r="H899" s="6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1">
        <v>43178</v>
      </c>
      <c r="C900" s="6" t="s">
        <v>17</v>
      </c>
      <c r="D900" s="6" t="s">
        <v>15</v>
      </c>
      <c r="E900" s="6">
        <v>5</v>
      </c>
      <c r="F900" s="6">
        <v>3</v>
      </c>
      <c r="G900" s="6" t="s">
        <v>11</v>
      </c>
      <c r="H900" s="6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1">
        <v>43178</v>
      </c>
      <c r="C901" s="6" t="s">
        <v>17</v>
      </c>
      <c r="D901" s="6" t="s">
        <v>11</v>
      </c>
      <c r="E901" s="6">
        <v>4</v>
      </c>
      <c r="F901" s="6">
        <v>5</v>
      </c>
      <c r="G901" s="6" t="s">
        <v>18</v>
      </c>
      <c r="H901" s="6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1">
        <v>43178</v>
      </c>
      <c r="C902" s="6" t="s">
        <v>11</v>
      </c>
      <c r="D902" s="6" t="s">
        <v>18</v>
      </c>
      <c r="E902" s="6">
        <v>5</v>
      </c>
      <c r="F902" s="6">
        <v>2</v>
      </c>
      <c r="G902" s="6" t="s">
        <v>15</v>
      </c>
      <c r="H902" s="6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1">
        <v>43178</v>
      </c>
      <c r="C903" s="6" t="s">
        <v>11</v>
      </c>
      <c r="D903" s="6" t="s">
        <v>15</v>
      </c>
      <c r="E903" s="6">
        <v>5</v>
      </c>
      <c r="F903" s="6">
        <v>1</v>
      </c>
      <c r="G903" s="6" t="s">
        <v>18</v>
      </c>
      <c r="H903" s="6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1">
        <v>43179</v>
      </c>
      <c r="C904" s="6" t="s">
        <v>13</v>
      </c>
      <c r="D904" s="6" t="s">
        <v>11</v>
      </c>
      <c r="E904" s="6">
        <v>1</v>
      </c>
      <c r="F904" s="6">
        <v>5</v>
      </c>
      <c r="G904" s="6" t="s">
        <v>18</v>
      </c>
      <c r="H904" s="6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1">
        <v>43179</v>
      </c>
      <c r="C905" s="6" t="s">
        <v>16</v>
      </c>
      <c r="D905" s="6" t="s">
        <v>10</v>
      </c>
      <c r="E905" s="6">
        <v>1</v>
      </c>
      <c r="F905" s="6">
        <v>5</v>
      </c>
      <c r="G905" s="6" t="s">
        <v>13</v>
      </c>
      <c r="H905" s="6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1">
        <v>43179</v>
      </c>
      <c r="C906" s="6" t="s">
        <v>10</v>
      </c>
      <c r="D906" s="6" t="s">
        <v>13</v>
      </c>
      <c r="E906" s="6">
        <v>8</v>
      </c>
      <c r="F906" s="6">
        <v>2</v>
      </c>
      <c r="G906" s="6" t="s">
        <v>11</v>
      </c>
      <c r="H906" s="6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1">
        <v>43179</v>
      </c>
      <c r="C907" s="6" t="s">
        <v>16</v>
      </c>
      <c r="D907" s="6" t="s">
        <v>13</v>
      </c>
      <c r="E907" s="6">
        <v>4</v>
      </c>
      <c r="F907" s="6">
        <v>5</v>
      </c>
      <c r="G907" s="6" t="s">
        <v>10</v>
      </c>
      <c r="H907" s="6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1">
        <v>43179</v>
      </c>
      <c r="C908" s="6" t="s">
        <v>17</v>
      </c>
      <c r="D908" s="6" t="s">
        <v>18</v>
      </c>
      <c r="E908" s="6">
        <v>1</v>
      </c>
      <c r="F908" s="6">
        <v>5</v>
      </c>
      <c r="G908" s="6" t="s">
        <v>15</v>
      </c>
      <c r="H908" s="6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1">
        <v>43179</v>
      </c>
      <c r="C909" s="6" t="s">
        <v>10</v>
      </c>
      <c r="D909" s="6" t="s">
        <v>11</v>
      </c>
      <c r="E909" s="6">
        <v>5</v>
      </c>
      <c r="F909" s="6">
        <v>3</v>
      </c>
      <c r="G909" s="6" t="s">
        <v>16</v>
      </c>
      <c r="H909" s="6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1">
        <v>43179</v>
      </c>
      <c r="C910" s="6" t="s">
        <v>17</v>
      </c>
      <c r="D910" s="6" t="s">
        <v>13</v>
      </c>
      <c r="E910" s="6">
        <v>0</v>
      </c>
      <c r="F910" s="6">
        <v>5</v>
      </c>
      <c r="G910" s="6" t="s">
        <v>15</v>
      </c>
      <c r="H910" s="6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1">
        <v>43179</v>
      </c>
      <c r="C911" s="6" t="s">
        <v>18</v>
      </c>
      <c r="D911" s="6" t="s">
        <v>27</v>
      </c>
      <c r="E911" s="6">
        <v>5</v>
      </c>
      <c r="F911" s="6">
        <v>3</v>
      </c>
      <c r="G911" s="6" t="s">
        <v>11</v>
      </c>
      <c r="H911" s="6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1">
        <v>43179</v>
      </c>
      <c r="C912" s="6" t="s">
        <v>17</v>
      </c>
      <c r="D912" s="6" t="s">
        <v>27</v>
      </c>
      <c r="E912" s="6">
        <v>6</v>
      </c>
      <c r="F912" s="6">
        <v>2</v>
      </c>
      <c r="G912" s="6" t="s">
        <v>18</v>
      </c>
      <c r="H912" s="6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1">
        <v>43179</v>
      </c>
      <c r="C913" s="6" t="s">
        <v>17</v>
      </c>
      <c r="D913" s="6" t="s">
        <v>11</v>
      </c>
      <c r="E913" s="6">
        <v>4</v>
      </c>
      <c r="F913" s="6">
        <v>5</v>
      </c>
      <c r="G913" s="6" t="s">
        <v>27</v>
      </c>
      <c r="H913" s="6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1">
        <v>43179</v>
      </c>
      <c r="C914" s="6" t="s">
        <v>13</v>
      </c>
      <c r="D914" s="6" t="s">
        <v>27</v>
      </c>
      <c r="E914" s="6">
        <v>5</v>
      </c>
      <c r="F914" s="6">
        <v>2</v>
      </c>
      <c r="G914" s="6" t="s">
        <v>18</v>
      </c>
      <c r="H914" s="6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1">
        <v>43179</v>
      </c>
      <c r="C915" s="6" t="s">
        <v>11</v>
      </c>
      <c r="D915" s="6" t="s">
        <v>27</v>
      </c>
      <c r="E915" s="6">
        <v>1</v>
      </c>
      <c r="F915" s="6">
        <v>5</v>
      </c>
      <c r="G915" s="6" t="s">
        <v>13</v>
      </c>
      <c r="H915" s="6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1">
        <v>43179</v>
      </c>
      <c r="C916" s="6" t="s">
        <v>13</v>
      </c>
      <c r="D916" s="6" t="s">
        <v>27</v>
      </c>
      <c r="E916" s="6">
        <v>5</v>
      </c>
      <c r="F916" s="6">
        <v>4</v>
      </c>
      <c r="G916" s="6" t="s">
        <v>11</v>
      </c>
      <c r="H916" s="6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1">
        <v>43180</v>
      </c>
      <c r="C917" s="6" t="s">
        <v>10</v>
      </c>
      <c r="D917" s="6" t="s">
        <v>18</v>
      </c>
      <c r="E917" s="6">
        <v>5</v>
      </c>
      <c r="F917" s="6">
        <v>4</v>
      </c>
      <c r="G917" s="6" t="s">
        <v>13</v>
      </c>
      <c r="H917" s="6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1">
        <v>43180</v>
      </c>
      <c r="C918" s="6" t="s">
        <v>10</v>
      </c>
      <c r="D918" s="6" t="s">
        <v>17</v>
      </c>
      <c r="E918" s="6">
        <v>4</v>
      </c>
      <c r="F918" s="6">
        <v>5</v>
      </c>
      <c r="G918" s="6" t="s">
        <v>15</v>
      </c>
      <c r="H918" s="6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1">
        <v>43180</v>
      </c>
      <c r="C919" s="6" t="s">
        <v>11</v>
      </c>
      <c r="D919" s="6" t="s">
        <v>15</v>
      </c>
      <c r="E919" s="6">
        <v>6</v>
      </c>
      <c r="F919" s="6">
        <v>0</v>
      </c>
      <c r="G919" s="6" t="s">
        <v>18</v>
      </c>
      <c r="H919" s="6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1">
        <v>43180</v>
      </c>
      <c r="C920" s="6" t="s">
        <v>11</v>
      </c>
      <c r="D920" s="6" t="s">
        <v>27</v>
      </c>
      <c r="E920" s="6">
        <v>2</v>
      </c>
      <c r="F920" s="6">
        <v>5</v>
      </c>
      <c r="G920" s="6" t="s">
        <v>17</v>
      </c>
      <c r="H920" s="6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1">
        <v>43180</v>
      </c>
      <c r="C921" s="6" t="s">
        <v>17</v>
      </c>
      <c r="D921" s="6" t="s">
        <v>13</v>
      </c>
      <c r="E921" s="6">
        <v>0</v>
      </c>
      <c r="F921" s="6">
        <v>5</v>
      </c>
      <c r="G921" s="6" t="s">
        <v>10</v>
      </c>
      <c r="H921" s="6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1">
        <v>43180</v>
      </c>
      <c r="C922" s="6" t="s">
        <v>15</v>
      </c>
      <c r="D922" s="6" t="s">
        <v>18</v>
      </c>
      <c r="E922" s="6">
        <v>5</v>
      </c>
      <c r="F922" s="6">
        <v>1</v>
      </c>
      <c r="G922" s="6" t="s">
        <v>10</v>
      </c>
      <c r="H922" s="6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1">
        <v>43180</v>
      </c>
      <c r="C923" s="6" t="s">
        <v>15</v>
      </c>
      <c r="D923" s="6" t="s">
        <v>17</v>
      </c>
      <c r="E923" s="6">
        <v>1</v>
      </c>
      <c r="F923" s="6">
        <v>5</v>
      </c>
      <c r="G923" s="6" t="s">
        <v>27</v>
      </c>
      <c r="H923" s="6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1">
        <v>43180</v>
      </c>
      <c r="C924" s="6" t="s">
        <v>11</v>
      </c>
      <c r="D924" s="6" t="s">
        <v>18</v>
      </c>
      <c r="E924" s="6">
        <v>5</v>
      </c>
      <c r="F924" s="6">
        <v>0</v>
      </c>
      <c r="G924" s="6" t="s">
        <v>13</v>
      </c>
      <c r="H924" s="6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1">
        <v>43180</v>
      </c>
      <c r="C925" s="6" t="s">
        <v>11</v>
      </c>
      <c r="D925" s="6" t="s">
        <v>15</v>
      </c>
      <c r="E925" s="6">
        <v>0</v>
      </c>
      <c r="F925" s="6">
        <v>5</v>
      </c>
      <c r="G925" s="6" t="s">
        <v>18</v>
      </c>
      <c r="H925" s="6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1">
        <v>43180</v>
      </c>
      <c r="C926" s="6" t="s">
        <v>11</v>
      </c>
      <c r="D926" s="6" t="s">
        <v>17</v>
      </c>
      <c r="E926" s="6">
        <v>5</v>
      </c>
      <c r="F926" s="6">
        <v>2</v>
      </c>
      <c r="G926" s="6" t="s">
        <v>18</v>
      </c>
      <c r="H926" s="6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1">
        <v>43180</v>
      </c>
      <c r="C927" s="6" t="s">
        <v>11</v>
      </c>
      <c r="D927" s="6" t="s">
        <v>18</v>
      </c>
      <c r="E927" s="6">
        <v>5</v>
      </c>
      <c r="F927" s="6">
        <v>1</v>
      </c>
      <c r="G927" s="6" t="s">
        <v>17</v>
      </c>
      <c r="H927" s="6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1">
        <v>43180</v>
      </c>
      <c r="C928" s="6" t="s">
        <v>13</v>
      </c>
      <c r="D928" s="6" t="s">
        <v>11</v>
      </c>
      <c r="E928" s="6">
        <v>0</v>
      </c>
      <c r="F928" s="6">
        <v>5</v>
      </c>
      <c r="G928" s="6" t="s">
        <v>17</v>
      </c>
      <c r="H928" s="6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1">
        <v>43180</v>
      </c>
      <c r="C929" s="6" t="s">
        <v>18</v>
      </c>
      <c r="D929" s="6" t="s">
        <v>13</v>
      </c>
      <c r="E929" s="6">
        <v>1</v>
      </c>
      <c r="F929" s="6">
        <v>5</v>
      </c>
      <c r="G929" s="6" t="s">
        <v>17</v>
      </c>
      <c r="H929" s="6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1">
        <v>43180</v>
      </c>
      <c r="C930" s="6" t="s">
        <v>13</v>
      </c>
      <c r="D930" s="6" t="s">
        <v>17</v>
      </c>
      <c r="E930" s="6">
        <v>5</v>
      </c>
      <c r="F930" s="6">
        <v>1</v>
      </c>
      <c r="G930" s="6" t="s">
        <v>18</v>
      </c>
      <c r="H930" s="6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1">
        <v>43180</v>
      </c>
      <c r="C931" s="6" t="s">
        <v>11</v>
      </c>
      <c r="D931" s="6" t="s">
        <v>13</v>
      </c>
      <c r="E931" s="6">
        <v>5</v>
      </c>
      <c r="F931" s="6">
        <v>2</v>
      </c>
      <c r="G931" s="6" t="s">
        <v>18</v>
      </c>
      <c r="H931" s="6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1">
        <v>43181</v>
      </c>
      <c r="C932" s="6" t="s">
        <v>11</v>
      </c>
      <c r="D932" s="6" t="s">
        <v>10</v>
      </c>
      <c r="E932" s="6">
        <v>5</v>
      </c>
      <c r="F932" s="6">
        <v>3</v>
      </c>
      <c r="G932" s="6" t="s">
        <v>27</v>
      </c>
      <c r="H932" s="6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1">
        <v>43181</v>
      </c>
      <c r="C933" s="6" t="s">
        <v>15</v>
      </c>
      <c r="D933" s="6" t="s">
        <v>10</v>
      </c>
      <c r="E933" s="6">
        <v>5</v>
      </c>
      <c r="F933" s="6">
        <v>3</v>
      </c>
      <c r="G933" s="6" t="s">
        <v>11</v>
      </c>
      <c r="H933" s="6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1">
        <v>43181</v>
      </c>
      <c r="C934" s="6" t="s">
        <v>27</v>
      </c>
      <c r="D934" s="6" t="s">
        <v>10</v>
      </c>
      <c r="E934" s="6">
        <v>4</v>
      </c>
      <c r="F934" s="6">
        <v>5</v>
      </c>
      <c r="G934" s="6" t="s">
        <v>15</v>
      </c>
      <c r="H934" s="6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1">
        <v>43181</v>
      </c>
      <c r="C935" s="6" t="s">
        <v>15</v>
      </c>
      <c r="D935" s="6" t="s">
        <v>11</v>
      </c>
      <c r="E935" s="6">
        <v>7</v>
      </c>
      <c r="F935" s="6">
        <v>2</v>
      </c>
      <c r="G935" s="6" t="s">
        <v>18</v>
      </c>
      <c r="H935" s="6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1">
        <v>43181</v>
      </c>
      <c r="C936" s="6" t="s">
        <v>17</v>
      </c>
      <c r="D936" s="6" t="s">
        <v>11</v>
      </c>
      <c r="E936" s="6">
        <v>5</v>
      </c>
      <c r="F936" s="6">
        <v>3</v>
      </c>
      <c r="G936" s="6" t="s">
        <v>15</v>
      </c>
      <c r="H936" s="6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1">
        <v>43181</v>
      </c>
      <c r="C937" s="6" t="s">
        <v>15</v>
      </c>
      <c r="D937" s="6" t="s">
        <v>17</v>
      </c>
      <c r="E937" s="6">
        <v>5</v>
      </c>
      <c r="F937" s="6">
        <v>2</v>
      </c>
      <c r="G937" s="6" t="s">
        <v>11</v>
      </c>
      <c r="H937" s="6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1">
        <v>43181</v>
      </c>
      <c r="C938" s="6" t="s">
        <v>16</v>
      </c>
      <c r="D938" s="6" t="s">
        <v>15</v>
      </c>
      <c r="E938" s="6">
        <v>5</v>
      </c>
      <c r="F938" s="6">
        <v>3</v>
      </c>
      <c r="G938" s="6" t="s">
        <v>17</v>
      </c>
      <c r="H938" s="6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1">
        <v>43181</v>
      </c>
      <c r="C939" s="6" t="s">
        <v>15</v>
      </c>
      <c r="D939" s="6" t="s">
        <v>18</v>
      </c>
      <c r="E939" s="6">
        <v>2</v>
      </c>
      <c r="F939" s="6">
        <v>5</v>
      </c>
      <c r="G939" s="6" t="s">
        <v>16</v>
      </c>
      <c r="H939" s="6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1">
        <v>43181</v>
      </c>
      <c r="C940" s="6" t="s">
        <v>11</v>
      </c>
      <c r="D940" s="6" t="s">
        <v>18</v>
      </c>
      <c r="E940" s="6">
        <v>5</v>
      </c>
      <c r="F940" s="6">
        <v>4</v>
      </c>
      <c r="G940" s="6" t="s">
        <v>17</v>
      </c>
      <c r="H940" s="6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1">
        <v>43181</v>
      </c>
      <c r="C941" s="6" t="s">
        <v>18</v>
      </c>
      <c r="D941" s="6" t="s">
        <v>16</v>
      </c>
      <c r="E941" s="6">
        <v>5</v>
      </c>
      <c r="F941" s="6">
        <v>3</v>
      </c>
      <c r="G941" s="6" t="s">
        <v>17</v>
      </c>
      <c r="H941" s="6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1">
        <v>43182</v>
      </c>
      <c r="C942" s="6" t="s">
        <v>17</v>
      </c>
      <c r="D942" s="6" t="s">
        <v>11</v>
      </c>
      <c r="E942" s="6">
        <v>5</v>
      </c>
      <c r="F942" s="6">
        <v>3</v>
      </c>
      <c r="G942" s="6" t="s">
        <v>15</v>
      </c>
      <c r="H942" s="6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1">
        <v>43182</v>
      </c>
      <c r="C943" s="6" t="s">
        <v>11</v>
      </c>
      <c r="D943" s="6" t="s">
        <v>18</v>
      </c>
      <c r="E943" s="6">
        <v>5</v>
      </c>
      <c r="F943" s="6">
        <v>0</v>
      </c>
      <c r="G943" s="6" t="s">
        <v>17</v>
      </c>
      <c r="H943" s="6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1">
        <v>43182</v>
      </c>
      <c r="C944" s="6" t="s">
        <v>11</v>
      </c>
      <c r="D944" s="6" t="s">
        <v>15</v>
      </c>
      <c r="E944" s="6">
        <v>5</v>
      </c>
      <c r="F944" s="6">
        <v>3</v>
      </c>
      <c r="G944" s="6" t="s">
        <v>17</v>
      </c>
      <c r="H944" s="6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1">
        <v>43185</v>
      </c>
      <c r="C945" s="6" t="s">
        <v>18</v>
      </c>
      <c r="D945" s="6" t="s">
        <v>17</v>
      </c>
      <c r="E945" s="6">
        <v>3</v>
      </c>
      <c r="F945" s="6">
        <v>5</v>
      </c>
      <c r="G945" s="6" t="s">
        <v>16</v>
      </c>
      <c r="H945" s="6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1">
        <v>43185</v>
      </c>
      <c r="C946" s="6" t="s">
        <v>16</v>
      </c>
      <c r="D946" s="6" t="s">
        <v>15</v>
      </c>
      <c r="E946" s="6">
        <v>5</v>
      </c>
      <c r="F946" s="6">
        <v>0</v>
      </c>
      <c r="G946" s="6" t="s">
        <v>10</v>
      </c>
      <c r="H946" s="6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1">
        <v>43185</v>
      </c>
      <c r="C947" s="6" t="s">
        <v>16</v>
      </c>
      <c r="D947" s="6" t="s">
        <v>17</v>
      </c>
      <c r="E947" s="6">
        <v>3</v>
      </c>
      <c r="F947" s="6">
        <v>5</v>
      </c>
      <c r="G947" s="6" t="s">
        <v>15</v>
      </c>
      <c r="H947" s="6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1">
        <v>43185</v>
      </c>
      <c r="C948" s="6" t="s">
        <v>15</v>
      </c>
      <c r="D948" s="6" t="s">
        <v>11</v>
      </c>
      <c r="E948" s="6">
        <v>5</v>
      </c>
      <c r="F948" s="6">
        <v>3</v>
      </c>
      <c r="G948" s="6" t="s">
        <v>13</v>
      </c>
      <c r="H948" s="6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1">
        <v>43185</v>
      </c>
      <c r="C949" s="6" t="s">
        <v>15</v>
      </c>
      <c r="D949" s="6" t="s">
        <v>10</v>
      </c>
      <c r="E949" s="6">
        <v>5</v>
      </c>
      <c r="F949" s="6">
        <v>4</v>
      </c>
      <c r="G949" s="6" t="s">
        <v>17</v>
      </c>
      <c r="H949" s="6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1">
        <v>43185</v>
      </c>
      <c r="C950" s="6" t="s">
        <v>27</v>
      </c>
      <c r="D950" s="6" t="s">
        <v>18</v>
      </c>
      <c r="E950" s="6">
        <v>3</v>
      </c>
      <c r="F950" s="6">
        <v>6</v>
      </c>
      <c r="G950" s="6" t="s">
        <v>15</v>
      </c>
      <c r="H950" s="6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1">
        <v>43185</v>
      </c>
      <c r="C951" s="6" t="s">
        <v>13</v>
      </c>
      <c r="D951" s="6" t="s">
        <v>11</v>
      </c>
      <c r="E951" s="6">
        <v>2</v>
      </c>
      <c r="F951" s="6">
        <v>5</v>
      </c>
      <c r="G951" s="6" t="s">
        <v>29</v>
      </c>
      <c r="H951" s="6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1">
        <v>43185</v>
      </c>
      <c r="C952" s="6" t="s">
        <v>17</v>
      </c>
      <c r="D952" s="6" t="s">
        <v>29</v>
      </c>
      <c r="E952" s="6">
        <v>2</v>
      </c>
      <c r="F952" s="6">
        <v>5</v>
      </c>
      <c r="G952" s="6" t="s">
        <v>27</v>
      </c>
      <c r="H952" s="6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1">
        <v>43185</v>
      </c>
      <c r="C953" s="6" t="s">
        <v>9</v>
      </c>
      <c r="D953" s="6" t="s">
        <v>13</v>
      </c>
      <c r="E953" s="6">
        <v>6</v>
      </c>
      <c r="F953" s="6">
        <v>3</v>
      </c>
      <c r="G953" s="6" t="s">
        <v>18</v>
      </c>
      <c r="H953" s="6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1">
        <v>43185</v>
      </c>
      <c r="C954" s="6" t="s">
        <v>27</v>
      </c>
      <c r="D954" s="6" t="s">
        <v>29</v>
      </c>
      <c r="E954" s="6">
        <v>5</v>
      </c>
      <c r="F954" s="6">
        <v>1</v>
      </c>
      <c r="G954" s="6" t="s">
        <v>17</v>
      </c>
      <c r="H954" s="6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1">
        <v>43185</v>
      </c>
      <c r="C955" s="6" t="s">
        <v>17</v>
      </c>
      <c r="D955" s="6" t="s">
        <v>27</v>
      </c>
      <c r="E955" s="6">
        <v>2</v>
      </c>
      <c r="F955" s="6">
        <v>5</v>
      </c>
      <c r="G955" s="6" t="s">
        <v>15</v>
      </c>
      <c r="H955" s="6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1">
        <v>43185</v>
      </c>
      <c r="C956" s="6" t="s">
        <v>13</v>
      </c>
      <c r="D956" s="6" t="s">
        <v>18</v>
      </c>
      <c r="E956" s="6">
        <v>3</v>
      </c>
      <c r="F956" s="6">
        <v>5</v>
      </c>
      <c r="G956" s="6" t="s">
        <v>11</v>
      </c>
      <c r="H956" s="6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1">
        <v>43185</v>
      </c>
      <c r="C957" s="6" t="s">
        <v>9</v>
      </c>
      <c r="D957" s="6" t="s">
        <v>18</v>
      </c>
      <c r="E957" s="6">
        <v>5</v>
      </c>
      <c r="F957" s="6">
        <v>1</v>
      </c>
      <c r="G957" s="6" t="s">
        <v>11</v>
      </c>
      <c r="H957" s="6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1">
        <v>43185</v>
      </c>
      <c r="C958" s="6" t="s">
        <v>11</v>
      </c>
      <c r="D958" s="6" t="s">
        <v>18</v>
      </c>
      <c r="E958" s="6">
        <v>5</v>
      </c>
      <c r="F958" s="6">
        <v>4</v>
      </c>
      <c r="G958" s="6" t="s">
        <v>9</v>
      </c>
      <c r="H958" s="6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1">
        <v>43185</v>
      </c>
      <c r="C959" s="6" t="s">
        <v>9</v>
      </c>
      <c r="D959" s="6" t="s">
        <v>11</v>
      </c>
      <c r="E959" s="6">
        <v>5</v>
      </c>
      <c r="F959" s="6">
        <v>0</v>
      </c>
      <c r="G959" s="6" t="s">
        <v>13</v>
      </c>
      <c r="H959" s="6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1">
        <v>43186</v>
      </c>
      <c r="C960" s="6" t="s">
        <v>13</v>
      </c>
      <c r="D960" s="6" t="s">
        <v>10</v>
      </c>
      <c r="E960" s="6">
        <v>2</v>
      </c>
      <c r="F960" s="6">
        <v>5</v>
      </c>
      <c r="G960" s="6" t="s">
        <v>18</v>
      </c>
      <c r="H960" s="6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1">
        <v>43186</v>
      </c>
      <c r="C961" s="6" t="s">
        <v>15</v>
      </c>
      <c r="D961" s="6" t="s">
        <v>11</v>
      </c>
      <c r="E961" s="6">
        <v>2</v>
      </c>
      <c r="F961" s="6">
        <v>5</v>
      </c>
      <c r="G961" s="6" t="s">
        <v>29</v>
      </c>
      <c r="H961" s="6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1">
        <v>43186</v>
      </c>
      <c r="C962" s="6" t="s">
        <v>13</v>
      </c>
      <c r="D962" s="6" t="s">
        <v>18</v>
      </c>
      <c r="E962" s="6">
        <v>3</v>
      </c>
      <c r="F962" s="6">
        <v>5</v>
      </c>
      <c r="G962" s="6" t="s">
        <v>29</v>
      </c>
      <c r="H962" s="6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1">
        <v>43186</v>
      </c>
      <c r="C963" s="6" t="s">
        <v>15</v>
      </c>
      <c r="D963" s="6" t="s">
        <v>10</v>
      </c>
      <c r="E963" s="6">
        <v>5</v>
      </c>
      <c r="F963" s="6">
        <v>1</v>
      </c>
      <c r="G963" s="6" t="s">
        <v>29</v>
      </c>
      <c r="H963" s="6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1">
        <v>43186</v>
      </c>
      <c r="C964" s="6" t="s">
        <v>10</v>
      </c>
      <c r="D964" s="6" t="s">
        <v>11</v>
      </c>
      <c r="E964" s="6">
        <v>5</v>
      </c>
      <c r="F964" s="6">
        <v>1</v>
      </c>
      <c r="G964" s="6" t="s">
        <v>13</v>
      </c>
      <c r="H964" s="6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1">
        <v>43186</v>
      </c>
      <c r="C965" s="6" t="s">
        <v>13</v>
      </c>
      <c r="D965" s="6" t="s">
        <v>29</v>
      </c>
      <c r="E965" s="6">
        <v>2</v>
      </c>
      <c r="F965" s="6">
        <v>5</v>
      </c>
      <c r="G965" s="6" t="s">
        <v>11</v>
      </c>
      <c r="H965" s="6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1">
        <v>43186</v>
      </c>
      <c r="C966" s="6" t="s">
        <v>16</v>
      </c>
      <c r="D966" s="6" t="s">
        <v>11</v>
      </c>
      <c r="E966" s="6">
        <v>6</v>
      </c>
      <c r="F966" s="6">
        <v>3</v>
      </c>
      <c r="G966" s="6" t="s">
        <v>15</v>
      </c>
      <c r="H966" s="6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1">
        <v>43186</v>
      </c>
      <c r="C967" s="6" t="s">
        <v>27</v>
      </c>
      <c r="D967" s="6" t="s">
        <v>13</v>
      </c>
      <c r="E967" s="6">
        <v>3</v>
      </c>
      <c r="F967" s="6">
        <v>5</v>
      </c>
      <c r="G967" s="6" t="s">
        <v>11</v>
      </c>
      <c r="H967" s="6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1">
        <v>43186</v>
      </c>
      <c r="C968" s="6" t="s">
        <v>9</v>
      </c>
      <c r="D968" s="6" t="s">
        <v>15</v>
      </c>
      <c r="E968" s="6">
        <v>5</v>
      </c>
      <c r="F968" s="6">
        <v>3</v>
      </c>
      <c r="G968" s="6" t="s">
        <v>27</v>
      </c>
      <c r="H968" s="6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1">
        <v>43186</v>
      </c>
      <c r="C969" s="6" t="s">
        <v>13</v>
      </c>
      <c r="D969" s="6" t="s">
        <v>15</v>
      </c>
      <c r="E969" s="6">
        <v>5</v>
      </c>
      <c r="F969" s="6">
        <v>3</v>
      </c>
      <c r="G969" s="6" t="s">
        <v>27</v>
      </c>
      <c r="H969" s="6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1">
        <v>43186</v>
      </c>
      <c r="C970" s="6" t="s">
        <v>27</v>
      </c>
      <c r="D970" s="6" t="s">
        <v>13</v>
      </c>
      <c r="E970" s="6">
        <v>5</v>
      </c>
      <c r="F970" s="6">
        <v>3</v>
      </c>
      <c r="G970" s="6" t="s">
        <v>11</v>
      </c>
      <c r="H970" s="6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1">
        <v>43187</v>
      </c>
      <c r="C971" s="6" t="s">
        <v>12</v>
      </c>
      <c r="D971" s="6" t="s">
        <v>10</v>
      </c>
      <c r="E971" s="6">
        <v>3</v>
      </c>
      <c r="F971" s="6">
        <v>8</v>
      </c>
      <c r="G971" s="6" t="s">
        <v>18</v>
      </c>
      <c r="H971" s="6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1">
        <v>43187</v>
      </c>
      <c r="C972" s="6" t="s">
        <v>12</v>
      </c>
      <c r="D972" s="6" t="s">
        <v>18</v>
      </c>
      <c r="E972" s="6">
        <v>5</v>
      </c>
      <c r="F972" s="6">
        <v>3</v>
      </c>
      <c r="G972" s="6" t="s">
        <v>10</v>
      </c>
      <c r="H972" s="6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1">
        <v>43187</v>
      </c>
      <c r="C973" s="6" t="s">
        <v>12</v>
      </c>
      <c r="D973" s="6" t="s">
        <v>11</v>
      </c>
      <c r="E973" s="6">
        <v>5</v>
      </c>
      <c r="F973" s="6">
        <v>3</v>
      </c>
      <c r="G973" s="6" t="s">
        <v>18</v>
      </c>
      <c r="H973" s="6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1">
        <v>43187</v>
      </c>
      <c r="C974" s="6" t="s">
        <v>12</v>
      </c>
      <c r="D974" s="6" t="s">
        <v>17</v>
      </c>
      <c r="E974" s="6">
        <v>5</v>
      </c>
      <c r="F974" s="6">
        <v>1</v>
      </c>
      <c r="G974" s="6" t="s">
        <v>11</v>
      </c>
      <c r="H974" s="6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1">
        <v>43187</v>
      </c>
      <c r="C975" s="6" t="s">
        <v>27</v>
      </c>
      <c r="D975" s="6" t="s">
        <v>15</v>
      </c>
      <c r="E975" s="6">
        <v>3</v>
      </c>
      <c r="F975" s="6">
        <v>5</v>
      </c>
      <c r="G975" s="6" t="s">
        <v>17</v>
      </c>
      <c r="H975" s="6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1">
        <v>43187</v>
      </c>
      <c r="C976" s="6" t="s">
        <v>17</v>
      </c>
      <c r="D976" s="6" t="s">
        <v>11</v>
      </c>
      <c r="E976" s="6">
        <v>5</v>
      </c>
      <c r="F976" s="6">
        <v>3</v>
      </c>
      <c r="G976" s="6" t="s">
        <v>15</v>
      </c>
      <c r="H976" s="6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1">
        <v>43187</v>
      </c>
      <c r="C977" s="6" t="s">
        <v>15</v>
      </c>
      <c r="D977" s="6" t="s">
        <v>17</v>
      </c>
      <c r="E977" s="6">
        <v>5</v>
      </c>
      <c r="F977" s="6">
        <v>3</v>
      </c>
      <c r="G977" s="6" t="s">
        <v>11</v>
      </c>
      <c r="H977" s="6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1">
        <v>43188</v>
      </c>
      <c r="C978" s="6" t="s">
        <v>10</v>
      </c>
      <c r="D978" s="6" t="s">
        <v>15</v>
      </c>
      <c r="E978" s="6">
        <v>8</v>
      </c>
      <c r="F978" s="6">
        <v>2</v>
      </c>
      <c r="G978" s="6" t="s">
        <v>11</v>
      </c>
      <c r="H978" s="6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1">
        <v>43188</v>
      </c>
      <c r="C979" s="6" t="s">
        <v>10</v>
      </c>
      <c r="D979" s="6" t="s">
        <v>11</v>
      </c>
      <c r="E979" s="6">
        <v>4</v>
      </c>
      <c r="F979" s="6">
        <v>5</v>
      </c>
      <c r="G979" s="6" t="s">
        <v>15</v>
      </c>
      <c r="H979" s="6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1">
        <v>43188</v>
      </c>
      <c r="C980" s="6" t="s">
        <v>27</v>
      </c>
      <c r="D980" s="6" t="s">
        <v>15</v>
      </c>
      <c r="E980" s="6">
        <v>5</v>
      </c>
      <c r="F980" s="6">
        <v>4</v>
      </c>
      <c r="G980" s="6" t="s">
        <v>17</v>
      </c>
      <c r="H980" s="6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1">
        <v>43188</v>
      </c>
      <c r="C981" s="6" t="s">
        <v>11</v>
      </c>
      <c r="D981" s="6" t="s">
        <v>27</v>
      </c>
      <c r="E981" s="6">
        <v>2</v>
      </c>
      <c r="F981" s="6">
        <v>5</v>
      </c>
      <c r="G981" s="6" t="s">
        <v>29</v>
      </c>
      <c r="H981" s="6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1">
        <v>43188</v>
      </c>
      <c r="C982" s="6" t="s">
        <v>16</v>
      </c>
      <c r="D982" s="6" t="s">
        <v>15</v>
      </c>
      <c r="E982" s="6">
        <v>5</v>
      </c>
      <c r="F982" s="6">
        <v>3</v>
      </c>
      <c r="G982" s="6" t="s">
        <v>29</v>
      </c>
      <c r="H982" s="6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1">
        <v>43188</v>
      </c>
      <c r="C983" s="6" t="s">
        <v>16</v>
      </c>
      <c r="D983" s="6" t="s">
        <v>27</v>
      </c>
      <c r="E983" s="6">
        <v>3</v>
      </c>
      <c r="F983" s="6">
        <v>5</v>
      </c>
      <c r="G983" s="6" t="s">
        <v>11</v>
      </c>
      <c r="H983" s="6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1">
        <v>43188</v>
      </c>
      <c r="C984" s="6" t="s">
        <v>11</v>
      </c>
      <c r="D984" s="6" t="s">
        <v>17</v>
      </c>
      <c r="E984" s="6">
        <v>5</v>
      </c>
      <c r="F984" s="6">
        <v>4</v>
      </c>
      <c r="G984" s="6" t="s">
        <v>15</v>
      </c>
      <c r="H984" s="6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1">
        <v>43188</v>
      </c>
      <c r="C985" s="6" t="s">
        <v>9</v>
      </c>
      <c r="D985" s="6" t="s">
        <v>11</v>
      </c>
      <c r="E985" s="6">
        <v>8</v>
      </c>
      <c r="F985" s="6">
        <v>4</v>
      </c>
      <c r="G985" s="6" t="s">
        <v>15</v>
      </c>
      <c r="H985" s="6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25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25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25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25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25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25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25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25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25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25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25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25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25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25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25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25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25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25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25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25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25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25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25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25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25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25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25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25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25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25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25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25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25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25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25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25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25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25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25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25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25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25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25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25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25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25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25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25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25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25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25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25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25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25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25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25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25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25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25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25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25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25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25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25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25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25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25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25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25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25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  <row r="2661" spans="1:9" ht="15" customHeight="1" x14ac:dyDescent="0.25">
      <c r="A2661" s="7">
        <v>2660</v>
      </c>
      <c r="B2661" s="1">
        <v>43490</v>
      </c>
      <c r="C2661" s="6" t="s">
        <v>17</v>
      </c>
      <c r="D2661" s="6" t="s">
        <v>10</v>
      </c>
      <c r="E2661" s="6">
        <v>5</v>
      </c>
      <c r="F2661" s="6">
        <v>2</v>
      </c>
      <c r="G2661" s="6" t="s">
        <v>9</v>
      </c>
      <c r="H2661" s="6" t="s">
        <v>11</v>
      </c>
      <c r="I2661" s="6">
        <f>TabJogos[[#This Row],[PontosTime1]]-TabJogos[[#This Row],[PontosTime2]]</f>
        <v>3</v>
      </c>
    </row>
    <row r="2662" spans="1:9" ht="15" customHeight="1" x14ac:dyDescent="0.25">
      <c r="A2662" s="7">
        <v>2661</v>
      </c>
      <c r="B2662" s="1">
        <v>43490</v>
      </c>
      <c r="C2662" s="6" t="s">
        <v>18</v>
      </c>
      <c r="D2662" s="6" t="s">
        <v>10</v>
      </c>
      <c r="E2662" s="6">
        <v>5</v>
      </c>
      <c r="F2662" s="6">
        <v>2</v>
      </c>
      <c r="G2662" s="6" t="s">
        <v>17</v>
      </c>
      <c r="H2662" s="6" t="s">
        <v>9</v>
      </c>
      <c r="I2662" s="6">
        <f>TabJogos[[#This Row],[PontosTime1]]-TabJogos[[#This Row],[PontosTime2]]</f>
        <v>3</v>
      </c>
    </row>
    <row r="2663" spans="1:9" ht="15" customHeight="1" x14ac:dyDescent="0.25">
      <c r="A2663" s="7">
        <v>2662</v>
      </c>
      <c r="B2663" s="1">
        <v>43490</v>
      </c>
      <c r="C2663" s="6" t="s">
        <v>41</v>
      </c>
      <c r="D2663" s="6" t="s">
        <v>10</v>
      </c>
      <c r="E2663" s="6">
        <v>6</v>
      </c>
      <c r="F2663" s="6">
        <v>1</v>
      </c>
      <c r="G2663" s="6" t="s">
        <v>11</v>
      </c>
      <c r="H2663" s="6" t="s">
        <v>18</v>
      </c>
      <c r="I2663" s="6">
        <f>TabJogos[[#This Row],[PontosTime1]]-TabJogos[[#This Row],[PontosTime2]]</f>
        <v>5</v>
      </c>
    </row>
    <row r="2664" spans="1:9" ht="15" customHeight="1" x14ac:dyDescent="0.25">
      <c r="A2664" s="7">
        <v>2663</v>
      </c>
      <c r="B2664" s="1">
        <v>43490</v>
      </c>
      <c r="C2664" s="6" t="s">
        <v>9</v>
      </c>
      <c r="D2664" s="6" t="s">
        <v>10</v>
      </c>
      <c r="E2664" s="6">
        <v>5</v>
      </c>
      <c r="F2664" s="6">
        <v>0</v>
      </c>
      <c r="G2664" s="6" t="s">
        <v>17</v>
      </c>
      <c r="H2664" s="6" t="s">
        <v>11</v>
      </c>
      <c r="I2664" s="6">
        <f>TabJogos[[#This Row],[PontosTime1]]-TabJogos[[#This Row],[PontosTime2]]</f>
        <v>5</v>
      </c>
    </row>
    <row r="2665" spans="1:9" ht="15" customHeight="1" x14ac:dyDescent="0.25">
      <c r="A2665" s="7">
        <v>2664</v>
      </c>
      <c r="B2665" s="1">
        <v>43490</v>
      </c>
      <c r="C2665" s="6" t="s">
        <v>9</v>
      </c>
      <c r="D2665" s="6" t="s">
        <v>18</v>
      </c>
      <c r="E2665" s="6">
        <v>5</v>
      </c>
      <c r="F2665" s="6">
        <v>3</v>
      </c>
      <c r="G2665" s="6" t="s">
        <v>10</v>
      </c>
      <c r="H2665" s="6" t="s">
        <v>11</v>
      </c>
      <c r="I2665" s="6">
        <f>TabJogos[[#This Row],[PontosTime1]]-TabJogos[[#This Row],[PontosTime2]]</f>
        <v>2</v>
      </c>
    </row>
    <row r="2666" spans="1:9" ht="15" customHeight="1" x14ac:dyDescent="0.25">
      <c r="A2666" s="7">
        <v>2665</v>
      </c>
      <c r="B2666" s="1">
        <v>43490</v>
      </c>
      <c r="C2666" s="6" t="s">
        <v>11</v>
      </c>
      <c r="D2666" s="6" t="s">
        <v>18</v>
      </c>
      <c r="E2666" s="6">
        <v>2</v>
      </c>
      <c r="F2666" s="6">
        <v>5</v>
      </c>
      <c r="G2666" s="6" t="s">
        <v>17</v>
      </c>
      <c r="H2666" s="6" t="s">
        <v>10</v>
      </c>
      <c r="I2666" s="6">
        <f>TabJogos[[#This Row],[PontosTime1]]-TabJogos[[#This Row],[PontosTime2]]</f>
        <v>-3</v>
      </c>
    </row>
    <row r="2667" spans="1:9" ht="15" customHeight="1" x14ac:dyDescent="0.25">
      <c r="A2667" s="7">
        <v>2666</v>
      </c>
      <c r="B2667" s="1">
        <v>43490</v>
      </c>
      <c r="C2667" s="6" t="s">
        <v>17</v>
      </c>
      <c r="D2667" s="6" t="s">
        <v>18</v>
      </c>
      <c r="E2667" s="6">
        <v>5</v>
      </c>
      <c r="F2667" s="6">
        <v>2</v>
      </c>
      <c r="G2667" s="6" t="s">
        <v>9</v>
      </c>
      <c r="H2667" s="6" t="s">
        <v>10</v>
      </c>
      <c r="I2667" s="6">
        <f>TabJogos[[#This Row],[PontosTime1]]-TabJogos[[#This Row],[PontosTime2]]</f>
        <v>3</v>
      </c>
    </row>
    <row r="2668" spans="1:9" ht="15" customHeight="1" x14ac:dyDescent="0.25">
      <c r="A2668" s="7">
        <v>2667</v>
      </c>
      <c r="B2668" s="1">
        <v>43490</v>
      </c>
      <c r="C2668" s="6" t="s">
        <v>10</v>
      </c>
      <c r="D2668" s="6" t="s">
        <v>9</v>
      </c>
      <c r="E2668" s="6">
        <v>3</v>
      </c>
      <c r="F2668" s="6">
        <v>5</v>
      </c>
      <c r="G2668" s="6" t="s">
        <v>11</v>
      </c>
      <c r="H2668" s="6" t="s">
        <v>17</v>
      </c>
      <c r="I2668" s="6">
        <f>TabJogos[[#This Row],[PontosTime1]]-TabJogos[[#This Row],[PontosTime2]]</f>
        <v>-2</v>
      </c>
    </row>
    <row r="2669" spans="1:9" ht="15" customHeight="1" x14ac:dyDescent="0.25">
      <c r="A2669" s="7">
        <v>2668</v>
      </c>
      <c r="B2669" s="1">
        <v>43490</v>
      </c>
      <c r="C2669" s="6" t="s">
        <v>11</v>
      </c>
      <c r="D2669" s="6" t="s">
        <v>9</v>
      </c>
      <c r="E2669" s="6">
        <v>4</v>
      </c>
      <c r="F2669" s="6">
        <v>5</v>
      </c>
      <c r="G2669" s="6" t="s">
        <v>17</v>
      </c>
      <c r="H2669" s="6" t="s">
        <v>18</v>
      </c>
      <c r="I2669" s="6">
        <f>TabJogos[[#This Row],[PontosTime1]]-TabJogos[[#This Row],[PontosTime2]]</f>
        <v>-1</v>
      </c>
    </row>
    <row r="2670" spans="1:9" ht="15" customHeight="1" x14ac:dyDescent="0.25">
      <c r="A2670" s="7">
        <v>2669</v>
      </c>
      <c r="B2670" s="1">
        <v>43493</v>
      </c>
      <c r="C2670" s="6" t="s">
        <v>11</v>
      </c>
      <c r="D2670" s="6" t="s">
        <v>17</v>
      </c>
      <c r="E2670" s="6">
        <v>5</v>
      </c>
      <c r="F2670" s="6">
        <v>0</v>
      </c>
      <c r="G2670" s="6" t="s">
        <v>16</v>
      </c>
      <c r="H2670" s="6" t="s">
        <v>10</v>
      </c>
      <c r="I2670" s="6">
        <f>TabJogos[[#This Row],[PontosTime1]]-TabJogos[[#This Row],[PontosTime2]]</f>
        <v>5</v>
      </c>
    </row>
    <row r="2671" spans="1:9" ht="15" customHeight="1" x14ac:dyDescent="0.25">
      <c r="A2671" s="7">
        <v>2670</v>
      </c>
      <c r="B2671" s="1">
        <v>43493</v>
      </c>
      <c r="C2671" s="6" t="s">
        <v>17</v>
      </c>
      <c r="D2671" s="6" t="s">
        <v>10</v>
      </c>
      <c r="E2671" s="6">
        <v>6</v>
      </c>
      <c r="F2671" s="6">
        <v>0</v>
      </c>
      <c r="G2671" s="6" t="s">
        <v>11</v>
      </c>
      <c r="H2671" s="6" t="s">
        <v>16</v>
      </c>
      <c r="I2671" s="6">
        <f>TabJogos[[#This Row],[PontosTime1]]-TabJogos[[#This Row],[PontosTime2]]</f>
        <v>6</v>
      </c>
    </row>
    <row r="2672" spans="1:9" ht="15" customHeight="1" x14ac:dyDescent="0.25">
      <c r="A2672" s="7">
        <v>2671</v>
      </c>
      <c r="B2672" s="1">
        <v>43493</v>
      </c>
      <c r="C2672" s="6" t="s">
        <v>10</v>
      </c>
      <c r="D2672" s="6" t="s">
        <v>13</v>
      </c>
      <c r="E2672" s="6">
        <v>3</v>
      </c>
      <c r="F2672" s="6">
        <v>5</v>
      </c>
      <c r="G2672" s="6" t="s">
        <v>17</v>
      </c>
      <c r="H2672" s="6" t="s">
        <v>9</v>
      </c>
      <c r="I2672" s="6">
        <f>TabJogos[[#This Row],[PontosTime1]]-TabJogos[[#This Row],[PontosTime2]]</f>
        <v>-2</v>
      </c>
    </row>
    <row r="2673" spans="1:9" ht="15" customHeight="1" x14ac:dyDescent="0.25">
      <c r="A2673" s="7">
        <v>2672</v>
      </c>
      <c r="B2673" s="1">
        <v>43493</v>
      </c>
      <c r="C2673" s="6" t="s">
        <v>11</v>
      </c>
      <c r="D2673" s="6" t="s">
        <v>9</v>
      </c>
      <c r="E2673" s="6">
        <v>5</v>
      </c>
      <c r="F2673" s="6">
        <v>2</v>
      </c>
      <c r="G2673" s="6" t="s">
        <v>17</v>
      </c>
      <c r="H2673" s="6" t="s">
        <v>13</v>
      </c>
      <c r="I2673" s="6">
        <f>TabJogos[[#This Row],[PontosTime1]]-TabJogos[[#This Row],[PontosTime2]]</f>
        <v>3</v>
      </c>
    </row>
    <row r="2674" spans="1:9" ht="15" customHeight="1" x14ac:dyDescent="0.25">
      <c r="A2674" s="7">
        <v>2673</v>
      </c>
      <c r="B2674" s="1">
        <v>43493</v>
      </c>
      <c r="C2674" s="6" t="s">
        <v>9</v>
      </c>
      <c r="D2674" s="6" t="s">
        <v>18</v>
      </c>
      <c r="E2674" s="6">
        <v>5</v>
      </c>
      <c r="F2674" s="6">
        <v>4</v>
      </c>
      <c r="G2674" s="6" t="s">
        <v>17</v>
      </c>
      <c r="H2674" s="6" t="s">
        <v>11</v>
      </c>
      <c r="I2674" s="6">
        <f>TabJogos[[#This Row],[PontosTime1]]-TabJogos[[#This Row],[PontosTime2]]</f>
        <v>1</v>
      </c>
    </row>
    <row r="2675" spans="1:9" ht="15" customHeight="1" x14ac:dyDescent="0.25">
      <c r="A2675" s="7">
        <v>2674</v>
      </c>
      <c r="B2675" s="1">
        <v>43493</v>
      </c>
      <c r="C2675" s="6" t="s">
        <v>41</v>
      </c>
      <c r="D2675" s="6" t="s">
        <v>9</v>
      </c>
      <c r="E2675" s="6">
        <v>5</v>
      </c>
      <c r="F2675" s="6">
        <v>1</v>
      </c>
      <c r="G2675" s="6" t="s">
        <v>18</v>
      </c>
      <c r="H2675" s="6" t="s">
        <v>13</v>
      </c>
      <c r="I2675" s="6">
        <f>TabJogos[[#This Row],[PontosTime1]]-TabJogos[[#This Row],[PontosTime2]]</f>
        <v>4</v>
      </c>
    </row>
    <row r="2676" spans="1:9" ht="15" customHeight="1" x14ac:dyDescent="0.25">
      <c r="A2676" s="7">
        <v>2675</v>
      </c>
      <c r="B2676" s="1">
        <v>43493</v>
      </c>
      <c r="C2676" s="6" t="s">
        <v>9</v>
      </c>
      <c r="D2676" s="6" t="s">
        <v>18</v>
      </c>
      <c r="E2676" s="6">
        <v>5</v>
      </c>
      <c r="F2676" s="6">
        <v>1</v>
      </c>
      <c r="G2676" s="6" t="s">
        <v>41</v>
      </c>
      <c r="H2676" s="6" t="s">
        <v>11</v>
      </c>
      <c r="I2676" s="6">
        <f>TabJogos[[#This Row],[PontosTime1]]-TabJogos[[#This Row],[PontosTime2]]</f>
        <v>4</v>
      </c>
    </row>
    <row r="2677" spans="1:9" ht="15" customHeight="1" x14ac:dyDescent="0.25">
      <c r="A2677" s="7">
        <v>2676</v>
      </c>
      <c r="B2677" s="1">
        <v>43493</v>
      </c>
      <c r="C2677" s="6" t="s">
        <v>9</v>
      </c>
      <c r="D2677" s="6" t="s">
        <v>13</v>
      </c>
      <c r="E2677" s="6">
        <v>4</v>
      </c>
      <c r="F2677" s="6">
        <v>5</v>
      </c>
      <c r="G2677" s="6" t="s">
        <v>41</v>
      </c>
      <c r="H2677" s="6" t="s">
        <v>18</v>
      </c>
      <c r="I2677" s="6">
        <f>TabJogos[[#This Row],[PontosTime1]]-TabJogos[[#This Row],[PontosTime2]]</f>
        <v>-1</v>
      </c>
    </row>
    <row r="2678" spans="1:9" ht="15" customHeight="1" x14ac:dyDescent="0.25">
      <c r="A2678" s="7">
        <v>2677</v>
      </c>
      <c r="B2678" s="1">
        <v>43493</v>
      </c>
      <c r="C2678" s="6" t="s">
        <v>11</v>
      </c>
      <c r="D2678" s="6" t="s">
        <v>18</v>
      </c>
      <c r="E2678" s="6">
        <v>5</v>
      </c>
      <c r="F2678" s="6">
        <v>3</v>
      </c>
      <c r="G2678" s="6" t="s">
        <v>41</v>
      </c>
      <c r="H2678" s="6" t="s">
        <v>13</v>
      </c>
      <c r="I2678" s="6">
        <f>TabJogos[[#This Row],[PontosTime1]]-TabJogos[[#This Row],[PontosTime2]]</f>
        <v>2</v>
      </c>
    </row>
    <row r="2679" spans="1:9" ht="15" customHeight="1" x14ac:dyDescent="0.25">
      <c r="A2679" s="7">
        <v>2678</v>
      </c>
      <c r="B2679" s="1">
        <v>43493</v>
      </c>
      <c r="C2679" s="6" t="s">
        <v>11</v>
      </c>
      <c r="D2679" s="6" t="s">
        <v>41</v>
      </c>
      <c r="E2679" s="6">
        <v>6</v>
      </c>
      <c r="F2679" s="6">
        <v>4</v>
      </c>
      <c r="G2679" s="6" t="s">
        <v>18</v>
      </c>
      <c r="H2679" s="6" t="s">
        <v>13</v>
      </c>
      <c r="I2679" s="6">
        <f>TabJogos[[#This Row],[PontosTime1]]-TabJogos[[#This Row],[PontosTime2]]</f>
        <v>2</v>
      </c>
    </row>
    <row r="2680" spans="1:9" ht="15" customHeight="1" x14ac:dyDescent="0.25">
      <c r="A2680" s="7">
        <v>2679</v>
      </c>
      <c r="B2680" s="1">
        <v>43494</v>
      </c>
      <c r="C2680" s="6" t="s">
        <v>18</v>
      </c>
      <c r="D2680" s="6" t="s">
        <v>10</v>
      </c>
      <c r="E2680" s="6">
        <v>5</v>
      </c>
      <c r="F2680" s="6">
        <v>1</v>
      </c>
      <c r="G2680" s="6" t="s">
        <v>17</v>
      </c>
      <c r="H2680" s="6" t="s">
        <v>32</v>
      </c>
      <c r="I2680" s="6">
        <f>TabJogos[[#This Row],[PontosTime1]]-TabJogos[[#This Row],[PontosTime2]]</f>
        <v>4</v>
      </c>
    </row>
    <row r="2681" spans="1:9" ht="15" customHeight="1" x14ac:dyDescent="0.25">
      <c r="A2681" s="7">
        <v>2680</v>
      </c>
      <c r="B2681" s="1">
        <v>43494</v>
      </c>
      <c r="C2681" s="6" t="s">
        <v>10</v>
      </c>
      <c r="D2681" s="6" t="s">
        <v>41</v>
      </c>
      <c r="E2681" s="6">
        <v>5</v>
      </c>
      <c r="F2681" s="6">
        <v>3</v>
      </c>
      <c r="G2681" s="6" t="s">
        <v>32</v>
      </c>
      <c r="H2681" s="6" t="s">
        <v>18</v>
      </c>
      <c r="I2681" s="6">
        <f>TabJogos[[#This Row],[PontosTime1]]-TabJogos[[#This Row],[PontosTime2]]</f>
        <v>2</v>
      </c>
    </row>
    <row r="2682" spans="1:9" ht="15" customHeight="1" x14ac:dyDescent="0.25">
      <c r="A2682" s="7">
        <v>2681</v>
      </c>
      <c r="B2682" s="1">
        <v>43494</v>
      </c>
      <c r="C2682" s="6" t="s">
        <v>10</v>
      </c>
      <c r="D2682" s="6" t="s">
        <v>17</v>
      </c>
      <c r="E2682" s="6">
        <v>3</v>
      </c>
      <c r="F2682" s="6">
        <v>5</v>
      </c>
      <c r="G2682" s="6" t="s">
        <v>18</v>
      </c>
      <c r="H2682" s="6" t="s">
        <v>41</v>
      </c>
      <c r="I2682" s="6">
        <f>TabJogos[[#This Row],[PontosTime1]]-TabJogos[[#This Row],[PontosTime2]]</f>
        <v>-2</v>
      </c>
    </row>
    <row r="2683" spans="1:9" ht="15" customHeight="1" x14ac:dyDescent="0.25">
      <c r="A2683" s="7">
        <v>2682</v>
      </c>
      <c r="B2683" s="1">
        <v>43494</v>
      </c>
      <c r="C2683" s="6" t="s">
        <v>27</v>
      </c>
      <c r="D2683" s="6" t="s">
        <v>18</v>
      </c>
      <c r="E2683" s="6">
        <v>0</v>
      </c>
      <c r="F2683" s="6">
        <v>6</v>
      </c>
      <c r="G2683" s="6" t="s">
        <v>41</v>
      </c>
      <c r="H2683" s="6" t="s">
        <v>32</v>
      </c>
      <c r="I2683" s="6">
        <f>TabJogos[[#This Row],[PontosTime1]]-TabJogos[[#This Row],[PontosTime2]]</f>
        <v>-6</v>
      </c>
    </row>
    <row r="2684" spans="1:9" ht="15" customHeight="1" x14ac:dyDescent="0.25">
      <c r="A2684" s="7">
        <v>2683</v>
      </c>
      <c r="B2684" s="1">
        <v>43494</v>
      </c>
      <c r="C2684" s="6" t="s">
        <v>10</v>
      </c>
      <c r="D2684" s="6" t="s">
        <v>32</v>
      </c>
      <c r="E2684" s="6">
        <v>5</v>
      </c>
      <c r="F2684" s="6">
        <v>2</v>
      </c>
      <c r="G2684" s="6" t="s">
        <v>41</v>
      </c>
      <c r="H2684" s="6" t="s">
        <v>17</v>
      </c>
      <c r="I2684" s="6">
        <f>TabJogos[[#This Row],[PontosTime1]]-TabJogos[[#This Row],[PontosTime2]]</f>
        <v>3</v>
      </c>
    </row>
    <row r="2685" spans="1:9" ht="15" customHeight="1" x14ac:dyDescent="0.25">
      <c r="A2685" s="7">
        <v>2684</v>
      </c>
      <c r="B2685" s="1">
        <v>43494</v>
      </c>
      <c r="C2685" s="6" t="s">
        <v>10</v>
      </c>
      <c r="D2685" s="6" t="s">
        <v>18</v>
      </c>
      <c r="E2685" s="6">
        <v>1</v>
      </c>
      <c r="F2685" s="6">
        <v>7</v>
      </c>
      <c r="G2685" s="6" t="s">
        <v>27</v>
      </c>
      <c r="H2685" s="6" t="s">
        <v>32</v>
      </c>
      <c r="I2685" s="6">
        <f>TabJogos[[#This Row],[PontosTime1]]-TabJogos[[#This Row],[PontosTime2]]</f>
        <v>-6</v>
      </c>
    </row>
    <row r="2686" spans="1:9" ht="15" customHeight="1" x14ac:dyDescent="0.25">
      <c r="A2686" s="7">
        <v>2685</v>
      </c>
      <c r="B2686" s="1">
        <v>43494</v>
      </c>
      <c r="C2686" s="6" t="s">
        <v>27</v>
      </c>
      <c r="D2686" s="6" t="s">
        <v>41</v>
      </c>
      <c r="E2686" s="6">
        <v>5</v>
      </c>
      <c r="F2686" s="6">
        <v>3</v>
      </c>
      <c r="G2686" s="6" t="s">
        <v>17</v>
      </c>
      <c r="H2686" s="6" t="s">
        <v>32</v>
      </c>
      <c r="I2686" s="6">
        <f>TabJogos[[#This Row],[PontosTime1]]-TabJogos[[#This Row],[PontosTime2]]</f>
        <v>2</v>
      </c>
    </row>
    <row r="2687" spans="1:9" ht="15" customHeight="1" x14ac:dyDescent="0.25">
      <c r="A2687" s="7">
        <v>2686</v>
      </c>
      <c r="B2687" s="1">
        <v>43494</v>
      </c>
      <c r="C2687" s="6" t="s">
        <v>27</v>
      </c>
      <c r="D2687" s="6" t="s">
        <v>18</v>
      </c>
      <c r="E2687" s="6">
        <v>9</v>
      </c>
      <c r="F2687" s="6">
        <v>3</v>
      </c>
      <c r="G2687" s="6" t="s">
        <v>16</v>
      </c>
      <c r="H2687" s="6" t="s">
        <v>41</v>
      </c>
      <c r="I2687" s="6">
        <f>TabJogos[[#This Row],[PontosTime1]]-TabJogos[[#This Row],[PontosTime2]]</f>
        <v>6</v>
      </c>
    </row>
    <row r="2688" spans="1:9" ht="15" customHeight="1" x14ac:dyDescent="0.25">
      <c r="A2688" s="7">
        <v>2687</v>
      </c>
      <c r="B2688" s="1">
        <v>43494</v>
      </c>
      <c r="C2688" s="6" t="s">
        <v>17</v>
      </c>
      <c r="D2688" s="6" t="s">
        <v>18</v>
      </c>
      <c r="E2688" s="6">
        <v>2</v>
      </c>
      <c r="F2688" s="6">
        <v>5</v>
      </c>
      <c r="G2688" s="6" t="s">
        <v>11</v>
      </c>
      <c r="H2688" s="6" t="s">
        <v>27</v>
      </c>
      <c r="I2688" s="6">
        <f>TabJogos[[#This Row],[PontosTime1]]-TabJogos[[#This Row],[PontosTime2]]</f>
        <v>-3</v>
      </c>
    </row>
    <row r="2689" spans="1:9" ht="15" customHeight="1" x14ac:dyDescent="0.25">
      <c r="A2689" s="7">
        <v>2688</v>
      </c>
      <c r="B2689" s="1">
        <v>43494</v>
      </c>
      <c r="C2689" s="6" t="s">
        <v>27</v>
      </c>
      <c r="D2689" s="6" t="s">
        <v>18</v>
      </c>
      <c r="E2689" s="6">
        <v>3</v>
      </c>
      <c r="F2689" s="6">
        <v>5</v>
      </c>
      <c r="G2689" s="6" t="s">
        <v>11</v>
      </c>
      <c r="H2689" s="6" t="s">
        <v>17</v>
      </c>
      <c r="I2689" s="6">
        <f>TabJogos[[#This Row],[PontosTime1]]-TabJogos[[#This Row],[PontosTime2]]</f>
        <v>-2</v>
      </c>
    </row>
    <row r="2690" spans="1:9" ht="15" customHeight="1" x14ac:dyDescent="0.25">
      <c r="A2690" s="7">
        <v>2689</v>
      </c>
      <c r="B2690" s="1">
        <v>43495</v>
      </c>
      <c r="C2690" s="6" t="s">
        <v>17</v>
      </c>
      <c r="D2690" s="6" t="s">
        <v>18</v>
      </c>
      <c r="E2690" s="6">
        <v>5</v>
      </c>
      <c r="F2690" s="6">
        <v>0</v>
      </c>
      <c r="G2690" s="6" t="s">
        <v>13</v>
      </c>
      <c r="H2690" s="6" t="s">
        <v>11</v>
      </c>
      <c r="I2690" s="6">
        <f>TabJogos[[#This Row],[PontosTime1]]-TabJogos[[#This Row],[PontosTime2]]</f>
        <v>5</v>
      </c>
    </row>
    <row r="2691" spans="1:9" ht="15" customHeight="1" x14ac:dyDescent="0.25">
      <c r="A2691" s="7">
        <v>2690</v>
      </c>
      <c r="B2691" s="1">
        <v>43495</v>
      </c>
      <c r="C2691" s="6" t="s">
        <v>17</v>
      </c>
      <c r="D2691" s="6" t="s">
        <v>32</v>
      </c>
      <c r="E2691" s="6">
        <v>3</v>
      </c>
      <c r="F2691" s="6">
        <v>5</v>
      </c>
      <c r="G2691" s="6" t="s">
        <v>18</v>
      </c>
      <c r="H2691" s="6" t="s">
        <v>10</v>
      </c>
      <c r="I2691" s="6">
        <f>TabJogos[[#This Row],[PontosTime1]]-TabJogos[[#This Row],[PontosTime2]]</f>
        <v>-2</v>
      </c>
    </row>
    <row r="2692" spans="1:9" ht="15" customHeight="1" x14ac:dyDescent="0.25">
      <c r="A2692" s="7">
        <v>2691</v>
      </c>
      <c r="B2692" s="1">
        <v>43495</v>
      </c>
      <c r="C2692" s="6" t="s">
        <v>27</v>
      </c>
      <c r="D2692" s="6" t="s">
        <v>18</v>
      </c>
      <c r="E2692" s="6">
        <v>4</v>
      </c>
      <c r="F2692" s="6">
        <v>5</v>
      </c>
      <c r="G2692" s="6" t="s">
        <v>10</v>
      </c>
      <c r="H2692" s="6" t="s">
        <v>13</v>
      </c>
      <c r="I2692" s="6">
        <f>TabJogos[[#This Row],[PontosTime1]]-TabJogos[[#This Row],[PontosTime2]]</f>
        <v>-1</v>
      </c>
    </row>
    <row r="2693" spans="1:9" ht="15" customHeight="1" x14ac:dyDescent="0.25">
      <c r="A2693" s="7">
        <v>2692</v>
      </c>
      <c r="B2693" s="1">
        <v>43495</v>
      </c>
      <c r="C2693" s="6" t="s">
        <v>17</v>
      </c>
      <c r="D2693" s="6" t="s">
        <v>13</v>
      </c>
      <c r="E2693" s="6">
        <v>6</v>
      </c>
      <c r="F2693" s="6">
        <v>1</v>
      </c>
      <c r="G2693" s="6" t="s">
        <v>10</v>
      </c>
      <c r="H2693" s="6" t="s">
        <v>11</v>
      </c>
      <c r="I2693" s="6">
        <f>TabJogos[[#This Row],[PontosTime1]]-TabJogos[[#This Row],[PontosTime2]]</f>
        <v>5</v>
      </c>
    </row>
    <row r="2694" spans="1:9" ht="15" customHeight="1" x14ac:dyDescent="0.25">
      <c r="A2694" s="7">
        <v>2693</v>
      </c>
      <c r="B2694" s="1">
        <v>43495</v>
      </c>
      <c r="C2694" s="6" t="s">
        <v>32</v>
      </c>
      <c r="D2694" s="6" t="s">
        <v>13</v>
      </c>
      <c r="E2694" s="6">
        <v>3</v>
      </c>
      <c r="F2694" s="6">
        <v>5</v>
      </c>
      <c r="G2694" s="6" t="s">
        <v>17</v>
      </c>
      <c r="H2694" s="6" t="s">
        <v>41</v>
      </c>
      <c r="I2694" s="6">
        <f>TabJogos[[#This Row],[PontosTime1]]-TabJogos[[#This Row],[PontosTime2]]</f>
        <v>-2</v>
      </c>
    </row>
    <row r="2695" spans="1:9" ht="15" customHeight="1" x14ac:dyDescent="0.25">
      <c r="A2695" s="7">
        <v>2694</v>
      </c>
      <c r="B2695" s="1">
        <v>43495</v>
      </c>
      <c r="C2695" s="6" t="s">
        <v>17</v>
      </c>
      <c r="D2695" s="6" t="s">
        <v>27</v>
      </c>
      <c r="E2695" s="6">
        <v>2</v>
      </c>
      <c r="F2695" s="6">
        <v>6</v>
      </c>
      <c r="G2695" s="6" t="s">
        <v>41</v>
      </c>
      <c r="H2695" s="6" t="s">
        <v>18</v>
      </c>
      <c r="I2695" s="6">
        <f>TabJogos[[#This Row],[PontosTime1]]-TabJogos[[#This Row],[PontosTime2]]</f>
        <v>-4</v>
      </c>
    </row>
    <row r="2696" spans="1:9" ht="15" customHeight="1" x14ac:dyDescent="0.25">
      <c r="A2696" s="7">
        <v>2695</v>
      </c>
      <c r="B2696" s="1">
        <v>43495</v>
      </c>
      <c r="C2696" s="6" t="s">
        <v>10</v>
      </c>
      <c r="D2696" s="6" t="s">
        <v>41</v>
      </c>
      <c r="E2696" s="6">
        <v>9</v>
      </c>
      <c r="F2696" s="6">
        <v>0</v>
      </c>
      <c r="G2696" s="6" t="s">
        <v>11</v>
      </c>
      <c r="H2696" s="6" t="s">
        <v>18</v>
      </c>
      <c r="I2696" s="6">
        <f>TabJogos[[#This Row],[PontosTime1]]-TabJogos[[#This Row],[PontosTime2]]</f>
        <v>9</v>
      </c>
    </row>
    <row r="2697" spans="1:9" ht="15" customHeight="1" x14ac:dyDescent="0.25">
      <c r="A2697" s="7">
        <v>2696</v>
      </c>
      <c r="B2697" s="1">
        <v>43495</v>
      </c>
      <c r="C2697" s="6" t="s">
        <v>41</v>
      </c>
      <c r="D2697" s="6" t="s">
        <v>27</v>
      </c>
      <c r="E2697" s="6">
        <v>1</v>
      </c>
      <c r="F2697" s="6">
        <v>5</v>
      </c>
      <c r="G2697" s="6" t="s">
        <v>17</v>
      </c>
      <c r="H2697" s="6" t="s">
        <v>13</v>
      </c>
      <c r="I2697" s="6">
        <f>TabJogos[[#This Row],[PontosTime1]]-TabJogos[[#This Row],[PontosTime2]]</f>
        <v>-4</v>
      </c>
    </row>
    <row r="2698" spans="1:9" ht="15" customHeight="1" x14ac:dyDescent="0.25">
      <c r="A2698" s="7">
        <v>2697</v>
      </c>
      <c r="B2698" s="1">
        <v>43495</v>
      </c>
      <c r="C2698" s="6" t="s">
        <v>11</v>
      </c>
      <c r="D2698" s="6" t="s">
        <v>17</v>
      </c>
      <c r="E2698" s="6">
        <v>5</v>
      </c>
      <c r="F2698" s="6">
        <v>2</v>
      </c>
      <c r="G2698" s="6" t="s">
        <v>13</v>
      </c>
      <c r="H2698" s="6" t="s">
        <v>18</v>
      </c>
      <c r="I2698" s="6">
        <f>TabJogos[[#This Row],[PontosTime1]]-TabJogos[[#This Row],[PontosTime2]]</f>
        <v>3</v>
      </c>
    </row>
    <row r="2699" spans="1:9" ht="15" customHeight="1" x14ac:dyDescent="0.25">
      <c r="A2699" s="7">
        <v>2698</v>
      </c>
      <c r="B2699" s="1">
        <v>43495</v>
      </c>
      <c r="C2699" s="6" t="s">
        <v>11</v>
      </c>
      <c r="D2699" s="6" t="s">
        <v>41</v>
      </c>
      <c r="E2699" s="6">
        <v>5</v>
      </c>
      <c r="F2699" s="6">
        <v>3</v>
      </c>
      <c r="G2699" s="6" t="s">
        <v>17</v>
      </c>
      <c r="H2699" s="6" t="s">
        <v>16</v>
      </c>
      <c r="I2699" s="6">
        <f>TabJogos[[#This Row],[PontosTime1]]-TabJogos[[#This Row],[PontosTime2]]</f>
        <v>2</v>
      </c>
    </row>
    <row r="2700" spans="1:9" ht="15" customHeight="1" x14ac:dyDescent="0.25">
      <c r="A2700" s="7">
        <v>2699</v>
      </c>
      <c r="B2700" s="1">
        <v>43495</v>
      </c>
      <c r="C2700" s="6" t="s">
        <v>9</v>
      </c>
      <c r="D2700" s="6" t="s">
        <v>18</v>
      </c>
      <c r="E2700" s="6">
        <v>5</v>
      </c>
      <c r="F2700" s="6">
        <v>2</v>
      </c>
      <c r="G2700" s="6" t="s">
        <v>13</v>
      </c>
      <c r="H2700" s="6" t="s">
        <v>11</v>
      </c>
      <c r="I2700" s="6">
        <f>TabJogos[[#This Row],[PontosTime1]]-TabJogos[[#This Row],[PontosTime2]]</f>
        <v>3</v>
      </c>
    </row>
    <row r="2701" spans="1:9" ht="15" customHeight="1" x14ac:dyDescent="0.25">
      <c r="A2701" s="7">
        <v>2700</v>
      </c>
      <c r="B2701" s="1">
        <v>43495</v>
      </c>
      <c r="C2701" s="6" t="s">
        <v>11</v>
      </c>
      <c r="D2701" s="6" t="s">
        <v>9</v>
      </c>
      <c r="E2701" s="6">
        <v>5</v>
      </c>
      <c r="F2701" s="6">
        <v>3</v>
      </c>
      <c r="G2701" s="6" t="s">
        <v>13</v>
      </c>
      <c r="H2701" s="6" t="s">
        <v>18</v>
      </c>
      <c r="I2701" s="6">
        <f>TabJogos[[#This Row],[PontosTime1]]-TabJogos[[#This Row],[PontosTime2]]</f>
        <v>2</v>
      </c>
    </row>
    <row r="2702" spans="1:9" ht="15" customHeight="1" x14ac:dyDescent="0.25">
      <c r="A2702" s="7">
        <v>2701</v>
      </c>
      <c r="B2702" s="1">
        <v>43495</v>
      </c>
      <c r="C2702" s="6" t="s">
        <v>9</v>
      </c>
      <c r="D2702" s="6" t="s">
        <v>13</v>
      </c>
      <c r="E2702" s="6">
        <v>5</v>
      </c>
      <c r="F2702" s="6">
        <v>2</v>
      </c>
      <c r="G2702" s="6" t="s">
        <v>11</v>
      </c>
      <c r="H2702" s="6" t="s">
        <v>18</v>
      </c>
      <c r="I2702" s="6">
        <f>TabJogos[[#This Row],[PontosTime1]]-TabJogos[[#This Row],[PontosTime2]]</f>
        <v>3</v>
      </c>
    </row>
    <row r="2703" spans="1:9" ht="15" customHeight="1" x14ac:dyDescent="0.25">
      <c r="A2703" s="7">
        <v>2702</v>
      </c>
      <c r="B2703" s="1">
        <v>43496</v>
      </c>
      <c r="C2703" s="6" t="s">
        <v>13</v>
      </c>
      <c r="D2703" s="6" t="s">
        <v>16</v>
      </c>
      <c r="E2703" s="6">
        <v>3</v>
      </c>
      <c r="F2703" s="6">
        <v>5</v>
      </c>
      <c r="G2703" s="6" t="s">
        <v>11</v>
      </c>
      <c r="H2703" s="6" t="s">
        <v>10</v>
      </c>
      <c r="I2703" s="6">
        <f>TabJogos[[#This Row],[PontosTime1]]-TabJogos[[#This Row],[PontosTime2]]</f>
        <v>-2</v>
      </c>
    </row>
    <row r="2704" spans="1:9" ht="15" customHeight="1" x14ac:dyDescent="0.25">
      <c r="A2704" s="7">
        <v>2703</v>
      </c>
      <c r="B2704" s="1">
        <v>43496</v>
      </c>
      <c r="C2704" s="6" t="s">
        <v>18</v>
      </c>
      <c r="D2704" s="6" t="s">
        <v>11</v>
      </c>
      <c r="E2704" s="6">
        <v>6</v>
      </c>
      <c r="F2704" s="6">
        <v>3</v>
      </c>
      <c r="G2704" s="6" t="s">
        <v>17</v>
      </c>
      <c r="H2704" s="6" t="s">
        <v>10</v>
      </c>
      <c r="I2704" s="6">
        <f>TabJogos[[#This Row],[PontosTime1]]-TabJogos[[#This Row],[PontosTime2]]</f>
        <v>3</v>
      </c>
    </row>
    <row r="2705" spans="1:9" ht="15" customHeight="1" x14ac:dyDescent="0.25">
      <c r="A2705" s="7">
        <v>2704</v>
      </c>
      <c r="B2705" s="1">
        <v>43496</v>
      </c>
      <c r="C2705" s="6" t="s">
        <v>18</v>
      </c>
      <c r="D2705" s="6" t="s">
        <v>16</v>
      </c>
      <c r="E2705" s="6">
        <v>5</v>
      </c>
      <c r="F2705" s="6">
        <v>2</v>
      </c>
      <c r="G2705" s="6" t="s">
        <v>41</v>
      </c>
      <c r="H2705" s="6" t="s">
        <v>11</v>
      </c>
      <c r="I2705" s="6">
        <f>TabJogos[[#This Row],[PontosTime1]]-TabJogos[[#This Row],[PontosTime2]]</f>
        <v>3</v>
      </c>
    </row>
    <row r="2706" spans="1:9" ht="15" customHeight="1" x14ac:dyDescent="0.25">
      <c r="A2706" s="7">
        <v>2705</v>
      </c>
      <c r="B2706" s="1">
        <v>43496</v>
      </c>
      <c r="C2706" s="6" t="s">
        <v>18</v>
      </c>
      <c r="D2706" s="6" t="s">
        <v>13</v>
      </c>
      <c r="E2706" s="6">
        <v>3</v>
      </c>
      <c r="F2706" s="6">
        <v>6</v>
      </c>
      <c r="G2706" s="6" t="s">
        <v>10</v>
      </c>
      <c r="H2706" s="6" t="s">
        <v>16</v>
      </c>
      <c r="I2706" s="6">
        <f>TabJogos[[#This Row],[PontosTime1]]-TabJogos[[#This Row],[PontosTime2]]</f>
        <v>-3</v>
      </c>
    </row>
    <row r="2707" spans="1:9" ht="15" customHeight="1" x14ac:dyDescent="0.25">
      <c r="A2707" s="7">
        <v>2706</v>
      </c>
      <c r="B2707" s="1">
        <v>43496</v>
      </c>
      <c r="C2707" s="6" t="s">
        <v>11</v>
      </c>
      <c r="D2707" s="6" t="s">
        <v>10</v>
      </c>
      <c r="E2707" s="6">
        <v>5</v>
      </c>
      <c r="F2707" s="6">
        <v>4</v>
      </c>
      <c r="G2707" s="6" t="s">
        <v>17</v>
      </c>
      <c r="H2707" s="6" t="s">
        <v>16</v>
      </c>
      <c r="I2707" s="6">
        <f>TabJogos[[#This Row],[PontosTime1]]-TabJogos[[#This Row],[PontosTime2]]</f>
        <v>1</v>
      </c>
    </row>
    <row r="2708" spans="1:9" ht="15" customHeight="1" x14ac:dyDescent="0.25">
      <c r="A2708" s="7">
        <v>2707</v>
      </c>
      <c r="B2708" s="1">
        <v>43496</v>
      </c>
      <c r="C2708" s="6" t="s">
        <v>41</v>
      </c>
      <c r="D2708" s="6" t="s">
        <v>16</v>
      </c>
      <c r="E2708" s="6">
        <v>0</v>
      </c>
      <c r="F2708" s="6">
        <v>8</v>
      </c>
      <c r="G2708" s="6" t="s">
        <v>17</v>
      </c>
      <c r="H2708" s="6" t="s">
        <v>13</v>
      </c>
      <c r="I2708" s="6">
        <f>TabJogos[[#This Row],[PontosTime1]]-TabJogos[[#This Row],[PontosTime2]]</f>
        <v>-8</v>
      </c>
    </row>
    <row r="2709" spans="1:9" ht="15" customHeight="1" x14ac:dyDescent="0.25">
      <c r="A2709" s="7">
        <v>2708</v>
      </c>
      <c r="B2709" s="1">
        <v>43496</v>
      </c>
      <c r="C2709" s="6" t="s">
        <v>17</v>
      </c>
      <c r="D2709" s="6" t="s">
        <v>18</v>
      </c>
      <c r="E2709" s="6">
        <v>5</v>
      </c>
      <c r="F2709" s="6">
        <v>1</v>
      </c>
      <c r="G2709" s="6" t="s">
        <v>13</v>
      </c>
      <c r="H2709" s="6" t="s">
        <v>11</v>
      </c>
      <c r="I2709" s="6">
        <f>TabJogos[[#This Row],[PontosTime1]]-TabJogos[[#This Row],[PontosTime2]]</f>
        <v>4</v>
      </c>
    </row>
    <row r="2710" spans="1:9" ht="15" customHeight="1" x14ac:dyDescent="0.25">
      <c r="A2710" s="7">
        <v>2709</v>
      </c>
      <c r="B2710" s="1">
        <v>43496</v>
      </c>
      <c r="C2710" s="6" t="s">
        <v>17</v>
      </c>
      <c r="D2710" s="6" t="s">
        <v>41</v>
      </c>
      <c r="E2710" s="6">
        <v>5</v>
      </c>
      <c r="F2710" s="6">
        <v>1</v>
      </c>
      <c r="G2710" s="6" t="s">
        <v>32</v>
      </c>
      <c r="H2710" s="6" t="s">
        <v>18</v>
      </c>
      <c r="I2710" s="6">
        <f>TabJogos[[#This Row],[PontosTime1]]-TabJogos[[#This Row],[PontosTime2]]</f>
        <v>4</v>
      </c>
    </row>
    <row r="2711" spans="1:9" ht="15" customHeight="1" x14ac:dyDescent="0.25">
      <c r="A2711" s="7">
        <v>2710</v>
      </c>
      <c r="B2711" s="1">
        <v>43496</v>
      </c>
      <c r="C2711" s="6" t="s">
        <v>41</v>
      </c>
      <c r="D2711" s="6" t="s">
        <v>13</v>
      </c>
      <c r="E2711" s="6">
        <v>7</v>
      </c>
      <c r="F2711" s="6">
        <v>0</v>
      </c>
      <c r="G2711" s="6" t="s">
        <v>17</v>
      </c>
      <c r="H2711" s="6" t="s">
        <v>11</v>
      </c>
      <c r="I2711" s="6">
        <f>TabJogos[[#This Row],[PontosTime1]]-TabJogos[[#This Row],[PontosTime2]]</f>
        <v>7</v>
      </c>
    </row>
    <row r="2712" spans="1:9" ht="15" customHeight="1" x14ac:dyDescent="0.25">
      <c r="A2712" s="7">
        <v>2711</v>
      </c>
      <c r="B2712" s="1">
        <v>43496</v>
      </c>
      <c r="C2712" s="6" t="s">
        <v>13</v>
      </c>
      <c r="D2712" s="6" t="s">
        <v>17</v>
      </c>
      <c r="E2712" s="6">
        <v>5</v>
      </c>
      <c r="F2712" s="6">
        <v>2</v>
      </c>
      <c r="G2712" s="6" t="s">
        <v>11</v>
      </c>
      <c r="H2712" s="6" t="s">
        <v>18</v>
      </c>
      <c r="I2712" s="6">
        <f>TabJogos[[#This Row],[PontosTime1]]-TabJogos[[#This Row],[PontosTime2]]</f>
        <v>3</v>
      </c>
    </row>
    <row r="2713" spans="1:9" ht="15" customHeight="1" x14ac:dyDescent="0.25">
      <c r="A2713" s="7">
        <v>2712</v>
      </c>
      <c r="B2713" s="1">
        <v>43497</v>
      </c>
      <c r="C2713" s="6" t="s">
        <v>17</v>
      </c>
      <c r="D2713" s="6" t="s">
        <v>18</v>
      </c>
      <c r="E2713" s="6">
        <v>5</v>
      </c>
      <c r="F2713" s="6">
        <v>1</v>
      </c>
      <c r="G2713" s="6" t="s">
        <v>16</v>
      </c>
      <c r="H2713" s="6" t="s">
        <v>11</v>
      </c>
      <c r="I2713" s="6">
        <f>TabJogos[[#This Row],[PontosTime1]]-TabJogos[[#This Row],[PontosTime2]]</f>
        <v>4</v>
      </c>
    </row>
    <row r="2714" spans="1:9" ht="15" customHeight="1" x14ac:dyDescent="0.25">
      <c r="A2714" s="7">
        <v>2713</v>
      </c>
      <c r="B2714" s="1">
        <v>43497</v>
      </c>
      <c r="C2714" s="6" t="s">
        <v>17</v>
      </c>
      <c r="D2714" s="6" t="s">
        <v>16</v>
      </c>
      <c r="E2714" s="6">
        <v>2</v>
      </c>
      <c r="F2714" s="6">
        <v>5</v>
      </c>
      <c r="G2714" s="6" t="s">
        <v>18</v>
      </c>
      <c r="H2714" s="6" t="s">
        <v>11</v>
      </c>
      <c r="I2714" s="6">
        <f>TabJogos[[#This Row],[PontosTime1]]-TabJogos[[#This Row],[PontosTime2]]</f>
        <v>-3</v>
      </c>
    </row>
    <row r="2715" spans="1:9" ht="15" customHeight="1" x14ac:dyDescent="0.25">
      <c r="A2715" s="7">
        <v>2714</v>
      </c>
      <c r="B2715" s="1">
        <v>43497</v>
      </c>
      <c r="C2715" s="6" t="s">
        <v>12</v>
      </c>
      <c r="D2715" s="6" t="s">
        <v>18</v>
      </c>
      <c r="E2715" s="6">
        <v>0</v>
      </c>
      <c r="F2715" s="6">
        <v>5</v>
      </c>
      <c r="G2715" s="6" t="s">
        <v>11</v>
      </c>
      <c r="H2715" s="6" t="s">
        <v>13</v>
      </c>
      <c r="I2715" s="6">
        <f>TabJogos[[#This Row],[PontosTime1]]-TabJogos[[#This Row],[PontosTime2]]</f>
        <v>-5</v>
      </c>
    </row>
    <row r="2716" spans="1:9" ht="15" customHeight="1" x14ac:dyDescent="0.25">
      <c r="A2716" s="7">
        <v>2715</v>
      </c>
      <c r="B2716" s="1">
        <v>43497</v>
      </c>
      <c r="C2716" s="6" t="s">
        <v>16</v>
      </c>
      <c r="D2716" s="6" t="s">
        <v>13</v>
      </c>
      <c r="E2716" s="6">
        <v>9</v>
      </c>
      <c r="F2716" s="6">
        <v>4</v>
      </c>
      <c r="G2716" s="6" t="s">
        <v>11</v>
      </c>
      <c r="H2716" s="6" t="s">
        <v>10</v>
      </c>
      <c r="I2716" s="6">
        <f>TabJogos[[#This Row],[PontosTime1]]-TabJogos[[#This Row],[PontosTime2]]</f>
        <v>5</v>
      </c>
    </row>
    <row r="2717" spans="1:9" ht="15" customHeight="1" x14ac:dyDescent="0.25">
      <c r="A2717" s="7">
        <v>2716</v>
      </c>
      <c r="B2717" s="1">
        <v>43497</v>
      </c>
      <c r="C2717" s="6" t="s">
        <v>17</v>
      </c>
      <c r="D2717" s="6" t="s">
        <v>13</v>
      </c>
      <c r="E2717" s="6">
        <v>5</v>
      </c>
      <c r="F2717" s="6">
        <v>2</v>
      </c>
      <c r="G2717" s="6" t="s">
        <v>16</v>
      </c>
      <c r="H2717" s="6" t="s">
        <v>18</v>
      </c>
      <c r="I2717" s="6">
        <f>TabJogos[[#This Row],[PontosTime1]]-TabJogos[[#This Row],[PontosTime2]]</f>
        <v>3</v>
      </c>
    </row>
    <row r="2718" spans="1:9" ht="15" customHeight="1" x14ac:dyDescent="0.25">
      <c r="A2718" s="7">
        <v>2717</v>
      </c>
      <c r="B2718" s="1">
        <v>43497</v>
      </c>
      <c r="C2718" s="6" t="s">
        <v>17</v>
      </c>
      <c r="D2718" s="6" t="s">
        <v>11</v>
      </c>
      <c r="E2718" s="6">
        <v>3</v>
      </c>
      <c r="F2718" s="6">
        <v>5</v>
      </c>
      <c r="G2718" s="6" t="s">
        <v>12</v>
      </c>
      <c r="H2718" s="6" t="s">
        <v>13</v>
      </c>
      <c r="I2718" s="6">
        <f>TabJogos[[#This Row],[PontosTime1]]-TabJogos[[#This Row],[PontosTime2]]</f>
        <v>-2</v>
      </c>
    </row>
    <row r="2719" spans="1:9" ht="15" customHeight="1" x14ac:dyDescent="0.25">
      <c r="A2719" s="7">
        <v>2718</v>
      </c>
      <c r="B2719" s="1">
        <v>43497</v>
      </c>
      <c r="C2719" s="6" t="s">
        <v>10</v>
      </c>
      <c r="D2719" s="6" t="s">
        <v>12</v>
      </c>
      <c r="E2719" s="6">
        <v>2</v>
      </c>
      <c r="F2719" s="6">
        <v>5</v>
      </c>
      <c r="G2719" s="6" t="s">
        <v>27</v>
      </c>
      <c r="H2719" s="6" t="s">
        <v>13</v>
      </c>
      <c r="I2719" s="6">
        <f>TabJogos[[#This Row],[PontosTime1]]-TabJogos[[#This Row],[PontosTime2]]</f>
        <v>-3</v>
      </c>
    </row>
    <row r="2720" spans="1:9" ht="15" customHeight="1" x14ac:dyDescent="0.25">
      <c r="A2720" s="7">
        <v>2719</v>
      </c>
      <c r="B2720" s="1">
        <v>43497</v>
      </c>
      <c r="C2720" s="6" t="s">
        <v>17</v>
      </c>
      <c r="D2720" s="6" t="s">
        <v>13</v>
      </c>
      <c r="E2720" s="6">
        <v>5</v>
      </c>
      <c r="F2720" s="6">
        <v>3</v>
      </c>
      <c r="G2720" s="6" t="s">
        <v>13</v>
      </c>
      <c r="H2720" s="6" t="s">
        <v>18</v>
      </c>
      <c r="I2720" s="6">
        <f>TabJogos[[#This Row],[PontosTime1]]-TabJogos[[#This Row],[PontosTime2]]</f>
        <v>2</v>
      </c>
    </row>
    <row r="2721" spans="1:9" ht="15" customHeight="1" x14ac:dyDescent="0.25">
      <c r="A2721" s="7">
        <v>2720</v>
      </c>
      <c r="B2721" s="1">
        <v>43497</v>
      </c>
      <c r="C2721" s="6" t="s">
        <v>17</v>
      </c>
      <c r="D2721" s="6" t="s">
        <v>10</v>
      </c>
      <c r="E2721" s="6">
        <v>5</v>
      </c>
      <c r="F2721" s="6">
        <v>2</v>
      </c>
      <c r="G2721" s="6" t="s">
        <v>11</v>
      </c>
      <c r="H2721" s="6" t="s">
        <v>27</v>
      </c>
      <c r="I2721" s="6">
        <f>TabJogos[[#This Row],[PontosTime1]]-TabJogos[[#This Row],[PontosTime2]]</f>
        <v>3</v>
      </c>
    </row>
    <row r="2722" spans="1:9" ht="15" customHeight="1" x14ac:dyDescent="0.25">
      <c r="A2722" s="7">
        <v>2721</v>
      </c>
      <c r="B2722" s="1">
        <v>43497</v>
      </c>
      <c r="C2722" s="6" t="s">
        <v>17</v>
      </c>
      <c r="D2722" s="6" t="s">
        <v>18</v>
      </c>
      <c r="E2722" s="6">
        <v>6</v>
      </c>
      <c r="F2722" s="6">
        <v>4</v>
      </c>
      <c r="G2722" s="6" t="s">
        <v>41</v>
      </c>
      <c r="H2722" s="6" t="s">
        <v>10</v>
      </c>
      <c r="I2722" s="6">
        <f>TabJogos[[#This Row],[PontosTime1]]-TabJogos[[#This Row],[PontosTime2]]</f>
        <v>2</v>
      </c>
    </row>
    <row r="2723" spans="1:9" ht="15" customHeight="1" x14ac:dyDescent="0.25">
      <c r="A2723" s="7">
        <v>2722</v>
      </c>
      <c r="B2723" s="1">
        <v>43500</v>
      </c>
      <c r="C2723" s="6" t="s">
        <v>10</v>
      </c>
      <c r="D2723" s="6" t="s">
        <v>18</v>
      </c>
      <c r="E2723" s="6">
        <v>3</v>
      </c>
      <c r="F2723" s="6">
        <v>5</v>
      </c>
      <c r="G2723" s="6" t="s">
        <v>11</v>
      </c>
      <c r="H2723" s="6" t="s">
        <v>17</v>
      </c>
      <c r="I2723" s="6">
        <f>TabJogos[[#This Row],[PontosTime1]]-TabJogos[[#This Row],[PontosTime2]]</f>
        <v>-2</v>
      </c>
    </row>
    <row r="2724" spans="1:9" ht="15" customHeight="1" x14ac:dyDescent="0.25">
      <c r="A2724" s="7">
        <v>2723</v>
      </c>
      <c r="B2724" s="1">
        <v>43500</v>
      </c>
      <c r="C2724" s="6" t="s">
        <v>17</v>
      </c>
      <c r="D2724" s="6" t="s">
        <v>16</v>
      </c>
      <c r="E2724" s="6">
        <v>5</v>
      </c>
      <c r="F2724" s="6">
        <v>3</v>
      </c>
      <c r="G2724" s="6" t="s">
        <v>11</v>
      </c>
      <c r="H2724" s="6" t="s">
        <v>13</v>
      </c>
      <c r="I2724" s="6">
        <f>TabJogos[[#This Row],[PontosTime1]]-TabJogos[[#This Row],[PontosTime2]]</f>
        <v>2</v>
      </c>
    </row>
    <row r="2725" spans="1:9" ht="15" customHeight="1" x14ac:dyDescent="0.25">
      <c r="A2725" s="7">
        <v>2724</v>
      </c>
      <c r="B2725" s="1">
        <v>43500</v>
      </c>
      <c r="C2725" s="6" t="s">
        <v>17</v>
      </c>
      <c r="D2725" s="6" t="s">
        <v>18</v>
      </c>
      <c r="E2725" s="6">
        <v>6</v>
      </c>
      <c r="F2725" s="6">
        <v>0</v>
      </c>
      <c r="G2725" s="6" t="s">
        <v>16</v>
      </c>
      <c r="H2725" s="6" t="s">
        <v>10</v>
      </c>
      <c r="I2725" s="6">
        <f>TabJogos[[#This Row],[PontosTime1]]-TabJogos[[#This Row],[PontosTime2]]</f>
        <v>6</v>
      </c>
    </row>
    <row r="2726" spans="1:9" ht="15" customHeight="1" x14ac:dyDescent="0.25">
      <c r="A2726" s="7">
        <v>2725</v>
      </c>
      <c r="B2726" s="1">
        <v>43500</v>
      </c>
      <c r="C2726" s="6" t="s">
        <v>18</v>
      </c>
      <c r="D2726" s="6" t="s">
        <v>11</v>
      </c>
      <c r="E2726" s="6">
        <v>5</v>
      </c>
      <c r="F2726" s="6">
        <v>2</v>
      </c>
      <c r="G2726" s="6" t="s">
        <v>13</v>
      </c>
      <c r="H2726" s="6" t="s">
        <v>17</v>
      </c>
      <c r="I2726" s="6">
        <f>TabJogos[[#This Row],[PontosTime1]]-TabJogos[[#This Row],[PontosTime2]]</f>
        <v>3</v>
      </c>
    </row>
    <row r="2727" spans="1:9" ht="15" customHeight="1" x14ac:dyDescent="0.25">
      <c r="A2727" s="7">
        <v>2726</v>
      </c>
      <c r="B2727" s="1">
        <v>43500</v>
      </c>
      <c r="C2727" s="6" t="s">
        <v>18</v>
      </c>
      <c r="D2727" s="6" t="s">
        <v>13</v>
      </c>
      <c r="E2727" s="6">
        <v>6</v>
      </c>
      <c r="F2727" s="6">
        <v>4</v>
      </c>
      <c r="G2727" s="6" t="s">
        <v>10</v>
      </c>
      <c r="H2727" s="6" t="s">
        <v>11</v>
      </c>
      <c r="I2727" s="6">
        <f>TabJogos[[#This Row],[PontosTime1]]-TabJogos[[#This Row],[PontosTime2]]</f>
        <v>2</v>
      </c>
    </row>
    <row r="2728" spans="1:9" ht="15" customHeight="1" x14ac:dyDescent="0.25">
      <c r="A2728" s="7">
        <v>2727</v>
      </c>
      <c r="B2728" s="1">
        <v>43500</v>
      </c>
      <c r="C2728" s="6" t="s">
        <v>11</v>
      </c>
      <c r="D2728" s="6" t="s">
        <v>13</v>
      </c>
      <c r="E2728" s="6">
        <v>0</v>
      </c>
      <c r="F2728" s="6">
        <v>5</v>
      </c>
      <c r="G2728" s="6" t="s">
        <v>17</v>
      </c>
      <c r="H2728" s="6" t="s">
        <v>18</v>
      </c>
      <c r="I2728" s="6">
        <f>TabJogos[[#This Row],[PontosTime1]]-TabJogos[[#This Row],[PontosTime2]]</f>
        <v>-5</v>
      </c>
    </row>
    <row r="2729" spans="1:9" ht="15" customHeight="1" x14ac:dyDescent="0.25">
      <c r="A2729" s="7">
        <v>2728</v>
      </c>
      <c r="B2729" s="1">
        <v>43500</v>
      </c>
      <c r="C2729" s="6" t="s">
        <v>17</v>
      </c>
      <c r="D2729" s="6" t="s">
        <v>13</v>
      </c>
      <c r="E2729" s="6">
        <v>0</v>
      </c>
      <c r="F2729" s="6">
        <v>5</v>
      </c>
      <c r="G2729" s="6" t="s">
        <v>11</v>
      </c>
      <c r="H2729" s="6" t="s">
        <v>18</v>
      </c>
      <c r="I2729" s="6">
        <f>TabJogos[[#This Row],[PontosTime1]]-TabJogos[[#This Row],[PontosTime2]]</f>
        <v>-5</v>
      </c>
    </row>
    <row r="2730" spans="1:9" ht="15" customHeight="1" x14ac:dyDescent="0.25">
      <c r="A2730" s="7">
        <v>2729</v>
      </c>
      <c r="B2730" s="1">
        <v>43500</v>
      </c>
      <c r="C2730" s="6" t="s">
        <v>13</v>
      </c>
      <c r="D2730" s="6" t="s">
        <v>18</v>
      </c>
      <c r="E2730" s="6">
        <v>9</v>
      </c>
      <c r="F2730" s="6">
        <v>4</v>
      </c>
      <c r="G2730" s="6" t="s">
        <v>17</v>
      </c>
      <c r="H2730" s="6" t="s">
        <v>11</v>
      </c>
      <c r="I2730" s="6">
        <f>TabJogos[[#This Row],[PontosTime1]]-TabJogos[[#This Row],[PontosTime2]]</f>
        <v>5</v>
      </c>
    </row>
    <row r="2731" spans="1:9" ht="15" customHeight="1" x14ac:dyDescent="0.25">
      <c r="A2731" s="7">
        <v>2730</v>
      </c>
      <c r="B2731" s="1">
        <v>43500</v>
      </c>
      <c r="C2731" s="6" t="s">
        <v>41</v>
      </c>
      <c r="D2731" s="6" t="s">
        <v>18</v>
      </c>
      <c r="E2731" s="6">
        <v>6</v>
      </c>
      <c r="F2731" s="6">
        <v>2</v>
      </c>
      <c r="G2731" s="6" t="s">
        <v>13</v>
      </c>
      <c r="H2731" s="6" t="s">
        <v>27</v>
      </c>
      <c r="I2731" s="6">
        <f>TabJogos[[#This Row],[PontosTime1]]-TabJogos[[#This Row],[PontosTime2]]</f>
        <v>4</v>
      </c>
    </row>
    <row r="2732" spans="1:9" ht="15" customHeight="1" x14ac:dyDescent="0.25">
      <c r="A2732" s="7">
        <v>2731</v>
      </c>
      <c r="B2732" s="1">
        <v>43500</v>
      </c>
      <c r="C2732" s="6" t="s">
        <v>18</v>
      </c>
      <c r="D2732" s="6" t="s">
        <v>11</v>
      </c>
      <c r="E2732" s="6">
        <v>5</v>
      </c>
      <c r="F2732" s="6">
        <v>2</v>
      </c>
      <c r="G2732" s="6" t="s">
        <v>41</v>
      </c>
      <c r="H2732" s="6" t="s">
        <v>13</v>
      </c>
      <c r="I2732" s="6">
        <f>TabJogos[[#This Row],[PontosTime1]]-TabJogos[[#This Row],[PontosTime2]]</f>
        <v>3</v>
      </c>
    </row>
    <row r="2733" spans="1:9" ht="15" customHeight="1" x14ac:dyDescent="0.25">
      <c r="A2733" s="7">
        <v>2732</v>
      </c>
      <c r="B2733" s="1">
        <v>43500</v>
      </c>
      <c r="C2733" s="6" t="s">
        <v>41</v>
      </c>
      <c r="D2733" s="6" t="s">
        <v>11</v>
      </c>
      <c r="E2733" s="6">
        <v>5</v>
      </c>
      <c r="F2733" s="6">
        <v>2</v>
      </c>
      <c r="G2733" s="6" t="s">
        <v>13</v>
      </c>
      <c r="H2733" s="6" t="s">
        <v>18</v>
      </c>
      <c r="I2733" s="6">
        <f>TabJogos[[#This Row],[PontosTime1]]-TabJogos[[#This Row],[PontosTime2]]</f>
        <v>3</v>
      </c>
    </row>
    <row r="2734" spans="1:9" ht="15" customHeight="1" x14ac:dyDescent="0.25">
      <c r="A2734" s="7">
        <v>2733</v>
      </c>
      <c r="B2734" s="1">
        <v>43501</v>
      </c>
      <c r="C2734" s="6" t="s">
        <v>41</v>
      </c>
      <c r="D2734" s="6" t="s">
        <v>10</v>
      </c>
      <c r="E2734" s="6">
        <v>6</v>
      </c>
      <c r="F2734" s="6">
        <v>2</v>
      </c>
      <c r="G2734" s="6" t="s">
        <v>17</v>
      </c>
      <c r="H2734" s="6" t="s">
        <v>13</v>
      </c>
      <c r="I2734" s="6">
        <f>TabJogos[[#This Row],[PontosTime1]]-TabJogos[[#This Row],[PontosTime2]]</f>
        <v>4</v>
      </c>
    </row>
    <row r="2735" spans="1:9" ht="15" customHeight="1" x14ac:dyDescent="0.25">
      <c r="A2735" s="7">
        <v>2734</v>
      </c>
      <c r="B2735" s="1">
        <v>43501</v>
      </c>
      <c r="C2735" s="6" t="s">
        <v>41</v>
      </c>
      <c r="D2735" s="6" t="s">
        <v>13</v>
      </c>
      <c r="E2735" s="6">
        <v>2</v>
      </c>
      <c r="F2735" s="6">
        <v>5</v>
      </c>
      <c r="G2735" s="6" t="s">
        <v>10</v>
      </c>
      <c r="H2735" s="6" t="s">
        <v>17</v>
      </c>
      <c r="I2735" s="6">
        <f>TabJogos[[#This Row],[PontosTime1]]-TabJogos[[#This Row],[PontosTime2]]</f>
        <v>-3</v>
      </c>
    </row>
    <row r="2736" spans="1:9" ht="15" customHeight="1" x14ac:dyDescent="0.25">
      <c r="A2736" s="7">
        <v>2735</v>
      </c>
      <c r="B2736" s="1">
        <v>43501</v>
      </c>
      <c r="C2736" s="6" t="s">
        <v>41</v>
      </c>
      <c r="D2736" s="6" t="s">
        <v>17</v>
      </c>
      <c r="E2736" s="6">
        <v>3</v>
      </c>
      <c r="F2736" s="6">
        <v>5</v>
      </c>
      <c r="G2736" s="6" t="s">
        <v>10</v>
      </c>
      <c r="H2736" s="6" t="s">
        <v>27</v>
      </c>
      <c r="I2736" s="6">
        <f>TabJogos[[#This Row],[PontosTime1]]-TabJogos[[#This Row],[PontosTime2]]</f>
        <v>-2</v>
      </c>
    </row>
    <row r="2737" spans="1:9" ht="15" customHeight="1" x14ac:dyDescent="0.25">
      <c r="A2737" s="7">
        <v>2736</v>
      </c>
      <c r="B2737" s="1">
        <v>43501</v>
      </c>
      <c r="C2737" s="6" t="s">
        <v>13</v>
      </c>
      <c r="D2737" s="6" t="s">
        <v>27</v>
      </c>
      <c r="E2737" s="6">
        <v>0</v>
      </c>
      <c r="F2737" s="6">
        <v>5</v>
      </c>
      <c r="G2737" s="6" t="s">
        <v>10</v>
      </c>
      <c r="H2737" s="6" t="s">
        <v>11</v>
      </c>
      <c r="I2737" s="6">
        <f>TabJogos[[#This Row],[PontosTime1]]-TabJogos[[#This Row],[PontosTime2]]</f>
        <v>-5</v>
      </c>
    </row>
    <row r="2738" spans="1:9" ht="15" customHeight="1" x14ac:dyDescent="0.25">
      <c r="A2738" s="7">
        <v>2737</v>
      </c>
      <c r="B2738" s="1">
        <v>43501</v>
      </c>
      <c r="C2738" s="6" t="s">
        <v>41</v>
      </c>
      <c r="D2738" s="6" t="s">
        <v>11</v>
      </c>
      <c r="E2738" s="6">
        <v>2</v>
      </c>
      <c r="F2738" s="6">
        <v>5</v>
      </c>
      <c r="G2738" s="6" t="s">
        <v>17</v>
      </c>
      <c r="H2738" s="6" t="s">
        <v>10</v>
      </c>
      <c r="I2738" s="6">
        <f>TabJogos[[#This Row],[PontosTime1]]-TabJogos[[#This Row],[PontosTime2]]</f>
        <v>-3</v>
      </c>
    </row>
    <row r="2739" spans="1:9" ht="15" customHeight="1" x14ac:dyDescent="0.25">
      <c r="A2739" s="7">
        <v>2738</v>
      </c>
      <c r="B2739" s="1">
        <v>43501</v>
      </c>
      <c r="C2739" s="6" t="s">
        <v>18</v>
      </c>
      <c r="D2739" s="6" t="s">
        <v>17</v>
      </c>
      <c r="E2739" s="6">
        <v>5</v>
      </c>
      <c r="F2739" s="6">
        <v>2</v>
      </c>
      <c r="G2739" s="6" t="s">
        <v>10</v>
      </c>
      <c r="H2739" s="6" t="s">
        <v>13</v>
      </c>
      <c r="I2739" s="6">
        <f>TabJogos[[#This Row],[PontosTime1]]-TabJogos[[#This Row],[PontosTime2]]</f>
        <v>3</v>
      </c>
    </row>
    <row r="2740" spans="1:9" ht="15" customHeight="1" x14ac:dyDescent="0.25">
      <c r="A2740" s="7">
        <v>2739</v>
      </c>
      <c r="B2740" s="1">
        <v>43501</v>
      </c>
      <c r="C2740" s="6" t="s">
        <v>17</v>
      </c>
      <c r="D2740" s="6" t="s">
        <v>16</v>
      </c>
      <c r="E2740" s="6">
        <v>7</v>
      </c>
      <c r="F2740" s="6">
        <v>0</v>
      </c>
      <c r="G2740" s="6" t="s">
        <v>41</v>
      </c>
      <c r="H2740" s="6" t="s">
        <v>18</v>
      </c>
      <c r="I2740" s="6">
        <f>TabJogos[[#This Row],[PontosTime1]]-TabJogos[[#This Row],[PontosTime2]]</f>
        <v>7</v>
      </c>
    </row>
    <row r="2741" spans="1:9" ht="15" customHeight="1" x14ac:dyDescent="0.25">
      <c r="A2741" s="7">
        <v>2740</v>
      </c>
      <c r="B2741" s="1">
        <v>43501</v>
      </c>
      <c r="C2741" s="6" t="s">
        <v>13</v>
      </c>
      <c r="D2741" s="6" t="s">
        <v>16</v>
      </c>
      <c r="E2741" s="6">
        <v>3</v>
      </c>
      <c r="F2741" s="6">
        <v>6</v>
      </c>
      <c r="G2741" s="6" t="s">
        <v>11</v>
      </c>
      <c r="H2741" s="6" t="s">
        <v>17</v>
      </c>
      <c r="I2741" s="6">
        <f>TabJogos[[#This Row],[PontosTime1]]-TabJogos[[#This Row],[PontosTime2]]</f>
        <v>-3</v>
      </c>
    </row>
    <row r="2742" spans="1:9" ht="15" customHeight="1" x14ac:dyDescent="0.25">
      <c r="A2742" s="7">
        <v>2741</v>
      </c>
      <c r="B2742" s="1">
        <v>43501</v>
      </c>
      <c r="C2742" s="6" t="s">
        <v>41</v>
      </c>
      <c r="D2742" s="6" t="s">
        <v>17</v>
      </c>
      <c r="E2742" s="6">
        <v>1</v>
      </c>
      <c r="F2742" s="6">
        <v>6</v>
      </c>
      <c r="G2742" s="6" t="s">
        <v>11</v>
      </c>
      <c r="H2742" s="6" t="s">
        <v>18</v>
      </c>
      <c r="I2742" s="6">
        <f>TabJogos[[#This Row],[PontosTime1]]-TabJogos[[#This Row],[PontosTime2]]</f>
        <v>-5</v>
      </c>
    </row>
    <row r="2743" spans="1:9" ht="15" customHeight="1" x14ac:dyDescent="0.25">
      <c r="A2743" s="7">
        <v>2742</v>
      </c>
      <c r="B2743" s="1">
        <v>43501</v>
      </c>
      <c r="C2743" s="6" t="s">
        <v>13</v>
      </c>
      <c r="D2743" s="6" t="s">
        <v>18</v>
      </c>
      <c r="E2743" s="6">
        <v>5</v>
      </c>
      <c r="F2743" s="6">
        <v>4</v>
      </c>
      <c r="G2743" s="6" t="s">
        <v>17</v>
      </c>
      <c r="H2743" s="6" t="s">
        <v>11</v>
      </c>
      <c r="I2743" s="6">
        <f>TabJogos[[#This Row],[PontosTime1]]-TabJogos[[#This Row],[PontosTime2]]</f>
        <v>1</v>
      </c>
    </row>
    <row r="2744" spans="1:9" ht="15" customHeight="1" x14ac:dyDescent="0.25">
      <c r="A2744" s="7">
        <v>2743</v>
      </c>
      <c r="B2744" s="1">
        <v>43502</v>
      </c>
      <c r="C2744" s="6" t="s">
        <v>10</v>
      </c>
      <c r="D2744" s="6" t="s">
        <v>11</v>
      </c>
      <c r="E2744" s="6">
        <v>5</v>
      </c>
      <c r="F2744" s="6">
        <v>3</v>
      </c>
      <c r="G2744" s="6" t="s">
        <v>17</v>
      </c>
      <c r="H2744" s="6" t="s">
        <v>13</v>
      </c>
      <c r="I2744" s="6">
        <f>TabJogos[[#This Row],[PontosTime1]]-TabJogos[[#This Row],[PontosTime2]]</f>
        <v>2</v>
      </c>
    </row>
    <row r="2745" spans="1:9" ht="15" customHeight="1" x14ac:dyDescent="0.25">
      <c r="A2745" s="7">
        <v>2744</v>
      </c>
      <c r="B2745" s="1">
        <v>43502</v>
      </c>
      <c r="C2745" s="6" t="s">
        <v>10</v>
      </c>
      <c r="D2745" s="6" t="s">
        <v>16</v>
      </c>
      <c r="E2745" s="6">
        <v>5</v>
      </c>
      <c r="F2745" s="6">
        <v>4</v>
      </c>
      <c r="G2745" s="6" t="s">
        <v>11</v>
      </c>
      <c r="H2745" s="6" t="s">
        <v>18</v>
      </c>
      <c r="I2745" s="6">
        <f>TabJogos[[#This Row],[PontosTime1]]-TabJogos[[#This Row],[PontosTime2]]</f>
        <v>1</v>
      </c>
    </row>
    <row r="2746" spans="1:9" ht="15" customHeight="1" x14ac:dyDescent="0.25">
      <c r="A2746" s="7">
        <v>2745</v>
      </c>
      <c r="B2746" s="1">
        <v>43502</v>
      </c>
      <c r="C2746" s="6" t="s">
        <v>10</v>
      </c>
      <c r="D2746" s="6" t="s">
        <v>13</v>
      </c>
      <c r="E2746" s="6">
        <v>5</v>
      </c>
      <c r="F2746" s="6">
        <v>4</v>
      </c>
      <c r="G2746" s="6" t="s">
        <v>16</v>
      </c>
      <c r="H2746" s="6" t="s">
        <v>17</v>
      </c>
      <c r="I2746" s="6">
        <f>TabJogos[[#This Row],[PontosTime1]]-TabJogos[[#This Row],[PontosTime2]]</f>
        <v>1</v>
      </c>
    </row>
    <row r="2747" spans="1:9" ht="15" customHeight="1" x14ac:dyDescent="0.25">
      <c r="A2747" s="7">
        <v>2746</v>
      </c>
      <c r="B2747" s="1">
        <v>43502</v>
      </c>
      <c r="C2747" s="6" t="s">
        <v>10</v>
      </c>
      <c r="D2747" s="6" t="s">
        <v>18</v>
      </c>
      <c r="E2747" s="6">
        <v>1</v>
      </c>
      <c r="F2747" s="6">
        <v>5</v>
      </c>
      <c r="G2747" s="6" t="s">
        <v>11</v>
      </c>
      <c r="H2747" s="6" t="s">
        <v>13</v>
      </c>
      <c r="I2747" s="6">
        <f>TabJogos[[#This Row],[PontosTime1]]-TabJogos[[#This Row],[PontosTime2]]</f>
        <v>-4</v>
      </c>
    </row>
    <row r="2748" spans="1:9" ht="15" customHeight="1" x14ac:dyDescent="0.25">
      <c r="A2748" s="7">
        <v>2747</v>
      </c>
      <c r="B2748" s="1">
        <v>43502</v>
      </c>
      <c r="C2748" s="6" t="s">
        <v>13</v>
      </c>
      <c r="D2748" s="6" t="s">
        <v>27</v>
      </c>
      <c r="E2748" s="6">
        <v>5</v>
      </c>
      <c r="F2748" s="6">
        <v>1</v>
      </c>
      <c r="G2748" s="6" t="s">
        <v>11</v>
      </c>
      <c r="H2748" s="6" t="s">
        <v>17</v>
      </c>
      <c r="I2748" s="6">
        <f>TabJogos[[#This Row],[PontosTime1]]-TabJogos[[#This Row],[PontosTime2]]</f>
        <v>4</v>
      </c>
    </row>
    <row r="2749" spans="1:9" ht="15" customHeight="1" x14ac:dyDescent="0.25">
      <c r="A2749" s="7">
        <v>2748</v>
      </c>
      <c r="B2749" s="1">
        <v>43502</v>
      </c>
      <c r="C2749" s="6" t="s">
        <v>13</v>
      </c>
      <c r="D2749" s="6" t="s">
        <v>18</v>
      </c>
      <c r="E2749" s="6">
        <v>5</v>
      </c>
      <c r="F2749" s="6">
        <v>1</v>
      </c>
      <c r="G2749" s="6" t="s">
        <v>27</v>
      </c>
      <c r="H2749" s="6" t="s">
        <v>10</v>
      </c>
      <c r="I2749" s="6">
        <f>TabJogos[[#This Row],[PontosTime1]]-TabJogos[[#This Row],[PontosTime2]]</f>
        <v>4</v>
      </c>
    </row>
    <row r="2750" spans="1:9" ht="15" customHeight="1" x14ac:dyDescent="0.25">
      <c r="A2750" s="7">
        <v>2749</v>
      </c>
      <c r="B2750" s="1">
        <v>43502</v>
      </c>
      <c r="C2750" s="6" t="s">
        <v>13</v>
      </c>
      <c r="D2750" s="6" t="s">
        <v>11</v>
      </c>
      <c r="E2750" s="6">
        <v>0</v>
      </c>
      <c r="F2750" s="6">
        <v>5</v>
      </c>
      <c r="G2750" s="6" t="s">
        <v>18</v>
      </c>
      <c r="H2750" s="6" t="s">
        <v>17</v>
      </c>
      <c r="I2750" s="6">
        <f>TabJogos[[#This Row],[PontosTime1]]-TabJogos[[#This Row],[PontosTime2]]</f>
        <v>-5</v>
      </c>
    </row>
    <row r="2751" spans="1:9" ht="15" customHeight="1" x14ac:dyDescent="0.25">
      <c r="A2751" s="7">
        <v>2750</v>
      </c>
      <c r="B2751" s="1">
        <v>43502</v>
      </c>
      <c r="C2751" s="6" t="s">
        <v>27</v>
      </c>
      <c r="D2751" s="6" t="s">
        <v>18</v>
      </c>
      <c r="E2751" s="6">
        <v>4</v>
      </c>
      <c r="F2751" s="6">
        <v>7</v>
      </c>
      <c r="G2751" s="6" t="s">
        <v>13</v>
      </c>
      <c r="H2751" s="6" t="s">
        <v>17</v>
      </c>
      <c r="I2751" s="6">
        <f>TabJogos[[#This Row],[PontosTime1]]-TabJogos[[#This Row],[PontosTime2]]</f>
        <v>-3</v>
      </c>
    </row>
    <row r="2752" spans="1:9" ht="15" customHeight="1" x14ac:dyDescent="0.25">
      <c r="A2752" s="7">
        <v>2751</v>
      </c>
      <c r="B2752" s="1">
        <v>43502</v>
      </c>
      <c r="C2752" s="6" t="s">
        <v>13</v>
      </c>
      <c r="D2752" s="6" t="s">
        <v>18</v>
      </c>
      <c r="E2752" s="6">
        <v>4</v>
      </c>
      <c r="F2752" s="6">
        <v>5</v>
      </c>
      <c r="G2752" s="6" t="s">
        <v>17</v>
      </c>
      <c r="H2752" s="6" t="s">
        <v>11</v>
      </c>
      <c r="I2752" s="6">
        <f>TabJogos[[#This Row],[PontosTime1]]-TabJogos[[#This Row],[PontosTime2]]</f>
        <v>-1</v>
      </c>
    </row>
    <row r="2753" spans="1:9" ht="15" customHeight="1" x14ac:dyDescent="0.25">
      <c r="A2753" s="7">
        <v>2752</v>
      </c>
      <c r="B2753" s="1">
        <v>43502</v>
      </c>
      <c r="C2753" s="6" t="s">
        <v>17</v>
      </c>
      <c r="D2753" s="6" t="s">
        <v>13</v>
      </c>
      <c r="E2753" s="6">
        <v>2</v>
      </c>
      <c r="F2753" s="6">
        <v>5</v>
      </c>
      <c r="G2753" s="6" t="s">
        <v>11</v>
      </c>
      <c r="H2753" s="6" t="s">
        <v>18</v>
      </c>
      <c r="I2753" s="6">
        <f>TabJogos[[#This Row],[PontosTime1]]-TabJogos[[#This Row],[PontosTime2]]</f>
        <v>-3</v>
      </c>
    </row>
    <row r="2754" spans="1:9" ht="15" customHeight="1" x14ac:dyDescent="0.25">
      <c r="A2754" s="7">
        <v>2753</v>
      </c>
      <c r="B2754" s="1">
        <v>43502</v>
      </c>
      <c r="C2754" s="6" t="s">
        <v>41</v>
      </c>
      <c r="D2754" s="6" t="s">
        <v>18</v>
      </c>
      <c r="E2754" s="6">
        <v>8</v>
      </c>
      <c r="F2754" s="6">
        <v>4</v>
      </c>
      <c r="G2754" s="6" t="s">
        <v>11</v>
      </c>
      <c r="H2754" s="6" t="s">
        <v>13</v>
      </c>
      <c r="I2754" s="6">
        <f>TabJogos[[#This Row],[PontosTime1]]-TabJogos[[#This Row],[PontosTime2]]</f>
        <v>4</v>
      </c>
    </row>
    <row r="2755" spans="1:9" ht="15" customHeight="1" x14ac:dyDescent="0.25">
      <c r="A2755" s="7">
        <v>2754</v>
      </c>
      <c r="B2755" s="1">
        <v>43502</v>
      </c>
      <c r="C2755" s="6" t="s">
        <v>11</v>
      </c>
      <c r="D2755" s="6" t="s">
        <v>41</v>
      </c>
      <c r="E2755" s="6">
        <v>5</v>
      </c>
      <c r="F2755" s="6">
        <v>2</v>
      </c>
      <c r="G2755" s="6" t="s">
        <v>18</v>
      </c>
      <c r="H2755" s="6" t="s">
        <v>13</v>
      </c>
      <c r="I2755" s="6">
        <f>TabJogos[[#This Row],[PontosTime1]]-TabJogos[[#This Row],[PontosTime2]]</f>
        <v>3</v>
      </c>
    </row>
    <row r="2756" spans="1:9" ht="15" customHeight="1" x14ac:dyDescent="0.25">
      <c r="A2756" s="7">
        <v>2755</v>
      </c>
      <c r="B2756" s="1">
        <v>43503</v>
      </c>
      <c r="C2756" s="6" t="s">
        <v>28</v>
      </c>
      <c r="D2756" s="6" t="s">
        <v>41</v>
      </c>
      <c r="E2756" s="6">
        <v>1</v>
      </c>
      <c r="F2756" s="6">
        <v>5</v>
      </c>
      <c r="G2756" s="6" t="s">
        <v>13</v>
      </c>
      <c r="H2756" s="6" t="s">
        <v>16</v>
      </c>
      <c r="I2756" s="6">
        <f>TabJogos[[#This Row],[PontosTime1]]-TabJogos[[#This Row],[PontosTime2]]</f>
        <v>-4</v>
      </c>
    </row>
    <row r="2757" spans="1:9" ht="15" customHeight="1" x14ac:dyDescent="0.25">
      <c r="A2757" s="7">
        <v>2756</v>
      </c>
      <c r="B2757" s="1">
        <v>43503</v>
      </c>
      <c r="C2757" s="6" t="s">
        <v>57</v>
      </c>
      <c r="D2757" s="6" t="s">
        <v>13</v>
      </c>
      <c r="E2757" s="6">
        <v>3</v>
      </c>
      <c r="F2757" s="6">
        <v>5</v>
      </c>
      <c r="G2757" s="6" t="s">
        <v>10</v>
      </c>
      <c r="H2757" s="6" t="s">
        <v>16</v>
      </c>
      <c r="I2757" s="6">
        <f>TabJogos[[#This Row],[PontosTime1]]-TabJogos[[#This Row],[PontosTime2]]</f>
        <v>-2</v>
      </c>
    </row>
    <row r="2758" spans="1:9" ht="15" customHeight="1" x14ac:dyDescent="0.25">
      <c r="A2758" s="7">
        <v>2757</v>
      </c>
      <c r="B2758" s="1">
        <v>43503</v>
      </c>
      <c r="C2758" s="6" t="s">
        <v>41</v>
      </c>
      <c r="D2758" s="6" t="s">
        <v>10</v>
      </c>
      <c r="E2758" s="6">
        <v>5</v>
      </c>
      <c r="F2758" s="6">
        <v>4</v>
      </c>
      <c r="G2758" s="6" t="s">
        <v>17</v>
      </c>
      <c r="H2758" s="6" t="s">
        <v>16</v>
      </c>
      <c r="I2758" s="6">
        <f>TabJogos[[#This Row],[PontosTime1]]-TabJogos[[#This Row],[PontosTime2]]</f>
        <v>1</v>
      </c>
    </row>
    <row r="2759" spans="1:9" ht="15" customHeight="1" x14ac:dyDescent="0.25">
      <c r="A2759" s="7">
        <v>2758</v>
      </c>
      <c r="B2759" s="1">
        <v>43503</v>
      </c>
      <c r="C2759" s="6" t="s">
        <v>18</v>
      </c>
      <c r="D2759" s="6" t="s">
        <v>41</v>
      </c>
      <c r="E2759" s="6">
        <v>5</v>
      </c>
      <c r="F2759" s="6">
        <v>3</v>
      </c>
      <c r="G2759" s="6" t="s">
        <v>13</v>
      </c>
      <c r="H2759" s="6" t="s">
        <v>10</v>
      </c>
      <c r="I2759" s="6">
        <f>TabJogos[[#This Row],[PontosTime1]]-TabJogos[[#This Row],[PontosTime2]]</f>
        <v>2</v>
      </c>
    </row>
    <row r="2760" spans="1:9" ht="15" customHeight="1" x14ac:dyDescent="0.25">
      <c r="A2760" s="7">
        <v>2759</v>
      </c>
      <c r="B2760" s="1">
        <v>43503</v>
      </c>
      <c r="C2760" s="6" t="s">
        <v>41</v>
      </c>
      <c r="D2760" s="6" t="s">
        <v>11</v>
      </c>
      <c r="E2760" s="6">
        <v>4</v>
      </c>
      <c r="F2760" s="6">
        <v>5</v>
      </c>
      <c r="G2760" s="6" t="s">
        <v>18</v>
      </c>
      <c r="H2760" s="6" t="s">
        <v>17</v>
      </c>
      <c r="I2760" s="6">
        <f>TabJogos[[#This Row],[PontosTime1]]-TabJogos[[#This Row],[PontosTime2]]</f>
        <v>-1</v>
      </c>
    </row>
    <row r="2761" spans="1:9" ht="15" customHeight="1" x14ac:dyDescent="0.25">
      <c r="A2761" s="7">
        <v>2760</v>
      </c>
      <c r="B2761" s="1">
        <v>43503</v>
      </c>
      <c r="C2761" s="6" t="s">
        <v>17</v>
      </c>
      <c r="D2761" s="6" t="s">
        <v>41</v>
      </c>
      <c r="E2761" s="6">
        <v>5</v>
      </c>
      <c r="F2761" s="6">
        <v>4</v>
      </c>
      <c r="G2761" s="6" t="s">
        <v>13</v>
      </c>
      <c r="H2761" s="6" t="s">
        <v>18</v>
      </c>
      <c r="I2761" s="6">
        <f>TabJogos[[#This Row],[PontosTime1]]-TabJogos[[#This Row],[PontosTime2]]</f>
        <v>1</v>
      </c>
    </row>
    <row r="2762" spans="1:9" ht="15" customHeight="1" x14ac:dyDescent="0.25">
      <c r="A2762" s="7">
        <v>2761</v>
      </c>
      <c r="B2762" s="1">
        <v>43503</v>
      </c>
      <c r="C2762" s="6" t="s">
        <v>13</v>
      </c>
      <c r="D2762" s="6" t="s">
        <v>18</v>
      </c>
      <c r="E2762" s="6">
        <v>5</v>
      </c>
      <c r="F2762" s="6">
        <v>2</v>
      </c>
      <c r="G2762" s="6" t="s">
        <v>17</v>
      </c>
      <c r="H2762" s="6" t="s">
        <v>11</v>
      </c>
      <c r="I2762" s="6">
        <f>TabJogos[[#This Row],[PontosTime1]]-TabJogos[[#This Row],[PontosTime2]]</f>
        <v>3</v>
      </c>
    </row>
    <row r="2763" spans="1:9" ht="15" customHeight="1" x14ac:dyDescent="0.25">
      <c r="A2763" s="7">
        <v>2762</v>
      </c>
      <c r="B2763" s="1">
        <v>43503</v>
      </c>
      <c r="C2763" s="6" t="s">
        <v>17</v>
      </c>
      <c r="D2763" s="6" t="s">
        <v>18</v>
      </c>
      <c r="E2763" s="6">
        <v>5</v>
      </c>
      <c r="F2763" s="6">
        <v>0</v>
      </c>
      <c r="G2763" s="6" t="s">
        <v>13</v>
      </c>
      <c r="H2763" s="6" t="s">
        <v>11</v>
      </c>
      <c r="I2763" s="6">
        <f>TabJogos[[#This Row],[PontosTime1]]-TabJogos[[#This Row],[PontosTime2]]</f>
        <v>5</v>
      </c>
    </row>
    <row r="2764" spans="1:9" ht="15" customHeight="1" x14ac:dyDescent="0.25">
      <c r="A2764" s="7">
        <v>2763</v>
      </c>
      <c r="B2764" s="1">
        <v>43504</v>
      </c>
      <c r="C2764" s="6" t="s">
        <v>17</v>
      </c>
      <c r="D2764" s="6" t="s">
        <v>11</v>
      </c>
      <c r="E2764" s="6">
        <v>0</v>
      </c>
      <c r="F2764" s="6">
        <v>5</v>
      </c>
      <c r="G2764" s="6" t="s">
        <v>13</v>
      </c>
      <c r="H2764" s="6" t="s">
        <v>12</v>
      </c>
      <c r="I2764" s="6">
        <f>TabJogos[[#This Row],[PontosTime1]]-TabJogos[[#This Row],[PontosTime2]]</f>
        <v>-5</v>
      </c>
    </row>
    <row r="2765" spans="1:9" ht="15" customHeight="1" x14ac:dyDescent="0.25">
      <c r="A2765" s="7">
        <v>2764</v>
      </c>
      <c r="B2765" s="1">
        <v>43504</v>
      </c>
      <c r="C2765" s="6" t="s">
        <v>17</v>
      </c>
      <c r="D2765" s="6" t="s">
        <v>13</v>
      </c>
      <c r="E2765" s="6">
        <v>2</v>
      </c>
      <c r="F2765" s="6">
        <v>5</v>
      </c>
      <c r="G2765" s="6" t="s">
        <v>12</v>
      </c>
      <c r="H2765" s="6" t="s">
        <v>10</v>
      </c>
      <c r="I2765" s="6">
        <f>TabJogos[[#This Row],[PontosTime1]]-TabJogos[[#This Row],[PontosTime2]]</f>
        <v>-3</v>
      </c>
    </row>
    <row r="2766" spans="1:9" ht="15" customHeight="1" x14ac:dyDescent="0.25">
      <c r="A2766" s="7">
        <v>2765</v>
      </c>
      <c r="B2766" s="1">
        <v>43504</v>
      </c>
      <c r="C2766" s="6" t="s">
        <v>10</v>
      </c>
      <c r="D2766" s="6" t="s">
        <v>9</v>
      </c>
      <c r="E2766" s="6">
        <v>6</v>
      </c>
      <c r="F2766" s="6">
        <v>3</v>
      </c>
      <c r="G2766" s="6" t="s">
        <v>12</v>
      </c>
      <c r="H2766" s="6" t="s">
        <v>11</v>
      </c>
      <c r="I2766" s="6">
        <f>TabJogos[[#This Row],[PontosTime1]]-TabJogos[[#This Row],[PontosTime2]]</f>
        <v>3</v>
      </c>
    </row>
    <row r="2767" spans="1:9" ht="15" customHeight="1" x14ac:dyDescent="0.25">
      <c r="A2767" s="7">
        <v>2766</v>
      </c>
      <c r="B2767" s="1">
        <v>43504</v>
      </c>
      <c r="C2767" s="6" t="s">
        <v>13</v>
      </c>
      <c r="D2767" s="6" t="s">
        <v>9</v>
      </c>
      <c r="E2767" s="6">
        <v>5</v>
      </c>
      <c r="F2767" s="6">
        <v>0</v>
      </c>
      <c r="G2767" s="6" t="s">
        <v>10</v>
      </c>
      <c r="H2767" s="6" t="s">
        <v>17</v>
      </c>
      <c r="I2767" s="6">
        <f>TabJogos[[#This Row],[PontosTime1]]-TabJogos[[#This Row],[PontosTime2]]</f>
        <v>5</v>
      </c>
    </row>
    <row r="2768" spans="1:9" ht="15" customHeight="1" x14ac:dyDescent="0.25">
      <c r="A2768" s="7">
        <v>2767</v>
      </c>
      <c r="B2768" s="1">
        <v>43504</v>
      </c>
      <c r="C2768" s="6" t="s">
        <v>9</v>
      </c>
      <c r="D2768" s="6" t="s">
        <v>11</v>
      </c>
      <c r="E2768" s="6">
        <v>7</v>
      </c>
      <c r="F2768" s="6">
        <v>4</v>
      </c>
      <c r="G2768" s="6" t="s">
        <v>10</v>
      </c>
      <c r="H2768" s="6" t="s">
        <v>13</v>
      </c>
      <c r="I2768" s="6">
        <f>TabJogos[[#This Row],[PontosTime1]]-TabJogos[[#This Row],[PontosTime2]]</f>
        <v>3</v>
      </c>
    </row>
    <row r="2769" spans="1:9" ht="15" customHeight="1" x14ac:dyDescent="0.25">
      <c r="A2769" s="7">
        <v>2768</v>
      </c>
      <c r="B2769" s="1">
        <v>43504</v>
      </c>
      <c r="C2769" s="6" t="s">
        <v>9</v>
      </c>
      <c r="D2769" s="6" t="s">
        <v>17</v>
      </c>
      <c r="E2769" s="6">
        <v>5</v>
      </c>
      <c r="F2769" s="6">
        <v>3</v>
      </c>
      <c r="G2769" s="6" t="s">
        <v>13</v>
      </c>
      <c r="H2769" s="6" t="s">
        <v>11</v>
      </c>
      <c r="I2769" s="6">
        <f>TabJogos[[#This Row],[PontosTime1]]-TabJogos[[#This Row],[PontosTime2]]</f>
        <v>2</v>
      </c>
    </row>
    <row r="2770" spans="1:9" ht="15" customHeight="1" x14ac:dyDescent="0.25">
      <c r="A2770" s="7">
        <v>2769</v>
      </c>
      <c r="B2770" s="1">
        <v>43504</v>
      </c>
      <c r="C2770" s="6" t="s">
        <v>9</v>
      </c>
      <c r="D2770" s="6" t="s">
        <v>13</v>
      </c>
      <c r="E2770" s="6">
        <v>5</v>
      </c>
      <c r="F2770" s="6">
        <v>0</v>
      </c>
      <c r="G2770" s="6" t="s">
        <v>17</v>
      </c>
      <c r="H2770" s="6" t="s">
        <v>18</v>
      </c>
      <c r="I2770" s="6">
        <f>TabJogos[[#This Row],[PontosTime1]]-TabJogos[[#This Row],[PontosTime2]]</f>
        <v>5</v>
      </c>
    </row>
    <row r="2771" spans="1:9" ht="15" customHeight="1" x14ac:dyDescent="0.25">
      <c r="A2771" s="7">
        <v>2770</v>
      </c>
      <c r="B2771" s="1">
        <v>43504</v>
      </c>
      <c r="C2771" s="6" t="s">
        <v>9</v>
      </c>
      <c r="D2771" s="6" t="s">
        <v>11</v>
      </c>
      <c r="E2771" s="6">
        <v>3</v>
      </c>
      <c r="F2771" s="6">
        <v>5</v>
      </c>
      <c r="G2771" s="6" t="s">
        <v>18</v>
      </c>
      <c r="H2771" s="6" t="s">
        <v>13</v>
      </c>
      <c r="I2771" s="6">
        <f>TabJogos[[#This Row],[PontosTime1]]-TabJogos[[#This Row],[PontosTime2]]</f>
        <v>-2</v>
      </c>
    </row>
    <row r="2772" spans="1:9" ht="15" customHeight="1" x14ac:dyDescent="0.25">
      <c r="A2772" s="7">
        <v>2771</v>
      </c>
      <c r="B2772" s="1">
        <v>43504</v>
      </c>
      <c r="C2772" s="6" t="s">
        <v>9</v>
      </c>
      <c r="D2772" s="6" t="s">
        <v>18</v>
      </c>
      <c r="E2772" s="6">
        <v>5</v>
      </c>
      <c r="F2772" s="6">
        <v>2</v>
      </c>
      <c r="G2772" s="6" t="s">
        <v>11</v>
      </c>
      <c r="H2772" s="6" t="s">
        <v>13</v>
      </c>
      <c r="I2772" s="6">
        <f>TabJogos[[#This Row],[PontosTime1]]-TabJogos[[#This Row],[PontosTime2]]</f>
        <v>3</v>
      </c>
    </row>
    <row r="2773" spans="1:9" ht="15" customHeight="1" x14ac:dyDescent="0.25">
      <c r="A2773" s="7">
        <v>2772</v>
      </c>
      <c r="B2773" s="1">
        <v>43507</v>
      </c>
      <c r="C2773" s="6" t="s">
        <v>18</v>
      </c>
      <c r="D2773" s="6" t="s">
        <v>11</v>
      </c>
      <c r="E2773" s="6">
        <v>3</v>
      </c>
      <c r="F2773" s="6">
        <v>5</v>
      </c>
      <c r="G2773" s="6" t="s">
        <v>10</v>
      </c>
      <c r="H2773" s="6" t="s">
        <v>9</v>
      </c>
      <c r="I2773" s="6">
        <f>TabJogos[[#This Row],[PontosTime1]]-TabJogos[[#This Row],[PontosTime2]]</f>
        <v>-2</v>
      </c>
    </row>
    <row r="2774" spans="1:9" ht="15" customHeight="1" x14ac:dyDescent="0.25">
      <c r="A2774" s="7">
        <v>2773</v>
      </c>
      <c r="B2774" s="1">
        <v>43507</v>
      </c>
      <c r="C2774" s="6" t="s">
        <v>10</v>
      </c>
      <c r="D2774" s="6" t="s">
        <v>41</v>
      </c>
      <c r="E2774" s="6">
        <v>0</v>
      </c>
      <c r="F2774" s="6">
        <v>5</v>
      </c>
      <c r="G2774" s="6" t="s">
        <v>13</v>
      </c>
      <c r="H2774" s="6" t="s">
        <v>9</v>
      </c>
      <c r="I2774" s="6">
        <f>TabJogos[[#This Row],[PontosTime1]]-TabJogos[[#This Row],[PontosTime2]]</f>
        <v>-5</v>
      </c>
    </row>
    <row r="2775" spans="1:9" ht="15" customHeight="1" x14ac:dyDescent="0.25">
      <c r="A2775" s="7">
        <v>2774</v>
      </c>
      <c r="B2775" s="1">
        <v>43507</v>
      </c>
      <c r="C2775" s="6" t="s">
        <v>9</v>
      </c>
      <c r="D2775" s="6" t="s">
        <v>11</v>
      </c>
      <c r="E2775" s="6">
        <v>6</v>
      </c>
      <c r="F2775" s="6">
        <v>3</v>
      </c>
      <c r="G2775" s="6" t="s">
        <v>18</v>
      </c>
      <c r="H2775" s="6" t="s">
        <v>13</v>
      </c>
      <c r="I2775" s="6">
        <f>TabJogos[[#This Row],[PontosTime1]]-TabJogos[[#This Row],[PontosTime2]]</f>
        <v>3</v>
      </c>
    </row>
    <row r="2776" spans="1:9" ht="15" customHeight="1" x14ac:dyDescent="0.25">
      <c r="A2776" s="7">
        <v>2775</v>
      </c>
      <c r="B2776" s="1">
        <v>43507</v>
      </c>
      <c r="C2776" s="6" t="s">
        <v>41</v>
      </c>
      <c r="D2776" s="6" t="s">
        <v>9</v>
      </c>
      <c r="E2776" s="6">
        <v>3</v>
      </c>
      <c r="F2776" s="6">
        <v>5</v>
      </c>
      <c r="G2776" s="6" t="s">
        <v>11</v>
      </c>
      <c r="H2776" s="6" t="s">
        <v>10</v>
      </c>
      <c r="I2776" s="6">
        <f>TabJogos[[#This Row],[PontosTime1]]-TabJogos[[#This Row],[PontosTime2]]</f>
        <v>-2</v>
      </c>
    </row>
    <row r="2777" spans="1:9" ht="15" customHeight="1" x14ac:dyDescent="0.25">
      <c r="A2777" s="7">
        <v>2776</v>
      </c>
      <c r="B2777" s="1">
        <v>43507</v>
      </c>
      <c r="C2777" s="6" t="s">
        <v>17</v>
      </c>
      <c r="D2777" s="6" t="s">
        <v>11</v>
      </c>
      <c r="E2777" s="6">
        <v>2</v>
      </c>
      <c r="F2777" s="6">
        <v>5</v>
      </c>
      <c r="G2777" s="6" t="s">
        <v>18</v>
      </c>
      <c r="H2777" s="6" t="s">
        <v>10</v>
      </c>
      <c r="I2777" s="6">
        <f>TabJogos[[#This Row],[PontosTime1]]-TabJogos[[#This Row],[PontosTime2]]</f>
        <v>-3</v>
      </c>
    </row>
    <row r="2778" spans="1:9" ht="15" customHeight="1" x14ac:dyDescent="0.25">
      <c r="A2778" s="7">
        <v>2777</v>
      </c>
      <c r="B2778" s="1">
        <v>43507</v>
      </c>
      <c r="C2778" s="6" t="s">
        <v>9</v>
      </c>
      <c r="D2778" s="6" t="s">
        <v>18</v>
      </c>
      <c r="E2778" s="6">
        <v>5</v>
      </c>
      <c r="F2778" s="6">
        <v>4</v>
      </c>
      <c r="G2778" s="6" t="s">
        <v>10</v>
      </c>
      <c r="H2778" s="6" t="s">
        <v>13</v>
      </c>
      <c r="I2778" s="6">
        <f>TabJogos[[#This Row],[PontosTime1]]-TabJogos[[#This Row],[PontosTime2]]</f>
        <v>1</v>
      </c>
    </row>
    <row r="2779" spans="1:9" ht="15" customHeight="1" x14ac:dyDescent="0.25">
      <c r="A2779" s="7">
        <v>2778</v>
      </c>
      <c r="B2779" s="1">
        <v>43507</v>
      </c>
      <c r="C2779" s="6" t="s">
        <v>9</v>
      </c>
      <c r="D2779" s="6" t="s">
        <v>11</v>
      </c>
      <c r="E2779" s="6">
        <v>3</v>
      </c>
      <c r="F2779" s="6">
        <v>5</v>
      </c>
      <c r="G2779" s="6" t="s">
        <v>41</v>
      </c>
      <c r="H2779" s="6" t="s">
        <v>18</v>
      </c>
      <c r="I2779" s="6">
        <f>TabJogos[[#This Row],[PontosTime1]]-TabJogos[[#This Row],[PontosTime2]]</f>
        <v>-2</v>
      </c>
    </row>
    <row r="2780" spans="1:9" ht="15" customHeight="1" x14ac:dyDescent="0.25">
      <c r="A2780" s="7">
        <v>2779</v>
      </c>
      <c r="B2780" s="1">
        <v>43507</v>
      </c>
      <c r="C2780" s="6" t="s">
        <v>11</v>
      </c>
      <c r="D2780" s="6" t="s">
        <v>13</v>
      </c>
      <c r="E2780" s="6">
        <v>5</v>
      </c>
      <c r="F2780" s="6">
        <v>1</v>
      </c>
      <c r="G2780" s="6" t="s">
        <v>17</v>
      </c>
      <c r="H2780" s="6" t="s">
        <v>18</v>
      </c>
      <c r="I2780" s="6">
        <f>TabJogos[[#This Row],[PontosTime1]]-TabJogos[[#This Row],[PontosTime2]]</f>
        <v>4</v>
      </c>
    </row>
    <row r="2781" spans="1:9" ht="15" customHeight="1" x14ac:dyDescent="0.25">
      <c r="A2781" s="7">
        <v>2780</v>
      </c>
      <c r="B2781" s="1">
        <v>43507</v>
      </c>
      <c r="C2781" s="6" t="s">
        <v>11</v>
      </c>
      <c r="D2781" s="6" t="s">
        <v>18</v>
      </c>
      <c r="E2781" s="6">
        <v>1</v>
      </c>
      <c r="F2781" s="6">
        <v>5</v>
      </c>
      <c r="G2781" s="6" t="s">
        <v>17</v>
      </c>
      <c r="H2781" s="6" t="s">
        <v>13</v>
      </c>
      <c r="I2781" s="6">
        <f>TabJogos[[#This Row],[PontosTime1]]-TabJogos[[#This Row],[PontosTime2]]</f>
        <v>-4</v>
      </c>
    </row>
    <row r="2782" spans="1:9" ht="15" customHeight="1" x14ac:dyDescent="0.25">
      <c r="A2782" s="7">
        <v>2781</v>
      </c>
      <c r="B2782" s="1">
        <v>43508</v>
      </c>
      <c r="C2782" s="6" t="s">
        <v>18</v>
      </c>
      <c r="D2782" s="6" t="s">
        <v>17</v>
      </c>
      <c r="E2782" s="6">
        <v>6</v>
      </c>
      <c r="F2782" s="6">
        <v>3</v>
      </c>
      <c r="G2782" s="6" t="s">
        <v>9</v>
      </c>
      <c r="H2782" s="6" t="s">
        <v>10</v>
      </c>
      <c r="I2782" s="6">
        <f>TabJogos[[#This Row],[PontosTime1]]-TabJogos[[#This Row],[PontosTime2]]</f>
        <v>3</v>
      </c>
    </row>
    <row r="2783" spans="1:9" ht="15" customHeight="1" x14ac:dyDescent="0.25">
      <c r="A2783" s="7">
        <v>2782</v>
      </c>
      <c r="B2783" s="1">
        <v>43508</v>
      </c>
      <c r="C2783" s="6" t="s">
        <v>17</v>
      </c>
      <c r="D2783" s="6" t="s">
        <v>11</v>
      </c>
      <c r="E2783" s="6">
        <v>1</v>
      </c>
      <c r="F2783" s="6">
        <v>5</v>
      </c>
      <c r="G2783" s="6" t="s">
        <v>18</v>
      </c>
      <c r="H2783" s="6" t="s">
        <v>13</v>
      </c>
      <c r="I2783" s="6">
        <f>TabJogos[[#This Row],[PontosTime1]]-TabJogos[[#This Row],[PontosTime2]]</f>
        <v>-4</v>
      </c>
    </row>
    <row r="2784" spans="1:9" ht="15" customHeight="1" x14ac:dyDescent="0.25">
      <c r="A2784" s="7">
        <v>2783</v>
      </c>
      <c r="B2784" s="1">
        <v>43508</v>
      </c>
      <c r="C2784" s="6" t="s">
        <v>41</v>
      </c>
      <c r="D2784" s="6" t="s">
        <v>13</v>
      </c>
      <c r="E2784" s="6">
        <v>5</v>
      </c>
      <c r="F2784" s="6">
        <v>2</v>
      </c>
      <c r="G2784" s="6" t="s">
        <v>18</v>
      </c>
      <c r="H2784" s="6" t="s">
        <v>9</v>
      </c>
      <c r="I2784" s="6">
        <f>TabJogos[[#This Row],[PontosTime1]]-TabJogos[[#This Row],[PontosTime2]]</f>
        <v>3</v>
      </c>
    </row>
    <row r="2785" spans="1:9" ht="15" customHeight="1" x14ac:dyDescent="0.25">
      <c r="A2785" s="7">
        <v>2784</v>
      </c>
      <c r="B2785" s="1">
        <v>43508</v>
      </c>
      <c r="C2785" s="6" t="s">
        <v>41</v>
      </c>
      <c r="D2785" s="6" t="s">
        <v>11</v>
      </c>
      <c r="E2785" s="6">
        <v>1</v>
      </c>
      <c r="F2785" s="6">
        <v>5</v>
      </c>
      <c r="G2785" s="6" t="s">
        <v>13</v>
      </c>
      <c r="H2785" s="6" t="s">
        <v>10</v>
      </c>
      <c r="I2785" s="6">
        <f>TabJogos[[#This Row],[PontosTime1]]-TabJogos[[#This Row],[PontosTime2]]</f>
        <v>-4</v>
      </c>
    </row>
    <row r="2786" spans="1:9" ht="15" customHeight="1" x14ac:dyDescent="0.25">
      <c r="A2786" s="7">
        <v>2785</v>
      </c>
      <c r="B2786" s="1">
        <v>43508</v>
      </c>
      <c r="C2786" s="6" t="s">
        <v>17</v>
      </c>
      <c r="D2786" s="6" t="s">
        <v>10</v>
      </c>
      <c r="E2786" s="6">
        <v>6</v>
      </c>
      <c r="F2786" s="6">
        <v>2</v>
      </c>
      <c r="G2786" s="6" t="s">
        <v>13</v>
      </c>
      <c r="H2786" s="6" t="s">
        <v>16</v>
      </c>
      <c r="I2786" s="6">
        <f>TabJogos[[#This Row],[PontosTime1]]-TabJogos[[#This Row],[PontosTime2]]</f>
        <v>4</v>
      </c>
    </row>
    <row r="2787" spans="1:9" ht="15" customHeight="1" x14ac:dyDescent="0.25">
      <c r="A2787" s="7">
        <v>2786</v>
      </c>
      <c r="B2787" s="1">
        <v>43508</v>
      </c>
      <c r="C2787" s="6" t="s">
        <v>9</v>
      </c>
      <c r="D2787" s="6" t="s">
        <v>17</v>
      </c>
      <c r="E2787" s="6">
        <v>5</v>
      </c>
      <c r="F2787" s="6">
        <v>4</v>
      </c>
      <c r="G2787" s="6" t="s">
        <v>10</v>
      </c>
      <c r="H2787" s="6" t="s">
        <v>18</v>
      </c>
      <c r="I2787" s="6">
        <f>TabJogos[[#This Row],[PontosTime1]]-TabJogos[[#This Row],[PontosTime2]]</f>
        <v>1</v>
      </c>
    </row>
    <row r="2788" spans="1:9" ht="15" customHeight="1" x14ac:dyDescent="0.25">
      <c r="A2788" s="7">
        <v>2787</v>
      </c>
      <c r="B2788" s="1">
        <v>43508</v>
      </c>
      <c r="C2788" s="6" t="s">
        <v>9</v>
      </c>
      <c r="D2788" s="6" t="s">
        <v>11</v>
      </c>
      <c r="E2788" s="6">
        <v>3</v>
      </c>
      <c r="F2788" s="6">
        <v>5</v>
      </c>
      <c r="G2788" s="6" t="s">
        <v>17</v>
      </c>
      <c r="H2788" s="6" t="s">
        <v>41</v>
      </c>
      <c r="I2788" s="6">
        <f>TabJogos[[#This Row],[PontosTime1]]-TabJogos[[#This Row],[PontosTime2]]</f>
        <v>-2</v>
      </c>
    </row>
    <row r="2789" spans="1:9" ht="15" customHeight="1" x14ac:dyDescent="0.25">
      <c r="A2789" s="7">
        <v>2788</v>
      </c>
      <c r="B2789" s="1">
        <v>43508</v>
      </c>
      <c r="C2789" s="6" t="s">
        <v>17</v>
      </c>
      <c r="D2789" s="6" t="s">
        <v>13</v>
      </c>
      <c r="E2789" s="6">
        <v>6</v>
      </c>
      <c r="F2789" s="6">
        <v>2</v>
      </c>
      <c r="G2789" s="6" t="s">
        <v>41</v>
      </c>
      <c r="H2789" s="6" t="s">
        <v>18</v>
      </c>
      <c r="I2789" s="6">
        <f>TabJogos[[#This Row],[PontosTime1]]-TabJogos[[#This Row],[PontosTime2]]</f>
        <v>4</v>
      </c>
    </row>
    <row r="2790" spans="1:9" ht="15" customHeight="1" x14ac:dyDescent="0.25">
      <c r="A2790" s="7">
        <v>2789</v>
      </c>
      <c r="B2790" s="1">
        <v>43508</v>
      </c>
      <c r="C2790" s="6" t="s">
        <v>17</v>
      </c>
      <c r="D2790" s="6" t="s">
        <v>11</v>
      </c>
      <c r="E2790" s="6">
        <v>5</v>
      </c>
      <c r="F2790" s="6">
        <v>3</v>
      </c>
      <c r="G2790" s="6" t="s">
        <v>13</v>
      </c>
      <c r="H2790" s="6" t="s">
        <v>9</v>
      </c>
      <c r="I2790" s="6">
        <f>TabJogos[[#This Row],[PontosTime1]]-TabJogos[[#This Row],[PontosTime2]]</f>
        <v>2</v>
      </c>
    </row>
    <row r="2791" spans="1:9" ht="15" customHeight="1" x14ac:dyDescent="0.25">
      <c r="A2791" s="7">
        <v>2790</v>
      </c>
      <c r="B2791" s="1">
        <v>43508</v>
      </c>
      <c r="C2791" s="6" t="s">
        <v>17</v>
      </c>
      <c r="D2791" s="6" t="s">
        <v>13</v>
      </c>
      <c r="E2791" s="6">
        <v>5</v>
      </c>
      <c r="F2791" s="6">
        <v>1</v>
      </c>
      <c r="G2791" s="6" t="s">
        <v>18</v>
      </c>
      <c r="H2791" s="6" t="s">
        <v>11</v>
      </c>
      <c r="I2791" s="6">
        <f>TabJogos[[#This Row],[PontosTime1]]-TabJogos[[#This Row],[PontosTime2]]</f>
        <v>4</v>
      </c>
    </row>
    <row r="2792" spans="1:9" ht="15" customHeight="1" x14ac:dyDescent="0.25">
      <c r="A2792" s="7">
        <v>2791</v>
      </c>
      <c r="B2792" s="1">
        <v>43509</v>
      </c>
      <c r="C2792" s="6" t="s">
        <v>17</v>
      </c>
      <c r="D2792" s="6" t="s">
        <v>10</v>
      </c>
      <c r="E2792" s="6">
        <v>2</v>
      </c>
      <c r="F2792" s="6">
        <v>5</v>
      </c>
      <c r="G2792" s="6" t="s">
        <v>18</v>
      </c>
      <c r="H2792" s="6" t="s">
        <v>12</v>
      </c>
      <c r="I2792" s="6">
        <f>TabJogos[[#This Row],[PontosTime1]]-TabJogos[[#This Row],[PontosTime2]]</f>
        <v>-3</v>
      </c>
    </row>
    <row r="2793" spans="1:9" ht="15" customHeight="1" x14ac:dyDescent="0.25">
      <c r="A2793" s="7">
        <v>2792</v>
      </c>
      <c r="B2793" s="1">
        <v>43509</v>
      </c>
      <c r="C2793" s="6" t="s">
        <v>11</v>
      </c>
      <c r="D2793" s="6" t="s">
        <v>12</v>
      </c>
      <c r="E2793" s="6">
        <v>5</v>
      </c>
      <c r="F2793" s="6">
        <v>4</v>
      </c>
      <c r="G2793" s="6" t="s">
        <v>18</v>
      </c>
      <c r="H2793" s="6" t="s">
        <v>13</v>
      </c>
      <c r="I2793" s="6">
        <f>TabJogos[[#This Row],[PontosTime1]]-TabJogos[[#This Row],[PontosTime2]]</f>
        <v>1</v>
      </c>
    </row>
    <row r="2794" spans="1:9" ht="15" customHeight="1" x14ac:dyDescent="0.25">
      <c r="A2794" s="7">
        <v>2793</v>
      </c>
      <c r="B2794" s="1">
        <v>43509</v>
      </c>
      <c r="C2794" s="6" t="s">
        <v>17</v>
      </c>
      <c r="D2794" s="6" t="s">
        <v>11</v>
      </c>
      <c r="E2794" s="6">
        <v>6</v>
      </c>
      <c r="F2794" s="6">
        <v>1</v>
      </c>
      <c r="G2794" s="6" t="s">
        <v>10</v>
      </c>
      <c r="H2794" s="6" t="s">
        <v>12</v>
      </c>
      <c r="I2794" s="6">
        <f>TabJogos[[#This Row],[PontosTime1]]-TabJogos[[#This Row],[PontosTime2]]</f>
        <v>5</v>
      </c>
    </row>
    <row r="2795" spans="1:9" ht="15" customHeight="1" x14ac:dyDescent="0.25">
      <c r="A2795" s="7">
        <v>2794</v>
      </c>
      <c r="B2795" s="1">
        <v>43509</v>
      </c>
      <c r="C2795" s="6" t="s">
        <v>11</v>
      </c>
      <c r="D2795" s="6" t="s">
        <v>18</v>
      </c>
      <c r="E2795" s="6">
        <v>5</v>
      </c>
      <c r="F2795" s="6">
        <v>0</v>
      </c>
      <c r="G2795" s="6" t="s">
        <v>17</v>
      </c>
      <c r="H2795" s="6" t="s">
        <v>32</v>
      </c>
      <c r="I2795" s="6">
        <f>TabJogos[[#This Row],[PontosTime1]]-TabJogos[[#This Row],[PontosTime2]]</f>
        <v>5</v>
      </c>
    </row>
    <row r="2796" spans="1:9" ht="15" customHeight="1" x14ac:dyDescent="0.25">
      <c r="A2796" s="7">
        <v>2795</v>
      </c>
      <c r="B2796" s="1">
        <v>43509</v>
      </c>
      <c r="C2796" s="6" t="s">
        <v>11</v>
      </c>
      <c r="D2796" s="6" t="s">
        <v>13</v>
      </c>
      <c r="E2796" s="6">
        <v>1</v>
      </c>
      <c r="F2796" s="6">
        <v>6</v>
      </c>
      <c r="G2796" s="6" t="s">
        <v>17</v>
      </c>
      <c r="H2796" s="6" t="s">
        <v>18</v>
      </c>
      <c r="I2796" s="6">
        <f>TabJogos[[#This Row],[PontosTime1]]-TabJogos[[#This Row],[PontosTime2]]</f>
        <v>-5</v>
      </c>
    </row>
    <row r="2797" spans="1:9" ht="15" customHeight="1" x14ac:dyDescent="0.25">
      <c r="A2797" s="7">
        <v>2796</v>
      </c>
      <c r="B2797" s="1">
        <v>43509</v>
      </c>
      <c r="C2797" s="6" t="s">
        <v>11</v>
      </c>
      <c r="D2797" s="6" t="s">
        <v>17</v>
      </c>
      <c r="E2797" s="6">
        <v>1</v>
      </c>
      <c r="F2797" s="6">
        <v>5</v>
      </c>
      <c r="G2797" s="6" t="s">
        <v>32</v>
      </c>
      <c r="H2797" s="6" t="s">
        <v>18</v>
      </c>
      <c r="I2797" s="6">
        <f>TabJogos[[#This Row],[PontosTime1]]-TabJogos[[#This Row],[PontosTime2]]</f>
        <v>-4</v>
      </c>
    </row>
    <row r="2798" spans="1:9" ht="15" customHeight="1" x14ac:dyDescent="0.25">
      <c r="A2798" s="7">
        <v>2797</v>
      </c>
      <c r="B2798" s="1">
        <v>43509</v>
      </c>
      <c r="C2798" s="6" t="s">
        <v>16</v>
      </c>
      <c r="D2798" s="6" t="s">
        <v>18</v>
      </c>
      <c r="E2798" s="6">
        <v>5</v>
      </c>
      <c r="F2798" s="6">
        <v>1</v>
      </c>
      <c r="G2798" s="6" t="s">
        <v>32</v>
      </c>
      <c r="H2798" s="6" t="s">
        <v>13</v>
      </c>
      <c r="I2798" s="6">
        <f>TabJogos[[#This Row],[PontosTime1]]-TabJogos[[#This Row],[PontosTime2]]</f>
        <v>4</v>
      </c>
    </row>
    <row r="2799" spans="1:9" ht="15" customHeight="1" x14ac:dyDescent="0.25">
      <c r="A2799" s="7">
        <v>2798</v>
      </c>
      <c r="B2799" s="1">
        <v>43509</v>
      </c>
      <c r="C2799" s="6" t="s">
        <v>18</v>
      </c>
      <c r="D2799" s="6" t="s">
        <v>11</v>
      </c>
      <c r="E2799" s="6">
        <v>4</v>
      </c>
      <c r="F2799" s="6">
        <v>5</v>
      </c>
      <c r="G2799" s="6" t="s">
        <v>16</v>
      </c>
      <c r="H2799" s="6" t="s">
        <v>17</v>
      </c>
      <c r="I2799" s="6">
        <f>TabJogos[[#This Row],[PontosTime1]]-TabJogos[[#This Row],[PontosTime2]]</f>
        <v>-1</v>
      </c>
    </row>
    <row r="2800" spans="1:9" ht="15" customHeight="1" x14ac:dyDescent="0.25">
      <c r="A2800" s="7">
        <v>2799</v>
      </c>
      <c r="B2800" s="1">
        <v>43509</v>
      </c>
      <c r="C2800" s="6" t="s">
        <v>17</v>
      </c>
      <c r="D2800" s="6" t="s">
        <v>13</v>
      </c>
      <c r="E2800" s="6">
        <v>5</v>
      </c>
      <c r="F2800" s="6">
        <v>0</v>
      </c>
      <c r="G2800" s="6" t="s">
        <v>9</v>
      </c>
      <c r="H2800" s="6" t="s">
        <v>16</v>
      </c>
      <c r="I2800" s="6">
        <f>TabJogos[[#This Row],[PontosTime1]]-TabJogos[[#This Row],[PontosTime2]]</f>
        <v>5</v>
      </c>
    </row>
    <row r="2801" spans="1:9" ht="15" customHeight="1" x14ac:dyDescent="0.25">
      <c r="A2801" s="7">
        <v>2800</v>
      </c>
      <c r="B2801" s="1">
        <v>43509</v>
      </c>
      <c r="C2801" s="6" t="s">
        <v>11</v>
      </c>
      <c r="D2801" s="6" t="s">
        <v>17</v>
      </c>
      <c r="E2801" s="6">
        <v>5</v>
      </c>
      <c r="F2801" s="6">
        <v>0</v>
      </c>
      <c r="G2801" s="6" t="s">
        <v>13</v>
      </c>
      <c r="H2801" s="6" t="s">
        <v>18</v>
      </c>
      <c r="I2801" s="6">
        <f>TabJogos[[#This Row],[PontosTime1]]-TabJogos[[#This Row],[PontosTime2]]</f>
        <v>5</v>
      </c>
    </row>
    <row r="2802" spans="1:9" ht="15" customHeight="1" x14ac:dyDescent="0.25">
      <c r="A2802" s="7">
        <v>2801</v>
      </c>
      <c r="B2802" s="1">
        <v>43509</v>
      </c>
      <c r="C2802" s="6" t="s">
        <v>9</v>
      </c>
      <c r="D2802" s="6" t="s">
        <v>17</v>
      </c>
      <c r="E2802" s="6">
        <v>5</v>
      </c>
      <c r="F2802" s="6">
        <v>1</v>
      </c>
      <c r="G2802" s="6" t="s">
        <v>13</v>
      </c>
      <c r="H2802" s="6" t="s">
        <v>11</v>
      </c>
      <c r="I2802" s="6">
        <f>TabJogos[[#This Row],[PontosTime1]]-TabJogos[[#This Row],[PontosTime2]]</f>
        <v>4</v>
      </c>
    </row>
    <row r="2803" spans="1:9" ht="15" customHeight="1" x14ac:dyDescent="0.25">
      <c r="A2803" s="7">
        <v>2802</v>
      </c>
      <c r="B2803" s="1">
        <v>43509</v>
      </c>
      <c r="C2803" s="6" t="s">
        <v>17</v>
      </c>
      <c r="D2803" s="6" t="s">
        <v>13</v>
      </c>
      <c r="E2803" s="6">
        <v>5</v>
      </c>
      <c r="F2803" s="6">
        <v>3</v>
      </c>
      <c r="G2803" s="6" t="s">
        <v>9</v>
      </c>
      <c r="H2803" s="6" t="s">
        <v>18</v>
      </c>
      <c r="I2803" s="6">
        <f>TabJogos[[#This Row],[PontosTime1]]-TabJogos[[#This Row],[PontosTime2]]</f>
        <v>2</v>
      </c>
    </row>
    <row r="2804" spans="1:9" ht="15" customHeight="1" x14ac:dyDescent="0.25">
      <c r="A2804" s="7">
        <v>2803</v>
      </c>
      <c r="B2804" s="1">
        <v>43510</v>
      </c>
      <c r="C2804" s="6" t="s">
        <v>38</v>
      </c>
      <c r="D2804" s="6" t="s">
        <v>17</v>
      </c>
      <c r="E2804" s="6">
        <v>2</v>
      </c>
      <c r="F2804" s="6">
        <v>5</v>
      </c>
      <c r="G2804" s="6" t="s">
        <v>10</v>
      </c>
      <c r="H2804" s="6" t="s">
        <v>13</v>
      </c>
      <c r="I2804" s="6">
        <f>TabJogos[[#This Row],[PontosTime1]]-TabJogos[[#This Row],[PontosTime2]]</f>
        <v>-3</v>
      </c>
    </row>
    <row r="2805" spans="1:9" ht="15" customHeight="1" x14ac:dyDescent="0.25">
      <c r="A2805" s="7">
        <v>2804</v>
      </c>
      <c r="B2805" s="1">
        <v>43510</v>
      </c>
      <c r="C2805" s="6" t="s">
        <v>18</v>
      </c>
      <c r="D2805" s="6" t="s">
        <v>13</v>
      </c>
      <c r="E2805" s="6">
        <v>5</v>
      </c>
      <c r="F2805" s="6">
        <v>3</v>
      </c>
      <c r="G2805" s="6" t="s">
        <v>10</v>
      </c>
      <c r="H2805" s="6" t="s">
        <v>17</v>
      </c>
      <c r="I2805" s="6">
        <f>TabJogos[[#This Row],[PontosTime1]]-TabJogos[[#This Row],[PontosTime2]]</f>
        <v>2</v>
      </c>
    </row>
    <row r="2806" spans="1:9" ht="15" customHeight="1" x14ac:dyDescent="0.25">
      <c r="A2806" s="7">
        <v>2805</v>
      </c>
      <c r="B2806" s="1">
        <v>43510</v>
      </c>
      <c r="C2806" s="6" t="s">
        <v>41</v>
      </c>
      <c r="D2806" s="6" t="s">
        <v>18</v>
      </c>
      <c r="E2806" s="6">
        <v>3</v>
      </c>
      <c r="F2806" s="6">
        <v>5</v>
      </c>
      <c r="G2806" s="6" t="s">
        <v>27</v>
      </c>
      <c r="H2806" s="6" t="s">
        <v>13</v>
      </c>
      <c r="I2806" s="6">
        <f>TabJogos[[#This Row],[PontosTime1]]-TabJogos[[#This Row],[PontosTime2]]</f>
        <v>-2</v>
      </c>
    </row>
    <row r="2807" spans="1:9" ht="15" customHeight="1" x14ac:dyDescent="0.25">
      <c r="A2807" s="7">
        <v>2806</v>
      </c>
      <c r="B2807" s="1">
        <v>43510</v>
      </c>
      <c r="C2807" s="6" t="s">
        <v>17</v>
      </c>
      <c r="D2807" s="6" t="s">
        <v>13</v>
      </c>
      <c r="E2807" s="6">
        <v>5</v>
      </c>
      <c r="F2807" s="6">
        <v>3</v>
      </c>
      <c r="G2807" s="6" t="s">
        <v>10</v>
      </c>
      <c r="H2807" s="6" t="s">
        <v>27</v>
      </c>
      <c r="I2807" s="6">
        <f>TabJogos[[#This Row],[PontosTime1]]-TabJogos[[#This Row],[PontosTime2]]</f>
        <v>2</v>
      </c>
    </row>
    <row r="2808" spans="1:9" ht="15" customHeight="1" x14ac:dyDescent="0.25">
      <c r="A2808" s="7">
        <v>2807</v>
      </c>
      <c r="B2808" s="1">
        <v>43510</v>
      </c>
      <c r="C2808" s="6" t="s">
        <v>41</v>
      </c>
      <c r="D2808" s="6" t="s">
        <v>13</v>
      </c>
      <c r="E2808" s="6">
        <v>5</v>
      </c>
      <c r="F2808" s="6">
        <v>3</v>
      </c>
      <c r="G2808" s="6" t="s">
        <v>18</v>
      </c>
      <c r="H2808" s="6" t="s">
        <v>17</v>
      </c>
      <c r="I2808" s="6">
        <f>TabJogos[[#This Row],[PontosTime1]]-TabJogos[[#This Row],[PontosTime2]]</f>
        <v>2</v>
      </c>
    </row>
    <row r="2809" spans="1:9" ht="15" customHeight="1" x14ac:dyDescent="0.25">
      <c r="A2809" s="7">
        <v>2808</v>
      </c>
      <c r="B2809" s="1">
        <v>43510</v>
      </c>
      <c r="C2809" s="6" t="s">
        <v>27</v>
      </c>
      <c r="D2809" s="6" t="s">
        <v>13</v>
      </c>
      <c r="E2809" s="6">
        <v>5</v>
      </c>
      <c r="F2809" s="6">
        <v>2</v>
      </c>
      <c r="G2809" s="6" t="s">
        <v>41</v>
      </c>
      <c r="H2809" s="6" t="s">
        <v>10</v>
      </c>
      <c r="I2809" s="6">
        <f>TabJogos[[#This Row],[PontosTime1]]-TabJogos[[#This Row],[PontosTime2]]</f>
        <v>3</v>
      </c>
    </row>
    <row r="2810" spans="1:9" ht="15" customHeight="1" x14ac:dyDescent="0.25">
      <c r="A2810" s="7">
        <v>2809</v>
      </c>
      <c r="B2810" s="1">
        <v>43510</v>
      </c>
      <c r="C2810" s="6" t="s">
        <v>13</v>
      </c>
      <c r="D2810" s="6" t="s">
        <v>11</v>
      </c>
      <c r="E2810" s="6">
        <v>1</v>
      </c>
      <c r="F2810" s="6">
        <v>5</v>
      </c>
      <c r="G2810" s="6" t="s">
        <v>17</v>
      </c>
      <c r="H2810" s="6" t="s">
        <v>27</v>
      </c>
      <c r="I2810" s="6">
        <f>TabJogos[[#This Row],[PontosTime1]]-TabJogos[[#This Row],[PontosTime2]]</f>
        <v>-4</v>
      </c>
    </row>
    <row r="2811" spans="1:9" ht="15" customHeight="1" x14ac:dyDescent="0.25">
      <c r="A2811" s="7">
        <v>2810</v>
      </c>
      <c r="B2811" s="1">
        <v>43510</v>
      </c>
      <c r="C2811" s="6" t="s">
        <v>17</v>
      </c>
      <c r="D2811" s="6" t="s">
        <v>41</v>
      </c>
      <c r="E2811" s="6">
        <v>5</v>
      </c>
      <c r="F2811" s="6">
        <v>0</v>
      </c>
      <c r="G2811" s="6" t="s">
        <v>27</v>
      </c>
      <c r="H2811" s="6" t="s">
        <v>18</v>
      </c>
      <c r="I2811" s="6">
        <f>TabJogos[[#This Row],[PontosTime1]]-TabJogos[[#This Row],[PontosTime2]]</f>
        <v>5</v>
      </c>
    </row>
    <row r="2812" spans="1:9" ht="15" customHeight="1" x14ac:dyDescent="0.25">
      <c r="A2812" s="7">
        <v>2811</v>
      </c>
      <c r="B2812" s="1">
        <v>43510</v>
      </c>
      <c r="C2812" s="6" t="s">
        <v>9</v>
      </c>
      <c r="D2812" s="6" t="s">
        <v>41</v>
      </c>
      <c r="E2812" s="6">
        <v>1</v>
      </c>
      <c r="F2812" s="6">
        <v>5</v>
      </c>
      <c r="G2812" s="6" t="s">
        <v>17</v>
      </c>
      <c r="H2812" s="6" t="s">
        <v>11</v>
      </c>
      <c r="I2812" s="6">
        <f>TabJogos[[#This Row],[PontosTime1]]-TabJogos[[#This Row],[PontosTime2]]</f>
        <v>-4</v>
      </c>
    </row>
    <row r="2813" spans="1:9" ht="15" customHeight="1" x14ac:dyDescent="0.25">
      <c r="A2813" s="7">
        <v>2812</v>
      </c>
      <c r="B2813" s="1">
        <v>43510</v>
      </c>
      <c r="C2813" s="6" t="s">
        <v>13</v>
      </c>
      <c r="D2813" s="6" t="s">
        <v>17</v>
      </c>
      <c r="E2813" s="6">
        <v>1</v>
      </c>
      <c r="F2813" s="6">
        <v>5</v>
      </c>
      <c r="G2813" s="6" t="s">
        <v>11</v>
      </c>
      <c r="H2813" s="6" t="s">
        <v>18</v>
      </c>
      <c r="I2813" s="6">
        <f>TabJogos[[#This Row],[PontosTime1]]-TabJogos[[#This Row],[PontosTime2]]</f>
        <v>-4</v>
      </c>
    </row>
    <row r="2814" spans="1:9" ht="15" customHeight="1" x14ac:dyDescent="0.25">
      <c r="A2814" s="7">
        <v>2813</v>
      </c>
      <c r="B2814" s="1">
        <v>43510</v>
      </c>
      <c r="C2814" s="6" t="s">
        <v>11</v>
      </c>
      <c r="D2814" s="6" t="s">
        <v>13</v>
      </c>
      <c r="E2814" s="6">
        <v>5</v>
      </c>
      <c r="F2814" s="6">
        <v>1</v>
      </c>
      <c r="G2814" s="6" t="s">
        <v>17</v>
      </c>
      <c r="H2814" s="6" t="s">
        <v>18</v>
      </c>
      <c r="I2814" s="6">
        <f>TabJogos[[#This Row],[PontosTime1]]-TabJogos[[#This Row],[PontosTime2]]</f>
        <v>4</v>
      </c>
    </row>
    <row r="2815" spans="1:9" ht="15" customHeight="1" x14ac:dyDescent="0.25">
      <c r="A2815" s="7">
        <v>2814</v>
      </c>
      <c r="B2815" s="1">
        <v>43511</v>
      </c>
      <c r="C2815" s="6" t="s">
        <v>9</v>
      </c>
      <c r="D2815" s="6" t="s">
        <v>10</v>
      </c>
      <c r="E2815" s="6">
        <v>0</v>
      </c>
      <c r="F2815" s="6">
        <v>5</v>
      </c>
      <c r="G2815" s="6" t="s">
        <v>18</v>
      </c>
      <c r="H2815" s="6" t="s">
        <v>13</v>
      </c>
      <c r="I2815" s="6">
        <f>TabJogos[[#This Row],[PontosTime1]]-TabJogos[[#This Row],[PontosTime2]]</f>
        <v>-5</v>
      </c>
    </row>
    <row r="2816" spans="1:9" ht="15" customHeight="1" x14ac:dyDescent="0.25">
      <c r="A2816" s="7">
        <v>2815</v>
      </c>
      <c r="B2816" s="1">
        <v>43511</v>
      </c>
      <c r="C2816" s="6" t="s">
        <v>12</v>
      </c>
      <c r="D2816" s="6" t="s">
        <v>13</v>
      </c>
      <c r="E2816" s="6">
        <v>1</v>
      </c>
      <c r="F2816" s="6">
        <v>6</v>
      </c>
      <c r="G2816" s="6" t="s">
        <v>11</v>
      </c>
      <c r="H2816" s="6" t="s">
        <v>18</v>
      </c>
      <c r="I2816" s="6">
        <f>TabJogos[[#This Row],[PontosTime1]]-TabJogos[[#This Row],[PontosTime2]]</f>
        <v>-5</v>
      </c>
    </row>
    <row r="2817" spans="1:9" ht="15" customHeight="1" x14ac:dyDescent="0.25">
      <c r="A2817" s="7">
        <v>2816</v>
      </c>
      <c r="B2817" s="1">
        <v>43511</v>
      </c>
      <c r="C2817" s="6" t="s">
        <v>10</v>
      </c>
      <c r="D2817" s="6" t="s">
        <v>11</v>
      </c>
      <c r="E2817" s="6">
        <v>1</v>
      </c>
      <c r="F2817" s="6">
        <v>5</v>
      </c>
      <c r="G2817" s="6" t="s">
        <v>18</v>
      </c>
      <c r="H2817" s="6" t="s">
        <v>9</v>
      </c>
      <c r="I2817" s="6">
        <f>TabJogos[[#This Row],[PontosTime1]]-TabJogos[[#This Row],[PontosTime2]]</f>
        <v>-4</v>
      </c>
    </row>
    <row r="2818" spans="1:9" ht="15" customHeight="1" x14ac:dyDescent="0.25">
      <c r="A2818" s="7">
        <v>2817</v>
      </c>
      <c r="B2818" s="1">
        <v>43511</v>
      </c>
      <c r="C2818" s="6" t="s">
        <v>13</v>
      </c>
      <c r="D2818" s="6" t="s">
        <v>9</v>
      </c>
      <c r="E2818" s="6">
        <v>6</v>
      </c>
      <c r="F2818" s="6">
        <v>4</v>
      </c>
      <c r="G2818" s="6" t="s">
        <v>12</v>
      </c>
      <c r="H2818" s="6" t="s">
        <v>18</v>
      </c>
      <c r="I2818" s="6">
        <f>TabJogos[[#This Row],[PontosTime1]]-TabJogos[[#This Row],[PontosTime2]]</f>
        <v>2</v>
      </c>
    </row>
    <row r="2819" spans="1:9" ht="15" customHeight="1" x14ac:dyDescent="0.25">
      <c r="A2819" s="7">
        <v>2818</v>
      </c>
      <c r="B2819" s="1">
        <v>43511</v>
      </c>
      <c r="C2819" s="6" t="s">
        <v>9</v>
      </c>
      <c r="D2819" s="6" t="s">
        <v>16</v>
      </c>
      <c r="E2819" s="6">
        <v>6</v>
      </c>
      <c r="F2819" s="6">
        <v>2</v>
      </c>
      <c r="G2819" s="6" t="s">
        <v>13</v>
      </c>
      <c r="H2819" s="6" t="s">
        <v>11</v>
      </c>
      <c r="I2819" s="6">
        <f>TabJogos[[#This Row],[PontosTime1]]-TabJogos[[#This Row],[PontosTime2]]</f>
        <v>4</v>
      </c>
    </row>
    <row r="2820" spans="1:9" ht="15" customHeight="1" x14ac:dyDescent="0.25">
      <c r="A2820" s="7">
        <v>2819</v>
      </c>
      <c r="B2820" s="1">
        <v>43511</v>
      </c>
      <c r="C2820" s="6" t="s">
        <v>18</v>
      </c>
      <c r="D2820" s="6" t="s">
        <v>16</v>
      </c>
      <c r="E2820" s="6">
        <v>6</v>
      </c>
      <c r="F2820" s="6">
        <v>2</v>
      </c>
      <c r="G2820" s="6" t="s">
        <v>10</v>
      </c>
      <c r="H2820" s="6" t="s">
        <v>9</v>
      </c>
      <c r="I2820" s="6">
        <f>TabJogos[[#This Row],[PontosTime1]]-TabJogos[[#This Row],[PontosTime2]]</f>
        <v>4</v>
      </c>
    </row>
    <row r="2821" spans="1:9" ht="15" customHeight="1" x14ac:dyDescent="0.25">
      <c r="A2821" s="7">
        <v>2820</v>
      </c>
      <c r="B2821" s="1">
        <v>43511</v>
      </c>
      <c r="C2821" s="6" t="s">
        <v>17</v>
      </c>
      <c r="D2821" s="6" t="s">
        <v>18</v>
      </c>
      <c r="E2821" s="6">
        <v>5</v>
      </c>
      <c r="F2821" s="6">
        <v>3</v>
      </c>
      <c r="G2821" s="6" t="s">
        <v>16</v>
      </c>
      <c r="H2821" s="6" t="s">
        <v>41</v>
      </c>
      <c r="I2821" s="6">
        <f>TabJogos[[#This Row],[PontosTime1]]-TabJogos[[#This Row],[PontosTime2]]</f>
        <v>2</v>
      </c>
    </row>
    <row r="2822" spans="1:9" ht="15" customHeight="1" x14ac:dyDescent="0.25">
      <c r="A2822" s="7">
        <v>2821</v>
      </c>
      <c r="B2822" s="1">
        <v>43511</v>
      </c>
      <c r="C2822" s="6" t="s">
        <v>17</v>
      </c>
      <c r="D2822" s="6" t="s">
        <v>13</v>
      </c>
      <c r="E2822" s="6">
        <v>0</v>
      </c>
      <c r="F2822" s="6">
        <v>6</v>
      </c>
      <c r="G2822" s="6" t="s">
        <v>18</v>
      </c>
      <c r="H2822" s="6" t="s">
        <v>11</v>
      </c>
      <c r="I2822" s="6">
        <f>TabJogos[[#This Row],[PontosTime1]]-TabJogos[[#This Row],[PontosTime2]]</f>
        <v>-6</v>
      </c>
    </row>
    <row r="2823" spans="1:9" ht="15" customHeight="1" x14ac:dyDescent="0.25">
      <c r="A2823" s="7">
        <v>2822</v>
      </c>
      <c r="B2823" s="1">
        <v>43511</v>
      </c>
      <c r="C2823" s="6" t="s">
        <v>41</v>
      </c>
      <c r="D2823" s="6" t="s">
        <v>18</v>
      </c>
      <c r="E2823" s="6">
        <v>3</v>
      </c>
      <c r="F2823" s="6">
        <v>5</v>
      </c>
      <c r="G2823" s="6" t="s">
        <v>11</v>
      </c>
      <c r="H2823" s="6" t="s">
        <v>9</v>
      </c>
      <c r="I2823" s="6">
        <f>TabJogos[[#This Row],[PontosTime1]]-TabJogos[[#This Row],[PontosTime2]]</f>
        <v>-2</v>
      </c>
    </row>
    <row r="2824" spans="1:9" ht="15" customHeight="1" x14ac:dyDescent="0.25">
      <c r="A2824" s="7">
        <v>2823</v>
      </c>
      <c r="B2824" s="1">
        <v>43511</v>
      </c>
      <c r="C2824" s="6" t="s">
        <v>9</v>
      </c>
      <c r="D2824" s="6" t="s">
        <v>13</v>
      </c>
      <c r="E2824" s="6">
        <v>3</v>
      </c>
      <c r="F2824" s="6">
        <v>5</v>
      </c>
      <c r="G2824" s="6" t="s">
        <v>11</v>
      </c>
      <c r="H2824" s="6" t="s">
        <v>17</v>
      </c>
      <c r="I2824" s="6">
        <f>TabJogos[[#This Row],[PontosTime1]]-TabJogos[[#This Row],[PontosTime2]]</f>
        <v>-2</v>
      </c>
    </row>
    <row r="2825" spans="1:9" ht="15" customHeight="1" x14ac:dyDescent="0.25">
      <c r="A2825" s="7">
        <v>2824</v>
      </c>
      <c r="B2825" s="1">
        <v>43511</v>
      </c>
      <c r="C2825" s="6" t="s">
        <v>17</v>
      </c>
      <c r="D2825" s="6" t="s">
        <v>18</v>
      </c>
      <c r="E2825" s="6">
        <v>5</v>
      </c>
      <c r="F2825" s="6">
        <v>4</v>
      </c>
      <c r="G2825" s="6" t="s">
        <v>11</v>
      </c>
      <c r="H2825" s="6" t="s">
        <v>13</v>
      </c>
      <c r="I2825" s="6">
        <f>TabJogos[[#This Row],[PontosTime1]]-TabJogos[[#This Row],[PontosTime2]]</f>
        <v>1</v>
      </c>
    </row>
    <row r="2826" spans="1:9" ht="15" customHeight="1" x14ac:dyDescent="0.25">
      <c r="A2826" s="7">
        <v>2825</v>
      </c>
      <c r="B2826" s="1">
        <v>43511</v>
      </c>
      <c r="C2826" s="6" t="s">
        <v>17</v>
      </c>
      <c r="D2826" s="6" t="s">
        <v>13</v>
      </c>
      <c r="E2826" s="6">
        <v>6</v>
      </c>
      <c r="F2826" s="6">
        <v>4</v>
      </c>
      <c r="G2826" s="6" t="s">
        <v>11</v>
      </c>
      <c r="H2826" s="6" t="s">
        <v>18</v>
      </c>
      <c r="I2826" s="6">
        <f>TabJogos[[#This Row],[PontosTime1]]-TabJogos[[#This Row],[PontosTime2]]</f>
        <v>2</v>
      </c>
    </row>
    <row r="2827" spans="1:9" ht="15" customHeight="1" x14ac:dyDescent="0.25">
      <c r="A2827" s="7">
        <v>2826</v>
      </c>
      <c r="B2827" s="1">
        <v>43514</v>
      </c>
      <c r="C2827" s="6" t="s">
        <v>11</v>
      </c>
      <c r="D2827" s="6" t="s">
        <v>18</v>
      </c>
      <c r="E2827" s="6">
        <v>5</v>
      </c>
      <c r="F2827" s="6">
        <v>3</v>
      </c>
      <c r="G2827" s="6" t="s">
        <v>13</v>
      </c>
      <c r="H2827" s="6" t="s">
        <v>16</v>
      </c>
      <c r="I2827" s="6">
        <f>TabJogos[[#This Row],[PontosTime1]]-TabJogos[[#This Row],[PontosTime2]]</f>
        <v>2</v>
      </c>
    </row>
    <row r="2828" spans="1:9" ht="15" customHeight="1" x14ac:dyDescent="0.25">
      <c r="A2828" s="7">
        <v>2827</v>
      </c>
      <c r="B2828" s="1">
        <v>43514</v>
      </c>
      <c r="C2828" s="6" t="s">
        <v>18</v>
      </c>
      <c r="D2828" s="6" t="s">
        <v>16</v>
      </c>
      <c r="E2828" s="6">
        <v>3</v>
      </c>
      <c r="F2828" s="6">
        <v>5</v>
      </c>
      <c r="G2828" s="6" t="s">
        <v>11</v>
      </c>
      <c r="H2828" s="6" t="s">
        <v>13</v>
      </c>
      <c r="I2828" s="6">
        <f>TabJogos[[#This Row],[PontosTime1]]-TabJogos[[#This Row],[PontosTime2]]</f>
        <v>-2</v>
      </c>
    </row>
    <row r="2829" spans="1:9" ht="15" customHeight="1" x14ac:dyDescent="0.25">
      <c r="A2829" s="7">
        <v>2828</v>
      </c>
      <c r="B2829" s="1">
        <v>43514</v>
      </c>
      <c r="C2829" s="6" t="s">
        <v>17</v>
      </c>
      <c r="D2829" s="6" t="s">
        <v>13</v>
      </c>
      <c r="E2829" s="6">
        <v>5</v>
      </c>
      <c r="F2829" s="6">
        <v>3</v>
      </c>
      <c r="G2829" s="6" t="s">
        <v>41</v>
      </c>
      <c r="H2829" s="6" t="s">
        <v>11</v>
      </c>
      <c r="I2829" s="6">
        <f>TabJogos[[#This Row],[PontosTime1]]-TabJogos[[#This Row],[PontosTime2]]</f>
        <v>2</v>
      </c>
    </row>
    <row r="2830" spans="1:9" ht="15" customHeight="1" x14ac:dyDescent="0.25">
      <c r="A2830" s="7">
        <v>2829</v>
      </c>
      <c r="B2830" s="1">
        <v>43514</v>
      </c>
      <c r="C2830" s="6" t="s">
        <v>13</v>
      </c>
      <c r="D2830" s="6" t="s">
        <v>18</v>
      </c>
      <c r="E2830" s="6">
        <v>5</v>
      </c>
      <c r="F2830" s="6">
        <v>3</v>
      </c>
      <c r="G2830" s="6" t="s">
        <v>17</v>
      </c>
      <c r="H2830" s="6" t="s">
        <v>11</v>
      </c>
      <c r="I2830" s="6">
        <f>TabJogos[[#This Row],[PontosTime1]]-TabJogos[[#This Row],[PontosTime2]]</f>
        <v>2</v>
      </c>
    </row>
    <row r="2831" spans="1:9" ht="15" customHeight="1" x14ac:dyDescent="0.25">
      <c r="A2831" s="7">
        <v>2830</v>
      </c>
      <c r="B2831" s="1">
        <v>43514</v>
      </c>
      <c r="C2831" s="6" t="s">
        <v>13</v>
      </c>
      <c r="D2831" s="6" t="s">
        <v>41</v>
      </c>
      <c r="E2831" s="6">
        <v>2</v>
      </c>
      <c r="F2831" s="6">
        <v>6</v>
      </c>
      <c r="G2831" s="6" t="s">
        <v>18</v>
      </c>
      <c r="H2831" s="6" t="s">
        <v>32</v>
      </c>
      <c r="I2831" s="6">
        <f>TabJogos[[#This Row],[PontosTime1]]-TabJogos[[#This Row],[PontosTime2]]</f>
        <v>-4</v>
      </c>
    </row>
    <row r="2832" spans="1:9" ht="15" customHeight="1" x14ac:dyDescent="0.25">
      <c r="A2832" s="7">
        <v>2831</v>
      </c>
      <c r="B2832" s="1">
        <v>43514</v>
      </c>
      <c r="C2832" s="6" t="s">
        <v>18</v>
      </c>
      <c r="D2832" s="6" t="s">
        <v>17</v>
      </c>
      <c r="E2832" s="6">
        <v>4</v>
      </c>
      <c r="F2832" s="6">
        <v>5</v>
      </c>
      <c r="G2832" s="6" t="s">
        <v>32</v>
      </c>
      <c r="H2832" s="6" t="s">
        <v>11</v>
      </c>
      <c r="I2832" s="6">
        <f>TabJogos[[#This Row],[PontosTime1]]-TabJogos[[#This Row],[PontosTime2]]</f>
        <v>-1</v>
      </c>
    </row>
    <row r="2833" spans="1:9" ht="15" customHeight="1" x14ac:dyDescent="0.25">
      <c r="A2833" s="7">
        <v>2832</v>
      </c>
      <c r="B2833" s="1">
        <v>43514</v>
      </c>
      <c r="C2833" s="6" t="s">
        <v>11</v>
      </c>
      <c r="D2833" s="6" t="s">
        <v>41</v>
      </c>
      <c r="E2833" s="6">
        <v>2</v>
      </c>
      <c r="F2833" s="6">
        <v>5</v>
      </c>
      <c r="G2833" s="6" t="s">
        <v>32</v>
      </c>
      <c r="H2833" s="6" t="s">
        <v>13</v>
      </c>
      <c r="I2833" s="6">
        <f>TabJogos[[#This Row],[PontosTime1]]-TabJogos[[#This Row],[PontosTime2]]</f>
        <v>-3</v>
      </c>
    </row>
    <row r="2834" spans="1:9" ht="15" customHeight="1" x14ac:dyDescent="0.25">
      <c r="A2834" s="7">
        <v>2833</v>
      </c>
      <c r="B2834" s="1">
        <v>43514</v>
      </c>
      <c r="C2834" s="6" t="s">
        <v>32</v>
      </c>
      <c r="D2834" s="6" t="s">
        <v>17</v>
      </c>
      <c r="E2834" s="6">
        <v>5</v>
      </c>
      <c r="F2834" s="6">
        <v>3</v>
      </c>
      <c r="G2834" s="6" t="s">
        <v>18</v>
      </c>
      <c r="H2834" s="6" t="s">
        <v>13</v>
      </c>
      <c r="I2834" s="6">
        <f>TabJogos[[#This Row],[PontosTime1]]-TabJogos[[#This Row],[PontosTime2]]</f>
        <v>2</v>
      </c>
    </row>
    <row r="2835" spans="1:9" ht="15" customHeight="1" x14ac:dyDescent="0.25">
      <c r="A2835" s="7">
        <v>2834</v>
      </c>
      <c r="B2835" s="1">
        <v>43514</v>
      </c>
      <c r="C2835" s="6" t="s">
        <v>17</v>
      </c>
      <c r="D2835" s="6" t="s">
        <v>13</v>
      </c>
      <c r="E2835" s="6">
        <v>5</v>
      </c>
      <c r="F2835" s="6">
        <v>3</v>
      </c>
      <c r="G2835" s="6" t="s">
        <v>18</v>
      </c>
      <c r="H2835" s="6" t="s">
        <v>11</v>
      </c>
      <c r="I2835" s="6">
        <f>TabJogos[[#This Row],[PontosTime1]]-TabJogos[[#This Row],[PontosTime2]]</f>
        <v>2</v>
      </c>
    </row>
    <row r="2836" spans="1:9" ht="15" customHeight="1" x14ac:dyDescent="0.25">
      <c r="A2836" s="7">
        <v>2835</v>
      </c>
      <c r="B2836" s="1">
        <v>43514</v>
      </c>
      <c r="C2836" s="6" t="s">
        <v>11</v>
      </c>
      <c r="D2836" s="6" t="s">
        <v>17</v>
      </c>
      <c r="E2836" s="6">
        <v>5</v>
      </c>
      <c r="F2836" s="6">
        <v>1</v>
      </c>
      <c r="G2836" s="6" t="s">
        <v>18</v>
      </c>
      <c r="H2836" s="6" t="s">
        <v>13</v>
      </c>
      <c r="I2836" s="6">
        <f>TabJogos[[#This Row],[PontosTime1]]-TabJogos[[#This Row],[PontosTime2]]</f>
        <v>4</v>
      </c>
    </row>
    <row r="2837" spans="1:9" ht="15" customHeight="1" x14ac:dyDescent="0.25">
      <c r="A2837" s="7">
        <v>2836</v>
      </c>
      <c r="B2837" s="1">
        <v>43515</v>
      </c>
      <c r="C2837" s="6" t="s">
        <v>13</v>
      </c>
      <c r="D2837" s="6" t="s">
        <v>18</v>
      </c>
      <c r="E2837" s="6">
        <v>1</v>
      </c>
      <c r="F2837" s="6">
        <v>5</v>
      </c>
      <c r="G2837" s="6" t="s">
        <v>10</v>
      </c>
      <c r="H2837" s="6" t="s">
        <v>11</v>
      </c>
      <c r="I2837" s="6">
        <f>TabJogos[[#This Row],[PontosTime1]]-TabJogos[[#This Row],[PontosTime2]]</f>
        <v>-4</v>
      </c>
    </row>
    <row r="2838" spans="1:9" ht="15" customHeight="1" x14ac:dyDescent="0.25">
      <c r="A2838" s="7">
        <v>2837</v>
      </c>
      <c r="B2838" s="1">
        <v>43515</v>
      </c>
      <c r="C2838" s="6" t="s">
        <v>10</v>
      </c>
      <c r="D2838" s="6" t="s">
        <v>41</v>
      </c>
      <c r="E2838" s="6">
        <v>3</v>
      </c>
      <c r="F2838" s="6">
        <v>5</v>
      </c>
      <c r="G2838" s="6" t="s">
        <v>11</v>
      </c>
      <c r="H2838" s="6" t="s">
        <v>13</v>
      </c>
      <c r="I2838" s="6">
        <f>TabJogos[[#This Row],[PontosTime1]]-TabJogos[[#This Row],[PontosTime2]]</f>
        <v>-2</v>
      </c>
    </row>
    <row r="2839" spans="1:9" ht="15" customHeight="1" x14ac:dyDescent="0.25">
      <c r="A2839" s="7">
        <v>2838</v>
      </c>
      <c r="B2839" s="1">
        <v>43515</v>
      </c>
      <c r="C2839" s="6" t="s">
        <v>13</v>
      </c>
      <c r="D2839" s="6" t="s">
        <v>10</v>
      </c>
      <c r="E2839" s="6">
        <v>3</v>
      </c>
      <c r="F2839" s="6">
        <v>5</v>
      </c>
      <c r="G2839" s="6" t="s">
        <v>11</v>
      </c>
      <c r="H2839" s="6" t="s">
        <v>18</v>
      </c>
      <c r="I2839" s="6">
        <f>TabJogos[[#This Row],[PontosTime1]]-TabJogos[[#This Row],[PontosTime2]]</f>
        <v>-2</v>
      </c>
    </row>
    <row r="2840" spans="1:9" ht="15" customHeight="1" x14ac:dyDescent="0.25">
      <c r="A2840" s="7">
        <v>2839</v>
      </c>
      <c r="B2840" s="1">
        <v>43515</v>
      </c>
      <c r="C2840" s="6" t="s">
        <v>10</v>
      </c>
      <c r="D2840" s="6" t="s">
        <v>18</v>
      </c>
      <c r="E2840" s="6">
        <v>6</v>
      </c>
      <c r="F2840" s="6">
        <v>0</v>
      </c>
      <c r="G2840" s="6" t="s">
        <v>11</v>
      </c>
      <c r="H2840" s="6" t="s">
        <v>41</v>
      </c>
      <c r="I2840" s="6">
        <f>TabJogos[[#This Row],[PontosTime1]]-TabJogos[[#This Row],[PontosTime2]]</f>
        <v>6</v>
      </c>
    </row>
    <row r="2841" spans="1:9" ht="15" customHeight="1" x14ac:dyDescent="0.25">
      <c r="A2841" s="7">
        <v>2840</v>
      </c>
      <c r="B2841" s="1">
        <v>43515</v>
      </c>
      <c r="C2841" s="6" t="s">
        <v>10</v>
      </c>
      <c r="D2841" s="6" t="s">
        <v>41</v>
      </c>
      <c r="E2841" s="6">
        <v>5</v>
      </c>
      <c r="F2841" s="6">
        <v>2</v>
      </c>
      <c r="G2841" s="6" t="s">
        <v>18</v>
      </c>
      <c r="H2841" s="6" t="s">
        <v>13</v>
      </c>
      <c r="I2841" s="6">
        <f>TabJogos[[#This Row],[PontosTime1]]-TabJogos[[#This Row],[PontosTime2]]</f>
        <v>3</v>
      </c>
    </row>
    <row r="2842" spans="1:9" ht="15" customHeight="1" x14ac:dyDescent="0.25">
      <c r="A2842" s="7">
        <v>2841</v>
      </c>
      <c r="B2842" s="1">
        <v>43515</v>
      </c>
      <c r="C2842" s="6" t="s">
        <v>11</v>
      </c>
      <c r="D2842" s="6" t="s">
        <v>10</v>
      </c>
      <c r="E2842" s="6">
        <v>5</v>
      </c>
      <c r="F2842" s="6">
        <v>3</v>
      </c>
      <c r="G2842" s="6" t="s">
        <v>18</v>
      </c>
      <c r="H2842" s="6" t="s">
        <v>41</v>
      </c>
      <c r="I2842" s="6">
        <f>TabJogos[[#This Row],[PontosTime1]]-TabJogos[[#This Row],[PontosTime2]]</f>
        <v>2</v>
      </c>
    </row>
    <row r="2843" spans="1:9" ht="15" customHeight="1" x14ac:dyDescent="0.25">
      <c r="A2843" s="7">
        <v>2842</v>
      </c>
      <c r="B2843" s="1">
        <v>43515</v>
      </c>
      <c r="C2843" s="6" t="s">
        <v>11</v>
      </c>
      <c r="D2843" s="6" t="s">
        <v>18</v>
      </c>
      <c r="E2843" s="6">
        <v>5</v>
      </c>
      <c r="F2843" s="6">
        <v>3</v>
      </c>
      <c r="G2843" s="6" t="s">
        <v>13</v>
      </c>
      <c r="H2843" s="6" t="s">
        <v>10</v>
      </c>
      <c r="I2843" s="6">
        <f>TabJogos[[#This Row],[PontosTime1]]-TabJogos[[#This Row],[PontosTime2]]</f>
        <v>2</v>
      </c>
    </row>
    <row r="2844" spans="1:9" ht="15" customHeight="1" x14ac:dyDescent="0.25">
      <c r="A2844" s="7">
        <v>2843</v>
      </c>
      <c r="B2844" s="1">
        <v>43515</v>
      </c>
      <c r="C2844" s="6" t="s">
        <v>13</v>
      </c>
      <c r="D2844" s="6" t="s">
        <v>18</v>
      </c>
      <c r="E2844" s="6">
        <v>3</v>
      </c>
      <c r="F2844" s="6">
        <v>5</v>
      </c>
      <c r="G2844" s="6" t="s">
        <v>11</v>
      </c>
      <c r="H2844" s="6" t="s">
        <v>41</v>
      </c>
      <c r="I2844" s="6">
        <f>TabJogos[[#This Row],[PontosTime1]]-TabJogos[[#This Row],[PontosTime2]]</f>
        <v>-2</v>
      </c>
    </row>
    <row r="2845" spans="1:9" ht="15" customHeight="1" x14ac:dyDescent="0.25">
      <c r="A2845" s="7">
        <v>2844</v>
      </c>
      <c r="B2845" s="1">
        <v>43515</v>
      </c>
      <c r="C2845" s="6" t="s">
        <v>11</v>
      </c>
      <c r="D2845" s="6" t="s">
        <v>13</v>
      </c>
      <c r="E2845" s="6">
        <v>5</v>
      </c>
      <c r="F2845" s="6">
        <v>3</v>
      </c>
      <c r="G2845" s="6" t="s">
        <v>18</v>
      </c>
      <c r="H2845" s="6" t="s">
        <v>41</v>
      </c>
      <c r="I2845" s="6">
        <f>TabJogos[[#This Row],[PontosTime1]]-TabJogos[[#This Row],[PontosTime2]]</f>
        <v>2</v>
      </c>
    </row>
    <row r="2846" spans="1:9" ht="15" customHeight="1" x14ac:dyDescent="0.25">
      <c r="A2846" s="7">
        <v>2845</v>
      </c>
      <c r="B2846" s="1">
        <v>43516</v>
      </c>
      <c r="C2846" s="6" t="s">
        <v>18</v>
      </c>
      <c r="D2846" s="6" t="s">
        <v>13</v>
      </c>
      <c r="E2846" s="6">
        <v>1</v>
      </c>
      <c r="F2846" s="6">
        <v>5</v>
      </c>
      <c r="G2846" s="6" t="s">
        <v>11</v>
      </c>
      <c r="H2846" s="6" t="s">
        <v>10</v>
      </c>
      <c r="I2846" s="6">
        <f>TabJogos[[#This Row],[PontosTime1]]-TabJogos[[#This Row],[PontosTime2]]</f>
        <v>-4</v>
      </c>
    </row>
    <row r="2847" spans="1:9" ht="15" customHeight="1" x14ac:dyDescent="0.25">
      <c r="A2847" s="7">
        <v>2846</v>
      </c>
      <c r="B2847" s="1">
        <v>43516</v>
      </c>
      <c r="C2847" s="6" t="s">
        <v>18</v>
      </c>
      <c r="D2847" s="6" t="s">
        <v>11</v>
      </c>
      <c r="E2847" s="6">
        <v>5</v>
      </c>
      <c r="F2847" s="6">
        <v>3</v>
      </c>
      <c r="G2847" s="6" t="s">
        <v>10</v>
      </c>
      <c r="H2847" s="6" t="s">
        <v>41</v>
      </c>
      <c r="I2847" s="6">
        <f>TabJogos[[#This Row],[PontosTime1]]-TabJogos[[#This Row],[PontosTime2]]</f>
        <v>2</v>
      </c>
    </row>
    <row r="2848" spans="1:9" ht="15" customHeight="1" x14ac:dyDescent="0.25">
      <c r="A2848" s="7">
        <v>2847</v>
      </c>
      <c r="B2848" s="1">
        <v>43516</v>
      </c>
      <c r="C2848" s="6" t="s">
        <v>41</v>
      </c>
      <c r="D2848" s="6" t="s">
        <v>18</v>
      </c>
      <c r="E2848" s="6">
        <v>5</v>
      </c>
      <c r="F2848" s="6">
        <v>3</v>
      </c>
      <c r="G2848" s="6" t="s">
        <v>11</v>
      </c>
      <c r="H2848" s="6" t="s">
        <v>13</v>
      </c>
      <c r="I2848" s="6">
        <f>TabJogos[[#This Row],[PontosTime1]]-TabJogos[[#This Row],[PontosTime2]]</f>
        <v>2</v>
      </c>
    </row>
    <row r="2849" spans="1:9" ht="15" customHeight="1" x14ac:dyDescent="0.25">
      <c r="A2849" s="7">
        <v>2848</v>
      </c>
      <c r="B2849" s="1">
        <v>43516</v>
      </c>
      <c r="C2849" s="6" t="s">
        <v>18</v>
      </c>
      <c r="D2849" s="6" t="s">
        <v>27</v>
      </c>
      <c r="E2849" s="6">
        <v>5</v>
      </c>
      <c r="F2849" s="6">
        <v>2</v>
      </c>
      <c r="G2849" s="6" t="s">
        <v>11</v>
      </c>
      <c r="H2849" s="6" t="s">
        <v>41</v>
      </c>
      <c r="I2849" s="6">
        <f>TabJogos[[#This Row],[PontosTime1]]-TabJogos[[#This Row],[PontosTime2]]</f>
        <v>3</v>
      </c>
    </row>
    <row r="2850" spans="1:9" ht="15" customHeight="1" x14ac:dyDescent="0.25">
      <c r="A2850" s="7">
        <v>2849</v>
      </c>
      <c r="B2850" s="1">
        <v>43516</v>
      </c>
      <c r="C2850" s="6" t="s">
        <v>13</v>
      </c>
      <c r="D2850" s="6" t="s">
        <v>18</v>
      </c>
      <c r="E2850" s="6">
        <v>3</v>
      </c>
      <c r="F2850" s="6">
        <v>5</v>
      </c>
      <c r="G2850" s="6" t="s">
        <v>41</v>
      </c>
      <c r="H2850" s="6" t="s">
        <v>18</v>
      </c>
      <c r="I2850" s="6">
        <f>TabJogos[[#This Row],[PontosTime1]]-TabJogos[[#This Row],[PontosTime2]]</f>
        <v>-2</v>
      </c>
    </row>
    <row r="2851" spans="1:9" ht="15" customHeight="1" x14ac:dyDescent="0.25">
      <c r="A2851" s="7">
        <v>2850</v>
      </c>
      <c r="B2851" s="1">
        <v>43516</v>
      </c>
      <c r="C2851" s="6" t="s">
        <v>13</v>
      </c>
      <c r="D2851" s="6" t="s">
        <v>41</v>
      </c>
      <c r="E2851" s="6">
        <v>3</v>
      </c>
      <c r="F2851" s="6">
        <v>5</v>
      </c>
      <c r="G2851" s="6" t="s">
        <v>27</v>
      </c>
      <c r="H2851" s="6" t="s">
        <v>11</v>
      </c>
      <c r="I2851" s="6">
        <f>TabJogos[[#This Row],[PontosTime1]]-TabJogos[[#This Row],[PontosTime2]]</f>
        <v>-2</v>
      </c>
    </row>
    <row r="2852" spans="1:9" ht="15" customHeight="1" x14ac:dyDescent="0.25">
      <c r="A2852" s="7">
        <v>2851</v>
      </c>
      <c r="B2852" s="1">
        <v>43516</v>
      </c>
      <c r="C2852" s="6" t="s">
        <v>27</v>
      </c>
      <c r="D2852" s="6" t="s">
        <v>13</v>
      </c>
      <c r="E2852" s="6">
        <v>5</v>
      </c>
      <c r="F2852" s="6">
        <v>1</v>
      </c>
      <c r="G2852" s="6" t="s">
        <v>11</v>
      </c>
      <c r="H2852" s="6" t="s">
        <v>18</v>
      </c>
      <c r="I2852" s="6">
        <f>TabJogos[[#This Row],[PontosTime1]]-TabJogos[[#This Row],[PontosTime2]]</f>
        <v>4</v>
      </c>
    </row>
    <row r="2853" spans="1:9" ht="15" customHeight="1" x14ac:dyDescent="0.25">
      <c r="A2853" s="7">
        <v>2852</v>
      </c>
      <c r="B2853" s="1">
        <v>43516</v>
      </c>
      <c r="C2853" s="6" t="s">
        <v>11</v>
      </c>
      <c r="D2853" s="6" t="s">
        <v>18</v>
      </c>
      <c r="E2853" s="6">
        <v>0</v>
      </c>
      <c r="F2853" s="6">
        <v>6</v>
      </c>
      <c r="G2853" s="6" t="s">
        <v>32</v>
      </c>
      <c r="H2853" s="6" t="s">
        <v>13</v>
      </c>
      <c r="I2853" s="6">
        <f>TabJogos[[#This Row],[PontosTime1]]-TabJogos[[#This Row],[PontosTime2]]</f>
        <v>-6</v>
      </c>
    </row>
    <row r="2854" spans="1:9" ht="15" customHeight="1" x14ac:dyDescent="0.25">
      <c r="A2854" s="7">
        <v>2853</v>
      </c>
      <c r="B2854" s="1">
        <v>43516</v>
      </c>
      <c r="C2854" s="6" t="s">
        <v>13</v>
      </c>
      <c r="D2854" s="6" t="s">
        <v>18</v>
      </c>
      <c r="E2854" s="6">
        <v>5</v>
      </c>
      <c r="F2854" s="6">
        <v>0</v>
      </c>
      <c r="G2854" s="6" t="s">
        <v>32</v>
      </c>
      <c r="H2854" s="6" t="s">
        <v>11</v>
      </c>
      <c r="I2854" s="6">
        <f>TabJogos[[#This Row],[PontosTime1]]-TabJogos[[#This Row],[PontosTime2]]</f>
        <v>5</v>
      </c>
    </row>
    <row r="2855" spans="1:9" ht="15" customHeight="1" x14ac:dyDescent="0.25">
      <c r="A2855" s="7">
        <v>2854</v>
      </c>
      <c r="B2855" s="1">
        <v>43517</v>
      </c>
      <c r="C2855" s="6" t="s">
        <v>13</v>
      </c>
      <c r="D2855" s="6" t="s">
        <v>10</v>
      </c>
      <c r="E2855" s="6">
        <v>1</v>
      </c>
      <c r="F2855" s="6">
        <v>5</v>
      </c>
      <c r="G2855" s="6" t="s">
        <v>32</v>
      </c>
      <c r="H2855" s="6" t="s">
        <v>12</v>
      </c>
      <c r="I2855" s="6">
        <f>TabJogos[[#This Row],[PontosTime1]]-TabJogos[[#This Row],[PontosTime2]]</f>
        <v>-4</v>
      </c>
    </row>
    <row r="2856" spans="1:9" ht="15" customHeight="1" x14ac:dyDescent="0.25">
      <c r="A2856" s="7">
        <v>2855</v>
      </c>
      <c r="B2856" s="1">
        <v>43517</v>
      </c>
      <c r="C2856" s="6" t="s">
        <v>32</v>
      </c>
      <c r="D2856" s="6" t="s">
        <v>9</v>
      </c>
      <c r="E2856" s="6">
        <v>1</v>
      </c>
      <c r="F2856" s="6">
        <v>6</v>
      </c>
      <c r="G2856" s="6" t="s">
        <v>12</v>
      </c>
      <c r="H2856" s="6" t="s">
        <v>18</v>
      </c>
      <c r="I2856" s="6">
        <f>TabJogos[[#This Row],[PontosTime1]]-TabJogos[[#This Row],[PontosTime2]]</f>
        <v>-5</v>
      </c>
    </row>
    <row r="2857" spans="1:9" ht="15" customHeight="1" x14ac:dyDescent="0.25">
      <c r="A2857" s="7">
        <v>2856</v>
      </c>
      <c r="B2857" s="1">
        <v>43517</v>
      </c>
      <c r="C2857" s="6" t="s">
        <v>18</v>
      </c>
      <c r="D2857" s="6" t="s">
        <v>41</v>
      </c>
      <c r="E2857" s="6">
        <v>6</v>
      </c>
      <c r="F2857" s="6">
        <v>3</v>
      </c>
      <c r="G2857" s="6" t="s">
        <v>10</v>
      </c>
      <c r="H2857" s="6" t="s">
        <v>12</v>
      </c>
      <c r="I2857" s="6">
        <f>TabJogos[[#This Row],[PontosTime1]]-TabJogos[[#This Row],[PontosTime2]]</f>
        <v>3</v>
      </c>
    </row>
    <row r="2858" spans="1:9" ht="15" customHeight="1" x14ac:dyDescent="0.25">
      <c r="A2858" s="7">
        <v>2857</v>
      </c>
      <c r="B2858" s="1">
        <v>43517</v>
      </c>
      <c r="C2858" s="6" t="s">
        <v>41</v>
      </c>
      <c r="D2858" s="6" t="s">
        <v>32</v>
      </c>
      <c r="E2858" s="6">
        <v>2</v>
      </c>
      <c r="F2858" s="6">
        <v>5</v>
      </c>
      <c r="G2858" s="6" t="s">
        <v>18</v>
      </c>
      <c r="H2858" s="6" t="s">
        <v>13</v>
      </c>
      <c r="I2858" s="6">
        <f>TabJogos[[#This Row],[PontosTime1]]-TabJogos[[#This Row],[PontosTime2]]</f>
        <v>-3</v>
      </c>
    </row>
    <row r="2859" spans="1:9" ht="15" customHeight="1" x14ac:dyDescent="0.25">
      <c r="A2859" s="7">
        <v>2858</v>
      </c>
      <c r="B2859" s="1">
        <v>43517</v>
      </c>
      <c r="C2859" s="6" t="s">
        <v>13</v>
      </c>
      <c r="D2859" s="6" t="s">
        <v>9</v>
      </c>
      <c r="E2859" s="6">
        <v>0</v>
      </c>
      <c r="F2859" s="6">
        <v>5</v>
      </c>
      <c r="G2859" s="6" t="s">
        <v>18</v>
      </c>
      <c r="H2859" s="6" t="s">
        <v>27</v>
      </c>
      <c r="I2859" s="6">
        <f>TabJogos[[#This Row],[PontosTime1]]-TabJogos[[#This Row],[PontosTime2]]</f>
        <v>-5</v>
      </c>
    </row>
    <row r="2860" spans="1:9" ht="15" customHeight="1" x14ac:dyDescent="0.25">
      <c r="A2860" s="7">
        <v>2859</v>
      </c>
      <c r="B2860" s="1">
        <v>43517</v>
      </c>
      <c r="C2860" s="6" t="s">
        <v>18</v>
      </c>
      <c r="D2860" s="6" t="s">
        <v>11</v>
      </c>
      <c r="E2860" s="6">
        <v>2</v>
      </c>
      <c r="F2860" s="6">
        <v>5</v>
      </c>
      <c r="G2860" s="6" t="s">
        <v>27</v>
      </c>
      <c r="H2860" s="6" t="s">
        <v>41</v>
      </c>
      <c r="I2860" s="6">
        <f>TabJogos[[#This Row],[PontosTime1]]-TabJogos[[#This Row],[PontosTime2]]</f>
        <v>-3</v>
      </c>
    </row>
    <row r="2861" spans="1:9" ht="15" customHeight="1" x14ac:dyDescent="0.25">
      <c r="A2861" s="7">
        <v>2860</v>
      </c>
      <c r="B2861" s="1">
        <v>43517</v>
      </c>
      <c r="C2861" s="6" t="s">
        <v>41</v>
      </c>
      <c r="D2861" s="6" t="s">
        <v>9</v>
      </c>
      <c r="E2861" s="6">
        <v>0</v>
      </c>
      <c r="F2861" s="6">
        <v>5</v>
      </c>
      <c r="G2861" s="6" t="s">
        <v>27</v>
      </c>
      <c r="H2861" s="6" t="s">
        <v>32</v>
      </c>
      <c r="I2861" s="6">
        <f>TabJogos[[#This Row],[PontosTime1]]-TabJogos[[#This Row],[PontosTime2]]</f>
        <v>-5</v>
      </c>
    </row>
    <row r="2862" spans="1:9" ht="15" customHeight="1" x14ac:dyDescent="0.25">
      <c r="A2862" s="7">
        <v>2861</v>
      </c>
      <c r="B2862" s="1">
        <v>43517</v>
      </c>
      <c r="C2862" s="6" t="s">
        <v>27</v>
      </c>
      <c r="D2862" s="6" t="s">
        <v>11</v>
      </c>
      <c r="E2862" s="6">
        <v>5</v>
      </c>
      <c r="F2862" s="6">
        <v>4</v>
      </c>
      <c r="G2862" s="6" t="s">
        <v>13</v>
      </c>
      <c r="H2862" s="6" t="s">
        <v>18</v>
      </c>
      <c r="I2862" s="6">
        <f>TabJogos[[#This Row],[PontosTime1]]-TabJogos[[#This Row],[PontosTime2]]</f>
        <v>1</v>
      </c>
    </row>
    <row r="2863" spans="1:9" ht="15" customHeight="1" x14ac:dyDescent="0.25">
      <c r="A2863" s="7">
        <v>2862</v>
      </c>
      <c r="B2863" s="1">
        <v>43517</v>
      </c>
      <c r="C2863" s="6" t="s">
        <v>13</v>
      </c>
      <c r="D2863" s="6" t="s">
        <v>11</v>
      </c>
      <c r="E2863" s="6">
        <v>5</v>
      </c>
      <c r="F2863" s="6">
        <v>2</v>
      </c>
      <c r="G2863" s="6" t="s">
        <v>18</v>
      </c>
      <c r="H2863" s="6" t="s">
        <v>9</v>
      </c>
      <c r="I2863" s="6">
        <f>TabJogos[[#This Row],[PontosTime1]]-TabJogos[[#This Row],[PontosTime2]]</f>
        <v>3</v>
      </c>
    </row>
    <row r="2864" spans="1:9" ht="15" customHeight="1" x14ac:dyDescent="0.25">
      <c r="A2864" s="7">
        <v>2863</v>
      </c>
      <c r="B2864" s="1">
        <v>43517</v>
      </c>
      <c r="C2864" s="6" t="s">
        <v>13</v>
      </c>
      <c r="D2864" s="6" t="s">
        <v>18</v>
      </c>
      <c r="E2864" s="6">
        <v>5</v>
      </c>
      <c r="F2864" s="6">
        <v>0</v>
      </c>
      <c r="G2864" s="6" t="s">
        <v>11</v>
      </c>
      <c r="H2864" s="6" t="s">
        <v>9</v>
      </c>
      <c r="I2864" s="6">
        <f>TabJogos[[#This Row],[PontosTime1]]-TabJogos[[#This Row],[PontosTime2]]</f>
        <v>5</v>
      </c>
    </row>
    <row r="2865" spans="1:9" ht="15" customHeight="1" x14ac:dyDescent="0.25">
      <c r="A2865" s="7">
        <v>2864</v>
      </c>
      <c r="B2865" s="1">
        <v>43517</v>
      </c>
      <c r="C2865" s="6" t="s">
        <v>11</v>
      </c>
      <c r="D2865" s="6" t="s">
        <v>18</v>
      </c>
      <c r="E2865" s="6">
        <v>5</v>
      </c>
      <c r="F2865" s="6">
        <v>2</v>
      </c>
      <c r="G2865" s="6" t="s">
        <v>13</v>
      </c>
      <c r="H2865" s="6" t="s">
        <v>9</v>
      </c>
      <c r="I2865" s="6">
        <f>TabJogos[[#This Row],[PontosTime1]]-TabJogos[[#This Row],[PontosTime2]]</f>
        <v>3</v>
      </c>
    </row>
    <row r="2866" spans="1:9" ht="15" customHeight="1" x14ac:dyDescent="0.25">
      <c r="A2866" s="7">
        <v>2865</v>
      </c>
      <c r="B2866" s="1">
        <v>43517</v>
      </c>
      <c r="C2866" s="6" t="s">
        <v>13</v>
      </c>
      <c r="D2866" s="6" t="s">
        <v>18</v>
      </c>
      <c r="E2866" s="6">
        <v>2</v>
      </c>
      <c r="F2866" s="6">
        <v>5</v>
      </c>
      <c r="G2866" s="6" t="s">
        <v>11</v>
      </c>
      <c r="H2866" s="6" t="s">
        <v>9</v>
      </c>
      <c r="I2866" s="6">
        <f>TabJogos[[#This Row],[PontosTime1]]-TabJogos[[#This Row],[PontosTime2]]</f>
        <v>-3</v>
      </c>
    </row>
    <row r="2867" spans="1:9" ht="15" customHeight="1" x14ac:dyDescent="0.25">
      <c r="A2867" s="7">
        <v>2866</v>
      </c>
      <c r="B2867" s="1">
        <v>43517</v>
      </c>
      <c r="C2867" s="6" t="s">
        <v>11</v>
      </c>
      <c r="D2867" s="6" t="s">
        <v>13</v>
      </c>
      <c r="E2867" s="6">
        <v>5</v>
      </c>
      <c r="F2867" s="6">
        <v>1</v>
      </c>
      <c r="G2867" s="6" t="s">
        <v>9</v>
      </c>
      <c r="H2867" s="6" t="s">
        <v>18</v>
      </c>
      <c r="I2867" s="6">
        <f>TabJogos[[#This Row],[PontosTime1]]-TabJogos[[#This Row],[PontosTime2]]</f>
        <v>4</v>
      </c>
    </row>
    <row r="2868" spans="1:9" ht="15" customHeight="1" x14ac:dyDescent="0.25">
      <c r="A2868" s="7">
        <v>2867</v>
      </c>
      <c r="B2868" s="1">
        <v>43517</v>
      </c>
      <c r="C2868" s="6" t="s">
        <v>11</v>
      </c>
      <c r="D2868" s="6" t="s">
        <v>18</v>
      </c>
      <c r="E2868" s="6">
        <v>1</v>
      </c>
      <c r="F2868" s="6">
        <v>5</v>
      </c>
      <c r="G2868" s="6" t="s">
        <v>13</v>
      </c>
      <c r="H2868" s="6" t="s">
        <v>9</v>
      </c>
      <c r="I2868" s="6">
        <f>TabJogos[[#This Row],[PontosTime1]]-TabJogos[[#This Row],[PontosTime2]]</f>
        <v>-4</v>
      </c>
    </row>
    <row r="2869" spans="1:9" ht="15" customHeight="1" x14ac:dyDescent="0.25">
      <c r="A2869" s="7">
        <v>2868</v>
      </c>
      <c r="B2869" s="1">
        <v>43518</v>
      </c>
      <c r="C2869" s="6" t="s">
        <v>13</v>
      </c>
      <c r="D2869" s="6" t="s">
        <v>41</v>
      </c>
      <c r="E2869" s="6">
        <v>5</v>
      </c>
      <c r="F2869" s="6">
        <v>3</v>
      </c>
      <c r="G2869" s="6" t="s">
        <v>32</v>
      </c>
      <c r="H2869" s="6" t="s">
        <v>10</v>
      </c>
      <c r="I2869" s="6">
        <f>TabJogos[[#This Row],[PontosTime1]]-TabJogos[[#This Row],[PontosTime2]]</f>
        <v>2</v>
      </c>
    </row>
    <row r="2870" spans="1:9" ht="15" customHeight="1" x14ac:dyDescent="0.25">
      <c r="A2870" s="7">
        <v>2869</v>
      </c>
      <c r="B2870" s="1">
        <v>43518</v>
      </c>
      <c r="C2870" s="6" t="s">
        <v>41</v>
      </c>
      <c r="D2870" s="6" t="s">
        <v>11</v>
      </c>
      <c r="E2870" s="6">
        <v>5</v>
      </c>
      <c r="F2870" s="6">
        <v>2</v>
      </c>
      <c r="G2870" s="6" t="s">
        <v>12</v>
      </c>
      <c r="H2870" s="6" t="s">
        <v>13</v>
      </c>
      <c r="I2870" s="6">
        <f>TabJogos[[#This Row],[PontosTime1]]-TabJogos[[#This Row],[PontosTime2]]</f>
        <v>3</v>
      </c>
    </row>
    <row r="2871" spans="1:9" ht="15" customHeight="1" x14ac:dyDescent="0.25">
      <c r="A2871" s="7">
        <v>2870</v>
      </c>
      <c r="B2871" s="1">
        <v>43518</v>
      </c>
      <c r="C2871" s="6" t="s">
        <v>32</v>
      </c>
      <c r="D2871" s="6" t="s">
        <v>11</v>
      </c>
      <c r="E2871" s="6">
        <v>5</v>
      </c>
      <c r="F2871" s="6">
        <v>0</v>
      </c>
      <c r="G2871" s="6" t="s">
        <v>41</v>
      </c>
      <c r="H2871" s="6" t="s">
        <v>10</v>
      </c>
      <c r="I2871" s="6">
        <f>TabJogos[[#This Row],[PontosTime1]]-TabJogos[[#This Row],[PontosTime2]]</f>
        <v>5</v>
      </c>
    </row>
    <row r="2872" spans="1:9" ht="15" customHeight="1" x14ac:dyDescent="0.25">
      <c r="A2872" s="7">
        <v>2871</v>
      </c>
      <c r="B2872" s="1">
        <v>43518</v>
      </c>
      <c r="C2872" s="6" t="s">
        <v>32</v>
      </c>
      <c r="D2872" s="6" t="s">
        <v>16</v>
      </c>
      <c r="E2872" s="6">
        <v>5</v>
      </c>
      <c r="F2872" s="6">
        <v>2</v>
      </c>
      <c r="G2872" s="6" t="s">
        <v>11</v>
      </c>
      <c r="H2872" s="6" t="s">
        <v>27</v>
      </c>
      <c r="I2872" s="6">
        <f>TabJogos[[#This Row],[PontosTime1]]-TabJogos[[#This Row],[PontosTime2]]</f>
        <v>3</v>
      </c>
    </row>
    <row r="2873" spans="1:9" ht="15" customHeight="1" x14ac:dyDescent="0.25">
      <c r="A2873" s="7">
        <v>2872</v>
      </c>
      <c r="B2873" s="1">
        <v>43518</v>
      </c>
      <c r="C2873" s="6" t="s">
        <v>13</v>
      </c>
      <c r="D2873" s="6" t="s">
        <v>16</v>
      </c>
      <c r="E2873" s="6">
        <v>2</v>
      </c>
      <c r="F2873" s="6">
        <v>6</v>
      </c>
      <c r="G2873" s="6" t="s">
        <v>32</v>
      </c>
      <c r="H2873" s="6" t="s">
        <v>23</v>
      </c>
      <c r="I2873" s="6">
        <f>TabJogos[[#This Row],[PontosTime1]]-TabJogos[[#This Row],[PontosTime2]]</f>
        <v>-4</v>
      </c>
    </row>
    <row r="2874" spans="1:9" ht="15" customHeight="1" x14ac:dyDescent="0.25">
      <c r="A2874" s="7">
        <v>2873</v>
      </c>
      <c r="B2874" s="1">
        <v>43518</v>
      </c>
      <c r="C2874" s="6" t="s">
        <v>32</v>
      </c>
      <c r="D2874" s="6" t="s">
        <v>41</v>
      </c>
      <c r="E2874" s="6">
        <v>5</v>
      </c>
      <c r="F2874" s="6">
        <v>2</v>
      </c>
      <c r="G2874" s="6" t="s">
        <v>10</v>
      </c>
      <c r="H2874" s="6" t="s">
        <v>23</v>
      </c>
      <c r="I2874" s="6">
        <f>TabJogos[[#This Row],[PontosTime1]]-TabJogos[[#This Row],[PontosTime2]]</f>
        <v>3</v>
      </c>
    </row>
    <row r="2875" spans="1:9" ht="15" customHeight="1" x14ac:dyDescent="0.25">
      <c r="A2875" s="7">
        <v>2874</v>
      </c>
      <c r="B2875" s="1">
        <v>43518</v>
      </c>
      <c r="C2875" s="6" t="s">
        <v>32</v>
      </c>
      <c r="D2875" s="6" t="s">
        <v>11</v>
      </c>
      <c r="E2875" s="6">
        <v>5</v>
      </c>
      <c r="F2875" s="6">
        <v>3</v>
      </c>
      <c r="G2875" s="6" t="s">
        <v>27</v>
      </c>
      <c r="H2875" s="6" t="s">
        <v>41</v>
      </c>
      <c r="I2875" s="6">
        <f>TabJogos[[#This Row],[PontosTime1]]-TabJogos[[#This Row],[PontosTime2]]</f>
        <v>2</v>
      </c>
    </row>
    <row r="2876" spans="1:9" ht="15" customHeight="1" x14ac:dyDescent="0.25">
      <c r="A2876" s="7">
        <v>2875</v>
      </c>
      <c r="B2876" s="1">
        <v>43521</v>
      </c>
      <c r="C2876" s="6" t="s">
        <v>13</v>
      </c>
      <c r="D2876" s="6" t="s">
        <v>17</v>
      </c>
      <c r="E2876" s="6">
        <v>0</v>
      </c>
      <c r="F2876" s="6">
        <v>5</v>
      </c>
      <c r="G2876" s="6" t="s">
        <v>11</v>
      </c>
      <c r="H2876" s="6" t="s">
        <v>32</v>
      </c>
      <c r="I2876" s="6">
        <f>TabJogos[[#This Row],[PontosTime1]]-TabJogos[[#This Row],[PontosTime2]]</f>
        <v>-5</v>
      </c>
    </row>
    <row r="2877" spans="1:9" ht="15" customHeight="1" x14ac:dyDescent="0.25">
      <c r="A2877" s="7">
        <v>2876</v>
      </c>
      <c r="B2877" s="1">
        <v>43521</v>
      </c>
      <c r="C2877" s="6" t="s">
        <v>11</v>
      </c>
      <c r="D2877" s="6" t="s">
        <v>10</v>
      </c>
      <c r="E2877" s="6">
        <v>3</v>
      </c>
      <c r="F2877" s="6">
        <v>5</v>
      </c>
      <c r="G2877" s="6" t="s">
        <v>27</v>
      </c>
      <c r="H2877" s="6" t="s">
        <v>32</v>
      </c>
      <c r="I2877" s="6">
        <f>TabJogos[[#This Row],[PontosTime1]]-TabJogos[[#This Row],[PontosTime2]]</f>
        <v>-2</v>
      </c>
    </row>
    <row r="2878" spans="1:9" ht="15" customHeight="1" x14ac:dyDescent="0.25">
      <c r="A2878" s="7">
        <v>2877</v>
      </c>
      <c r="B2878" s="1">
        <v>43521</v>
      </c>
      <c r="C2878" s="6" t="s">
        <v>18</v>
      </c>
      <c r="D2878" s="6" t="s">
        <v>32</v>
      </c>
      <c r="E2878" s="6">
        <v>2</v>
      </c>
      <c r="F2878" s="6">
        <v>5</v>
      </c>
      <c r="G2878" s="6" t="s">
        <v>27</v>
      </c>
      <c r="H2878" s="6" t="s">
        <v>17</v>
      </c>
      <c r="I2878" s="6">
        <f>TabJogos[[#This Row],[PontosTime1]]-TabJogos[[#This Row],[PontosTime2]]</f>
        <v>-3</v>
      </c>
    </row>
    <row r="2879" spans="1:9" ht="15" customHeight="1" x14ac:dyDescent="0.25">
      <c r="A2879" s="7">
        <v>2878</v>
      </c>
      <c r="B2879" s="1">
        <v>43521</v>
      </c>
      <c r="C2879" s="6" t="s">
        <v>13</v>
      </c>
      <c r="D2879" s="6" t="s">
        <v>27</v>
      </c>
      <c r="E2879" s="6">
        <v>5</v>
      </c>
      <c r="F2879" s="6">
        <v>4</v>
      </c>
      <c r="G2879" s="6" t="s">
        <v>10</v>
      </c>
      <c r="H2879" s="6" t="s">
        <v>17</v>
      </c>
      <c r="I2879" s="6">
        <f>TabJogos[[#This Row],[PontosTime1]]-TabJogos[[#This Row],[PontosTime2]]</f>
        <v>1</v>
      </c>
    </row>
    <row r="2880" spans="1:9" ht="15" customHeight="1" x14ac:dyDescent="0.25">
      <c r="A2880" s="7">
        <v>2879</v>
      </c>
      <c r="B2880" s="1">
        <v>43521</v>
      </c>
      <c r="C2880" s="6" t="s">
        <v>11</v>
      </c>
      <c r="D2880" s="6" t="s">
        <v>18</v>
      </c>
      <c r="E2880" s="6">
        <v>2</v>
      </c>
      <c r="F2880" s="6">
        <v>5</v>
      </c>
      <c r="G2880" s="6" t="s">
        <v>13</v>
      </c>
      <c r="H2880" s="6" t="s">
        <v>32</v>
      </c>
      <c r="I2880" s="6">
        <f>TabJogos[[#This Row],[PontosTime1]]-TabJogos[[#This Row],[PontosTime2]]</f>
        <v>-3</v>
      </c>
    </row>
    <row r="2881" spans="1:9" ht="15" customHeight="1" x14ac:dyDescent="0.25">
      <c r="A2881" s="7">
        <v>2880</v>
      </c>
      <c r="B2881" s="1">
        <v>43521</v>
      </c>
      <c r="C2881" s="6" t="s">
        <v>16</v>
      </c>
      <c r="D2881" s="6" t="s">
        <v>32</v>
      </c>
      <c r="E2881" s="6">
        <v>4</v>
      </c>
      <c r="F2881" s="6">
        <v>5</v>
      </c>
      <c r="G2881" s="6" t="s">
        <v>23</v>
      </c>
      <c r="H2881" s="6" t="s">
        <v>13</v>
      </c>
      <c r="I2881" s="6">
        <f>TabJogos[[#This Row],[PontosTime1]]-TabJogos[[#This Row],[PontosTime2]]</f>
        <v>-1</v>
      </c>
    </row>
    <row r="2882" spans="1:9" ht="15" customHeight="1" x14ac:dyDescent="0.25">
      <c r="A2882" s="7">
        <v>2881</v>
      </c>
      <c r="B2882" s="1">
        <v>43521</v>
      </c>
      <c r="C2882" s="6" t="s">
        <v>13</v>
      </c>
      <c r="D2882" s="6" t="s">
        <v>18</v>
      </c>
      <c r="E2882" s="6">
        <v>0</v>
      </c>
      <c r="F2882" s="6">
        <v>5</v>
      </c>
      <c r="G2882" s="6" t="s">
        <v>17</v>
      </c>
      <c r="H2882" s="6" t="s">
        <v>23</v>
      </c>
      <c r="I2882" s="6">
        <f>TabJogos[[#This Row],[PontosTime1]]-TabJogos[[#This Row],[PontosTime2]]</f>
        <v>-5</v>
      </c>
    </row>
    <row r="2883" spans="1:9" ht="15" customHeight="1" x14ac:dyDescent="0.25">
      <c r="A2883" s="7">
        <v>2882</v>
      </c>
      <c r="B2883" s="1">
        <v>43521</v>
      </c>
      <c r="C2883" s="6" t="s">
        <v>16</v>
      </c>
      <c r="D2883" s="6" t="s">
        <v>17</v>
      </c>
      <c r="E2883" s="6">
        <v>5</v>
      </c>
      <c r="F2883" s="6">
        <v>2</v>
      </c>
      <c r="G2883" s="6" t="s">
        <v>23</v>
      </c>
      <c r="H2883" s="6" t="s">
        <v>11</v>
      </c>
      <c r="I2883" s="6">
        <f>TabJogos[[#This Row],[PontosTime1]]-TabJogos[[#This Row],[PontosTime2]]</f>
        <v>3</v>
      </c>
    </row>
    <row r="2884" spans="1:9" ht="15" customHeight="1" x14ac:dyDescent="0.25">
      <c r="A2884" s="7">
        <v>2883</v>
      </c>
      <c r="B2884" s="1">
        <v>43521</v>
      </c>
      <c r="C2884" s="6" t="s">
        <v>16</v>
      </c>
      <c r="D2884" s="6" t="s">
        <v>13</v>
      </c>
      <c r="E2884" s="6">
        <v>4</v>
      </c>
      <c r="F2884" s="6">
        <v>5</v>
      </c>
      <c r="G2884" s="6" t="s">
        <v>17</v>
      </c>
      <c r="H2884" s="6" t="s">
        <v>18</v>
      </c>
      <c r="I2884" s="6">
        <f>TabJogos[[#This Row],[PontosTime1]]-TabJogos[[#This Row],[PontosTime2]]</f>
        <v>-1</v>
      </c>
    </row>
    <row r="2885" spans="1:9" ht="15" customHeight="1" x14ac:dyDescent="0.25">
      <c r="A2885" s="7">
        <v>2884</v>
      </c>
      <c r="B2885" s="1">
        <v>43521</v>
      </c>
      <c r="C2885" s="6" t="s">
        <v>13</v>
      </c>
      <c r="D2885" s="6" t="s">
        <v>18</v>
      </c>
      <c r="E2885" s="6">
        <v>5</v>
      </c>
      <c r="F2885" s="6">
        <v>1</v>
      </c>
      <c r="G2885" s="6" t="s">
        <v>11</v>
      </c>
      <c r="H2885" s="6" t="s">
        <v>17</v>
      </c>
      <c r="I2885" s="6">
        <f>TabJogos[[#This Row],[PontosTime1]]-TabJogos[[#This Row],[PontosTime2]]</f>
        <v>4</v>
      </c>
    </row>
    <row r="2886" spans="1:9" ht="15" customHeight="1" x14ac:dyDescent="0.25">
      <c r="A2886" s="7">
        <v>2885</v>
      </c>
      <c r="B2886" s="1">
        <v>43521</v>
      </c>
      <c r="C2886" s="6" t="s">
        <v>17</v>
      </c>
      <c r="D2886" s="6" t="s">
        <v>13</v>
      </c>
      <c r="E2886" s="6">
        <v>1</v>
      </c>
      <c r="F2886" s="6">
        <v>6</v>
      </c>
      <c r="G2886" s="6" t="s">
        <v>18</v>
      </c>
      <c r="H2886" s="6" t="s">
        <v>11</v>
      </c>
      <c r="I2886" s="6">
        <f>TabJogos[[#This Row],[PontosTime1]]-TabJogos[[#This Row],[PontosTime2]]</f>
        <v>-5</v>
      </c>
    </row>
    <row r="2887" spans="1:9" ht="15" customHeight="1" x14ac:dyDescent="0.25">
      <c r="A2887" s="7">
        <v>2886</v>
      </c>
      <c r="B2887" s="1">
        <v>43522</v>
      </c>
      <c r="C2887" s="6" t="s">
        <v>18</v>
      </c>
      <c r="D2887" s="6" t="s">
        <v>32</v>
      </c>
      <c r="E2887" s="6">
        <v>1</v>
      </c>
      <c r="F2887" s="6">
        <v>5</v>
      </c>
      <c r="G2887" s="6" t="s">
        <v>10</v>
      </c>
      <c r="H2887" s="6" t="s">
        <v>27</v>
      </c>
      <c r="I2887" s="6">
        <f>TabJogos[[#This Row],[PontosTime1]]-TabJogos[[#This Row],[PontosTime2]]</f>
        <v>-4</v>
      </c>
    </row>
    <row r="2888" spans="1:9" ht="15" customHeight="1" x14ac:dyDescent="0.25">
      <c r="A2888" s="7">
        <v>2887</v>
      </c>
      <c r="B2888" s="1">
        <v>43522</v>
      </c>
      <c r="C2888" s="6" t="s">
        <v>18</v>
      </c>
      <c r="D2888" s="6" t="s">
        <v>10</v>
      </c>
      <c r="E2888" s="6">
        <v>1</v>
      </c>
      <c r="F2888" s="6">
        <v>5</v>
      </c>
      <c r="G2888" s="6" t="s">
        <v>13</v>
      </c>
      <c r="H2888" s="6" t="s">
        <v>32</v>
      </c>
      <c r="I2888" s="6">
        <f>TabJogos[[#This Row],[PontosTime1]]-TabJogos[[#This Row],[PontosTime2]]</f>
        <v>-4</v>
      </c>
    </row>
    <row r="2889" spans="1:9" ht="15" customHeight="1" x14ac:dyDescent="0.25">
      <c r="A2889" s="7">
        <v>2888</v>
      </c>
      <c r="B2889" s="1">
        <v>43522</v>
      </c>
      <c r="C2889" s="6" t="s">
        <v>41</v>
      </c>
      <c r="D2889" s="6" t="s">
        <v>13</v>
      </c>
      <c r="E2889" s="6">
        <v>5</v>
      </c>
      <c r="F2889" s="6">
        <v>1</v>
      </c>
      <c r="G2889" s="6" t="s">
        <v>32</v>
      </c>
      <c r="H2889" s="6" t="s">
        <v>10</v>
      </c>
      <c r="I2889" s="6">
        <f>TabJogos[[#This Row],[PontosTime1]]-TabJogos[[#This Row],[PontosTime2]]</f>
        <v>4</v>
      </c>
    </row>
    <row r="2890" spans="1:9" ht="15" customHeight="1" x14ac:dyDescent="0.25">
      <c r="A2890" s="7">
        <v>2889</v>
      </c>
      <c r="B2890" s="1">
        <v>43522</v>
      </c>
      <c r="C2890" s="6" t="s">
        <v>18</v>
      </c>
      <c r="D2890" s="6" t="s">
        <v>41</v>
      </c>
      <c r="E2890" s="6">
        <v>2</v>
      </c>
      <c r="F2890" s="6">
        <v>5</v>
      </c>
      <c r="G2890" s="6" t="s">
        <v>10</v>
      </c>
      <c r="H2890" s="6" t="s">
        <v>13</v>
      </c>
      <c r="I2890" s="6">
        <f>TabJogos[[#This Row],[PontosTime1]]-TabJogos[[#This Row],[PontosTime2]]</f>
        <v>-3</v>
      </c>
    </row>
    <row r="2891" spans="1:9" ht="15" customHeight="1" x14ac:dyDescent="0.25">
      <c r="A2891" s="7">
        <v>2890</v>
      </c>
      <c r="B2891" s="1">
        <v>43522</v>
      </c>
      <c r="C2891" s="6" t="s">
        <v>13</v>
      </c>
      <c r="D2891" s="6" t="s">
        <v>18</v>
      </c>
      <c r="E2891" s="6">
        <v>5</v>
      </c>
      <c r="F2891" s="6">
        <v>1</v>
      </c>
      <c r="G2891" s="6" t="s">
        <v>32</v>
      </c>
      <c r="H2891" s="6" t="s">
        <v>10</v>
      </c>
      <c r="I2891" s="6">
        <f>TabJogos[[#This Row],[PontosTime1]]-TabJogos[[#This Row],[PontosTime2]]</f>
        <v>4</v>
      </c>
    </row>
    <row r="2892" spans="1:9" ht="15" customHeight="1" x14ac:dyDescent="0.25">
      <c r="A2892" s="7">
        <v>2891</v>
      </c>
      <c r="B2892" s="1">
        <v>43522</v>
      </c>
      <c r="C2892" s="6" t="s">
        <v>13</v>
      </c>
      <c r="D2892" s="6" t="s">
        <v>41</v>
      </c>
      <c r="E2892" s="6">
        <v>3</v>
      </c>
      <c r="F2892" s="6">
        <v>5</v>
      </c>
      <c r="G2892" s="6" t="s">
        <v>18</v>
      </c>
      <c r="H2892" s="6" t="s">
        <v>32</v>
      </c>
      <c r="I2892" s="6">
        <f>TabJogos[[#This Row],[PontosTime1]]-TabJogos[[#This Row],[PontosTime2]]</f>
        <v>-2</v>
      </c>
    </row>
    <row r="2893" spans="1:9" ht="15" customHeight="1" x14ac:dyDescent="0.25">
      <c r="A2893" s="7">
        <v>2892</v>
      </c>
      <c r="B2893" s="1">
        <v>43522</v>
      </c>
      <c r="C2893" s="6" t="s">
        <v>18</v>
      </c>
      <c r="D2893" s="6" t="s">
        <v>11</v>
      </c>
      <c r="E2893" s="6">
        <v>1</v>
      </c>
      <c r="F2893" s="6">
        <v>5</v>
      </c>
      <c r="G2893" s="6" t="s">
        <v>41</v>
      </c>
      <c r="H2893" s="6" t="s">
        <v>32</v>
      </c>
      <c r="I2893" s="6">
        <f>TabJogos[[#This Row],[PontosTime1]]-TabJogos[[#This Row],[PontosTime2]]</f>
        <v>-4</v>
      </c>
    </row>
    <row r="2894" spans="1:9" ht="15" customHeight="1" x14ac:dyDescent="0.25">
      <c r="A2894" s="7">
        <v>2893</v>
      </c>
      <c r="B2894" s="1">
        <v>43522</v>
      </c>
      <c r="C2894" s="6" t="s">
        <v>18</v>
      </c>
      <c r="D2894" s="6" t="s">
        <v>13</v>
      </c>
      <c r="E2894" s="6">
        <v>5</v>
      </c>
      <c r="F2894" s="6">
        <v>3</v>
      </c>
      <c r="G2894" s="6" t="s">
        <v>32</v>
      </c>
      <c r="H2894" s="6" t="s">
        <v>11</v>
      </c>
      <c r="I2894" s="6">
        <f>TabJogos[[#This Row],[PontosTime1]]-TabJogos[[#This Row],[PontosTime2]]</f>
        <v>2</v>
      </c>
    </row>
    <row r="2895" spans="1:9" ht="15" customHeight="1" x14ac:dyDescent="0.25">
      <c r="A2895" s="7">
        <v>2894</v>
      </c>
      <c r="B2895" s="1">
        <v>43522</v>
      </c>
      <c r="C2895" s="6" t="s">
        <v>17</v>
      </c>
      <c r="D2895" s="6" t="s">
        <v>18</v>
      </c>
      <c r="E2895" s="6">
        <v>5</v>
      </c>
      <c r="F2895" s="6">
        <v>3</v>
      </c>
      <c r="G2895" s="6" t="s">
        <v>13</v>
      </c>
      <c r="H2895" s="6" t="s">
        <v>11</v>
      </c>
      <c r="I2895" s="6">
        <f>TabJogos[[#This Row],[PontosTime1]]-TabJogos[[#This Row],[PontosTime2]]</f>
        <v>2</v>
      </c>
    </row>
    <row r="2896" spans="1:9" ht="15" customHeight="1" x14ac:dyDescent="0.25">
      <c r="A2896" s="7">
        <v>2895</v>
      </c>
      <c r="B2896" s="1">
        <v>43522</v>
      </c>
      <c r="C2896" s="6" t="s">
        <v>11</v>
      </c>
      <c r="D2896" s="6" t="s">
        <v>18</v>
      </c>
      <c r="E2896" s="6">
        <v>5</v>
      </c>
      <c r="F2896" s="6">
        <v>3</v>
      </c>
      <c r="G2896" s="6" t="s">
        <v>17</v>
      </c>
      <c r="H2896" s="6" t="s">
        <v>13</v>
      </c>
      <c r="I2896" s="6">
        <f>TabJogos[[#This Row],[PontosTime1]]-TabJogos[[#This Row],[PontosTime2]]</f>
        <v>2</v>
      </c>
    </row>
    <row r="2897" spans="1:9" ht="15" customHeight="1" x14ac:dyDescent="0.25">
      <c r="A2897" s="7">
        <v>2896</v>
      </c>
      <c r="B2897" s="1">
        <v>43522</v>
      </c>
      <c r="C2897" s="6" t="s">
        <v>13</v>
      </c>
      <c r="D2897" s="6" t="s">
        <v>18</v>
      </c>
      <c r="E2897" s="6">
        <v>2</v>
      </c>
      <c r="F2897" s="6">
        <v>5</v>
      </c>
      <c r="G2897" s="6" t="s">
        <v>17</v>
      </c>
      <c r="H2897" s="6" t="s">
        <v>11</v>
      </c>
      <c r="I2897" s="6">
        <f>TabJogos[[#This Row],[PontosTime1]]-TabJogos[[#This Row],[PontosTime2]]</f>
        <v>-3</v>
      </c>
    </row>
    <row r="2898" spans="1:9" ht="15" customHeight="1" x14ac:dyDescent="0.25">
      <c r="A2898" s="7">
        <v>2897</v>
      </c>
      <c r="B2898" s="1">
        <v>43523</v>
      </c>
      <c r="C2898" s="6" t="s">
        <v>18</v>
      </c>
      <c r="D2898" s="6" t="s">
        <v>32</v>
      </c>
      <c r="E2898" s="6">
        <v>5</v>
      </c>
      <c r="F2898" s="6">
        <v>2</v>
      </c>
      <c r="G2898" s="6" t="s">
        <v>11</v>
      </c>
      <c r="H2898" s="6" t="s">
        <v>13</v>
      </c>
      <c r="I2898" s="6">
        <f>TabJogos[[#This Row],[PontosTime1]]-TabJogos[[#This Row],[PontosTime2]]</f>
        <v>3</v>
      </c>
    </row>
    <row r="2899" spans="1:9" ht="15" customHeight="1" x14ac:dyDescent="0.25">
      <c r="A2899" s="7">
        <v>2898</v>
      </c>
      <c r="B2899" s="1">
        <v>43523</v>
      </c>
      <c r="C2899" s="6" t="s">
        <v>27</v>
      </c>
      <c r="D2899" s="6" t="s">
        <v>32</v>
      </c>
      <c r="E2899" s="6">
        <v>5</v>
      </c>
      <c r="F2899" s="6">
        <v>3</v>
      </c>
      <c r="G2899" s="6" t="s">
        <v>18</v>
      </c>
      <c r="H2899" s="6" t="s">
        <v>13</v>
      </c>
      <c r="I2899" s="6">
        <f>TabJogos[[#This Row],[PontosTime1]]-TabJogos[[#This Row],[PontosTime2]]</f>
        <v>2</v>
      </c>
    </row>
    <row r="2900" spans="1:9" ht="15" customHeight="1" x14ac:dyDescent="0.25">
      <c r="A2900" s="7">
        <v>2899</v>
      </c>
      <c r="B2900" s="1">
        <v>43523</v>
      </c>
      <c r="C2900" s="6" t="s">
        <v>41</v>
      </c>
      <c r="D2900" s="6" t="s">
        <v>27</v>
      </c>
      <c r="E2900" s="6">
        <v>5</v>
      </c>
      <c r="F2900" s="6">
        <v>3</v>
      </c>
      <c r="G2900" s="6" t="s">
        <v>32</v>
      </c>
      <c r="H2900" s="6" t="s">
        <v>13</v>
      </c>
      <c r="I2900" s="6">
        <f>TabJogos[[#This Row],[PontosTime1]]-TabJogos[[#This Row],[PontosTime2]]</f>
        <v>2</v>
      </c>
    </row>
    <row r="2901" spans="1:9" ht="15" customHeight="1" x14ac:dyDescent="0.25">
      <c r="A2901" s="7">
        <v>2900</v>
      </c>
      <c r="B2901" s="1">
        <v>43523</v>
      </c>
      <c r="C2901" s="6" t="s">
        <v>27</v>
      </c>
      <c r="D2901" s="6" t="s">
        <v>18</v>
      </c>
      <c r="E2901" s="6">
        <v>5</v>
      </c>
      <c r="F2901" s="6">
        <v>3</v>
      </c>
      <c r="G2901" s="6" t="s">
        <v>13</v>
      </c>
      <c r="H2901" s="6" t="s">
        <v>41</v>
      </c>
      <c r="I2901" s="6">
        <f>TabJogos[[#This Row],[PontosTime1]]-TabJogos[[#This Row],[PontosTime2]]</f>
        <v>2</v>
      </c>
    </row>
    <row r="2902" spans="1:9" ht="15" customHeight="1" x14ac:dyDescent="0.25">
      <c r="A2902" s="7">
        <v>2901</v>
      </c>
      <c r="B2902" s="1">
        <v>43523</v>
      </c>
      <c r="C2902" s="6" t="s">
        <v>18</v>
      </c>
      <c r="D2902" s="6" t="s">
        <v>28</v>
      </c>
      <c r="E2902" s="6">
        <v>2</v>
      </c>
      <c r="F2902" s="6">
        <v>5</v>
      </c>
      <c r="G2902" s="6" t="s">
        <v>27</v>
      </c>
      <c r="H2902" s="6" t="s">
        <v>11</v>
      </c>
      <c r="I2902" s="6">
        <f>TabJogos[[#This Row],[PontosTime1]]-TabJogos[[#This Row],[PontosTime2]]</f>
        <v>-3</v>
      </c>
    </row>
    <row r="2903" spans="1:9" ht="15" customHeight="1" x14ac:dyDescent="0.25">
      <c r="A2903" s="7">
        <v>2902</v>
      </c>
      <c r="B2903" s="1">
        <v>43523</v>
      </c>
      <c r="C2903" s="6" t="s">
        <v>27</v>
      </c>
      <c r="D2903" s="6" t="s">
        <v>17</v>
      </c>
      <c r="E2903" s="6">
        <v>5</v>
      </c>
      <c r="F2903" s="6">
        <v>2</v>
      </c>
      <c r="G2903" s="6" t="s">
        <v>11</v>
      </c>
      <c r="H2903" s="6" t="s">
        <v>32</v>
      </c>
      <c r="I2903" s="6">
        <f>TabJogos[[#This Row],[PontosTime1]]-TabJogos[[#This Row],[PontosTime2]]</f>
        <v>3</v>
      </c>
    </row>
    <row r="2904" spans="1:9" ht="15" customHeight="1" x14ac:dyDescent="0.25">
      <c r="A2904" s="7">
        <v>2903</v>
      </c>
      <c r="B2904" s="1">
        <v>43523</v>
      </c>
      <c r="C2904" s="6" t="s">
        <v>17</v>
      </c>
      <c r="D2904" s="6" t="s">
        <v>41</v>
      </c>
      <c r="E2904" s="6">
        <v>3</v>
      </c>
      <c r="F2904" s="6">
        <v>5</v>
      </c>
      <c r="G2904" s="6" t="s">
        <v>27</v>
      </c>
      <c r="H2904" s="6" t="s">
        <v>11</v>
      </c>
      <c r="I2904" s="6">
        <f>TabJogos[[#This Row],[PontosTime1]]-TabJogos[[#This Row],[PontosTime2]]</f>
        <v>-2</v>
      </c>
    </row>
    <row r="2905" spans="1:9" ht="15" customHeight="1" x14ac:dyDescent="0.25">
      <c r="A2905" s="7">
        <v>2904</v>
      </c>
      <c r="B2905" s="1">
        <v>43523</v>
      </c>
      <c r="C2905" s="6" t="s">
        <v>27</v>
      </c>
      <c r="D2905" s="6" t="s">
        <v>13</v>
      </c>
      <c r="E2905" s="6">
        <v>5</v>
      </c>
      <c r="F2905" s="6">
        <v>3</v>
      </c>
      <c r="G2905" s="6" t="s">
        <v>41</v>
      </c>
      <c r="H2905" s="6" t="s">
        <v>17</v>
      </c>
      <c r="I2905" s="6">
        <f>TabJogos[[#This Row],[PontosTime1]]-TabJogos[[#This Row],[PontosTime2]]</f>
        <v>2</v>
      </c>
    </row>
    <row r="2906" spans="1:9" ht="15" customHeight="1" x14ac:dyDescent="0.25">
      <c r="A2906" s="7">
        <v>2905</v>
      </c>
      <c r="B2906" s="1">
        <v>43523</v>
      </c>
      <c r="C2906" s="6" t="s">
        <v>11</v>
      </c>
      <c r="D2906" s="6" t="s">
        <v>13</v>
      </c>
      <c r="E2906" s="6">
        <v>5</v>
      </c>
      <c r="F2906" s="6">
        <v>1</v>
      </c>
      <c r="G2906" s="6" t="s">
        <v>27</v>
      </c>
      <c r="H2906" s="6" t="s">
        <v>28</v>
      </c>
      <c r="I2906" s="6">
        <f>TabJogos[[#This Row],[PontosTime1]]-TabJogos[[#This Row],[PontosTime2]]</f>
        <v>4</v>
      </c>
    </row>
    <row r="2907" spans="1:9" ht="15" customHeight="1" x14ac:dyDescent="0.25">
      <c r="A2907" s="7">
        <v>2906</v>
      </c>
      <c r="B2907" s="1">
        <v>43523</v>
      </c>
      <c r="C2907" s="6" t="s">
        <v>11</v>
      </c>
      <c r="D2907" s="6" t="s">
        <v>17</v>
      </c>
      <c r="E2907" s="6">
        <v>7</v>
      </c>
      <c r="F2907" s="6">
        <v>4</v>
      </c>
      <c r="G2907" s="6" t="s">
        <v>13</v>
      </c>
      <c r="H2907" s="6" t="s">
        <v>28</v>
      </c>
      <c r="I2907" s="6">
        <f>TabJogos[[#This Row],[PontosTime1]]-TabJogos[[#This Row],[PontosTime2]]</f>
        <v>3</v>
      </c>
    </row>
    <row r="2908" spans="1:9" ht="15" customHeight="1" x14ac:dyDescent="0.25">
      <c r="A2908" s="7">
        <v>2907</v>
      </c>
      <c r="B2908" s="1">
        <v>43523</v>
      </c>
      <c r="C2908" s="6" t="s">
        <v>11</v>
      </c>
      <c r="D2908" s="6" t="s">
        <v>28</v>
      </c>
      <c r="E2908" s="6">
        <v>5</v>
      </c>
      <c r="F2908" s="6">
        <v>4</v>
      </c>
      <c r="G2908" s="6" t="s">
        <v>13</v>
      </c>
      <c r="H2908" s="6" t="s">
        <v>17</v>
      </c>
      <c r="I2908" s="6">
        <f>TabJogos[[#This Row],[PontosTime1]]-TabJogos[[#This Row],[PontosTime2]]</f>
        <v>1</v>
      </c>
    </row>
    <row r="2909" spans="1:9" ht="15" customHeight="1" x14ac:dyDescent="0.25">
      <c r="A2909" s="7">
        <v>2908</v>
      </c>
      <c r="B2909" s="1">
        <v>43523</v>
      </c>
      <c r="C2909" s="6" t="s">
        <v>11</v>
      </c>
      <c r="D2909" s="6" t="s">
        <v>13</v>
      </c>
      <c r="E2909" s="6">
        <v>5</v>
      </c>
      <c r="F2909" s="6">
        <v>3</v>
      </c>
      <c r="G2909" s="6" t="s">
        <v>17</v>
      </c>
      <c r="H2909" s="6" t="s">
        <v>28</v>
      </c>
      <c r="I2909" s="6">
        <f>TabJogos[[#This Row],[PontosTime1]]-TabJogos[[#This Row],[PontosTime2]]</f>
        <v>2</v>
      </c>
    </row>
    <row r="2910" spans="1:9" ht="15" customHeight="1" x14ac:dyDescent="0.25">
      <c r="A2910" s="7">
        <v>2909</v>
      </c>
      <c r="B2910" s="1">
        <v>43524</v>
      </c>
      <c r="C2910" s="6" t="s">
        <v>41</v>
      </c>
      <c r="D2910" s="6" t="s">
        <v>11</v>
      </c>
      <c r="E2910" s="6">
        <v>2</v>
      </c>
      <c r="F2910" s="6">
        <v>5</v>
      </c>
      <c r="G2910" s="6" t="s">
        <v>17</v>
      </c>
      <c r="H2910" s="6" t="s">
        <v>13</v>
      </c>
      <c r="I2910" s="6">
        <f>TabJogos[[#This Row],[PontosTime1]]-TabJogos[[#This Row],[PontosTime2]]</f>
        <v>-3</v>
      </c>
    </row>
    <row r="2911" spans="1:9" ht="15" customHeight="1" x14ac:dyDescent="0.25">
      <c r="A2911" s="7">
        <v>2910</v>
      </c>
      <c r="B2911" s="1">
        <v>43524</v>
      </c>
      <c r="C2911" s="6" t="s">
        <v>27</v>
      </c>
      <c r="D2911" s="6" t="s">
        <v>17</v>
      </c>
      <c r="E2911" s="6">
        <v>1</v>
      </c>
      <c r="F2911" s="6">
        <v>5</v>
      </c>
      <c r="G2911" s="6" t="s">
        <v>41</v>
      </c>
      <c r="H2911" s="6" t="s">
        <v>13</v>
      </c>
      <c r="I2911" s="6">
        <f>TabJogos[[#This Row],[PontosTime1]]-TabJogos[[#This Row],[PontosTime2]]</f>
        <v>-4</v>
      </c>
    </row>
    <row r="2912" spans="1:9" ht="15" customHeight="1" x14ac:dyDescent="0.25">
      <c r="A2912" s="7">
        <v>2911</v>
      </c>
      <c r="B2912" s="1">
        <v>43524</v>
      </c>
      <c r="C2912" s="6" t="s">
        <v>11</v>
      </c>
      <c r="D2912" s="6" t="s">
        <v>13</v>
      </c>
      <c r="E2912" s="6">
        <v>6</v>
      </c>
      <c r="F2912" s="6">
        <v>3</v>
      </c>
      <c r="G2912" s="6" t="s">
        <v>17</v>
      </c>
      <c r="H2912" s="6" t="s">
        <v>41</v>
      </c>
      <c r="I2912" s="6">
        <f>TabJogos[[#This Row],[PontosTime1]]-TabJogos[[#This Row],[PontosTime2]]</f>
        <v>3</v>
      </c>
    </row>
    <row r="2913" spans="1:9" ht="15" customHeight="1" x14ac:dyDescent="0.25">
      <c r="A2913" s="7">
        <v>2912</v>
      </c>
      <c r="B2913" s="1">
        <v>43524</v>
      </c>
      <c r="C2913" s="6" t="s">
        <v>27</v>
      </c>
      <c r="D2913" s="6" t="s">
        <v>11</v>
      </c>
      <c r="E2913" s="6">
        <v>5</v>
      </c>
      <c r="F2913" s="6">
        <v>4</v>
      </c>
      <c r="G2913" s="6" t="s">
        <v>18</v>
      </c>
      <c r="H2913" s="6" t="s">
        <v>13</v>
      </c>
      <c r="I2913" s="6">
        <f>TabJogos[[#This Row],[PontosTime1]]-TabJogos[[#This Row],[PontosTime2]]</f>
        <v>1</v>
      </c>
    </row>
    <row r="2914" spans="1:9" ht="15" customHeight="1" x14ac:dyDescent="0.25">
      <c r="A2914" s="7">
        <v>2913</v>
      </c>
      <c r="B2914" s="1">
        <v>43524</v>
      </c>
      <c r="C2914" s="6" t="s">
        <v>41</v>
      </c>
      <c r="D2914" s="6" t="s">
        <v>27</v>
      </c>
      <c r="E2914" s="6">
        <v>2</v>
      </c>
      <c r="F2914" s="6">
        <v>5</v>
      </c>
      <c r="G2914" s="6" t="s">
        <v>11</v>
      </c>
      <c r="H2914" s="6" t="s">
        <v>17</v>
      </c>
      <c r="I2914" s="6">
        <f>TabJogos[[#This Row],[PontosTime1]]-TabJogos[[#This Row],[PontosTime2]]</f>
        <v>-3</v>
      </c>
    </row>
    <row r="2915" spans="1:9" ht="15" customHeight="1" x14ac:dyDescent="0.25">
      <c r="A2915" s="7">
        <v>2914</v>
      </c>
      <c r="B2915" s="1">
        <v>43524</v>
      </c>
      <c r="C2915" s="6" t="s">
        <v>11</v>
      </c>
      <c r="D2915" s="6" t="s">
        <v>18</v>
      </c>
      <c r="E2915" s="6">
        <v>5</v>
      </c>
      <c r="F2915" s="6">
        <v>4</v>
      </c>
      <c r="G2915" s="6" t="s">
        <v>17</v>
      </c>
      <c r="H2915" s="6" t="s">
        <v>13</v>
      </c>
      <c r="I2915" s="6">
        <f>TabJogos[[#This Row],[PontosTime1]]-TabJogos[[#This Row],[PontosTime2]]</f>
        <v>1</v>
      </c>
    </row>
    <row r="2916" spans="1:9" ht="15" customHeight="1" x14ac:dyDescent="0.25">
      <c r="A2916" s="7">
        <v>2915</v>
      </c>
      <c r="B2916" s="1">
        <v>43524</v>
      </c>
      <c r="C2916" s="6" t="s">
        <v>17</v>
      </c>
      <c r="D2916" s="6" t="s">
        <v>18</v>
      </c>
      <c r="E2916" s="6">
        <v>5</v>
      </c>
      <c r="F2916" s="6">
        <v>2</v>
      </c>
      <c r="G2916" s="6" t="s">
        <v>11</v>
      </c>
      <c r="H2916" s="6" t="s">
        <v>13</v>
      </c>
      <c r="I2916" s="6">
        <f>TabJogos[[#This Row],[PontosTime1]]-TabJogos[[#This Row],[PontosTime2]]</f>
        <v>3</v>
      </c>
    </row>
    <row r="2917" spans="1:9" ht="15" customHeight="1" x14ac:dyDescent="0.25">
      <c r="A2917" s="7">
        <v>2916</v>
      </c>
      <c r="B2917" s="1">
        <v>43524</v>
      </c>
      <c r="C2917" s="6" t="s">
        <v>13</v>
      </c>
      <c r="D2917" s="6" t="s">
        <v>18</v>
      </c>
      <c r="E2917" s="6">
        <v>5</v>
      </c>
      <c r="F2917" s="6">
        <v>1</v>
      </c>
      <c r="G2917" s="6" t="s">
        <v>17</v>
      </c>
      <c r="H2917" s="6" t="s">
        <v>11</v>
      </c>
      <c r="I2917" s="6">
        <f>TabJogos[[#This Row],[PontosTime1]]-TabJogos[[#This Row],[PontosTime2]]</f>
        <v>4</v>
      </c>
    </row>
    <row r="2918" spans="1:9" ht="15" customHeight="1" x14ac:dyDescent="0.25">
      <c r="A2918" s="7">
        <v>2917</v>
      </c>
      <c r="B2918" s="1">
        <v>43525</v>
      </c>
      <c r="C2918" s="6" t="s">
        <v>41</v>
      </c>
      <c r="D2918" s="6" t="s">
        <v>27</v>
      </c>
      <c r="E2918" s="6">
        <v>5</v>
      </c>
      <c r="F2918" s="6">
        <v>2</v>
      </c>
      <c r="G2918" s="6" t="s">
        <v>13</v>
      </c>
      <c r="H2918" s="6" t="s">
        <v>18</v>
      </c>
      <c r="I2918" s="6">
        <f>TabJogos[[#This Row],[PontosTime1]]-TabJogos[[#This Row],[PontosTime2]]</f>
        <v>3</v>
      </c>
    </row>
    <row r="2919" spans="1:9" ht="15" customHeight="1" x14ac:dyDescent="0.25">
      <c r="A2919" s="7">
        <v>2918</v>
      </c>
      <c r="B2919" s="1">
        <v>43525</v>
      </c>
      <c r="C2919" s="6" t="s">
        <v>13</v>
      </c>
      <c r="D2919" s="6" t="s">
        <v>41</v>
      </c>
      <c r="E2919" s="6">
        <v>4</v>
      </c>
      <c r="F2919" s="6">
        <v>5</v>
      </c>
      <c r="G2919" s="6" t="s">
        <v>27</v>
      </c>
      <c r="H2919" s="6" t="s">
        <v>18</v>
      </c>
      <c r="I2919" s="6">
        <f>TabJogos[[#This Row],[PontosTime1]]-TabJogos[[#This Row],[PontosTime2]]</f>
        <v>-1</v>
      </c>
    </row>
    <row r="2920" spans="1:9" ht="15" customHeight="1" x14ac:dyDescent="0.25">
      <c r="A2920" s="7">
        <v>2919</v>
      </c>
      <c r="B2920" s="1">
        <v>43525</v>
      </c>
      <c r="C2920" s="6" t="s">
        <v>13</v>
      </c>
      <c r="D2920" s="6" t="s">
        <v>27</v>
      </c>
      <c r="E2920" s="6">
        <v>2</v>
      </c>
      <c r="F2920" s="6">
        <v>5</v>
      </c>
      <c r="G2920" s="6" t="s">
        <v>41</v>
      </c>
      <c r="H2920" s="6" t="s">
        <v>18</v>
      </c>
      <c r="I2920" s="6">
        <f>TabJogos[[#This Row],[PontosTime1]]-TabJogos[[#This Row],[PontosTime2]]</f>
        <v>-3</v>
      </c>
    </row>
    <row r="2921" spans="1:9" ht="15" customHeight="1" x14ac:dyDescent="0.25">
      <c r="A2921" s="7">
        <v>2920</v>
      </c>
      <c r="B2921" s="1">
        <v>43525</v>
      </c>
      <c r="C2921" s="6" t="s">
        <v>32</v>
      </c>
      <c r="D2921" s="6" t="s">
        <v>41</v>
      </c>
      <c r="E2921" s="6">
        <v>8</v>
      </c>
      <c r="F2921" s="6">
        <v>0</v>
      </c>
      <c r="G2921" s="6" t="s">
        <v>13</v>
      </c>
      <c r="H2921" s="6" t="s">
        <v>18</v>
      </c>
      <c r="I2921" s="6">
        <f>TabJogos[[#This Row],[PontosTime1]]-TabJogos[[#This Row],[PontosTime2]]</f>
        <v>8</v>
      </c>
    </row>
    <row r="2922" spans="1:9" ht="15" customHeight="1" x14ac:dyDescent="0.25">
      <c r="A2922" s="7">
        <v>2921</v>
      </c>
      <c r="B2922" s="1">
        <v>43531</v>
      </c>
      <c r="C2922" s="6" t="s">
        <v>27</v>
      </c>
      <c r="D2922" s="6" t="s">
        <v>11</v>
      </c>
      <c r="E2922" s="6">
        <v>5</v>
      </c>
      <c r="F2922" s="6">
        <v>1</v>
      </c>
      <c r="G2922" s="6" t="s">
        <v>32</v>
      </c>
      <c r="H2922" s="6" t="s">
        <v>13</v>
      </c>
      <c r="I2922" s="6">
        <f>TabJogos[[#This Row],[PontosTime1]]-TabJogos[[#This Row],[PontosTime2]]</f>
        <v>4</v>
      </c>
    </row>
    <row r="2923" spans="1:9" ht="15" customHeight="1" x14ac:dyDescent="0.25">
      <c r="A2923" s="7">
        <v>2922</v>
      </c>
      <c r="B2923" s="1">
        <v>43531</v>
      </c>
      <c r="C2923" s="6" t="s">
        <v>11</v>
      </c>
      <c r="D2923" s="6" t="s">
        <v>32</v>
      </c>
      <c r="E2923" s="6">
        <v>2</v>
      </c>
      <c r="F2923" s="6">
        <v>5</v>
      </c>
      <c r="G2923" s="6" t="s">
        <v>27</v>
      </c>
      <c r="H2923" s="6" t="s">
        <v>13</v>
      </c>
      <c r="I2923" s="6">
        <f>TabJogos[[#This Row],[PontosTime1]]-TabJogos[[#This Row],[PontosTime2]]</f>
        <v>-3</v>
      </c>
    </row>
    <row r="2924" spans="1:9" ht="15" customHeight="1" x14ac:dyDescent="0.25">
      <c r="A2924" s="7">
        <v>2923</v>
      </c>
      <c r="B2924" s="1">
        <v>43531</v>
      </c>
      <c r="C2924" s="6" t="s">
        <v>27</v>
      </c>
      <c r="D2924" s="6" t="s">
        <v>41</v>
      </c>
      <c r="E2924" s="6">
        <v>6</v>
      </c>
      <c r="F2924" s="6">
        <v>2</v>
      </c>
      <c r="G2924" s="6" t="s">
        <v>32</v>
      </c>
      <c r="H2924" s="6" t="s">
        <v>13</v>
      </c>
      <c r="I2924" s="6">
        <f>TabJogos[[#This Row],[PontosTime1]]-TabJogos[[#This Row],[PontosTime2]]</f>
        <v>4</v>
      </c>
    </row>
    <row r="2925" spans="1:9" ht="15" customHeight="1" x14ac:dyDescent="0.25">
      <c r="A2925" s="7">
        <v>2924</v>
      </c>
      <c r="B2925" s="1">
        <v>43531</v>
      </c>
      <c r="C2925" s="6" t="s">
        <v>32</v>
      </c>
      <c r="D2925" s="6" t="s">
        <v>41</v>
      </c>
      <c r="E2925" s="6">
        <v>3</v>
      </c>
      <c r="F2925" s="6">
        <v>5</v>
      </c>
      <c r="G2925" s="6" t="s">
        <v>11</v>
      </c>
      <c r="H2925" s="6" t="s">
        <v>27</v>
      </c>
      <c r="I2925" s="6">
        <f>TabJogos[[#This Row],[PontosTime1]]-TabJogos[[#This Row],[PontosTime2]]</f>
        <v>-2</v>
      </c>
    </row>
    <row r="2926" spans="1:9" ht="15" customHeight="1" x14ac:dyDescent="0.25">
      <c r="A2926" s="7">
        <v>2925</v>
      </c>
      <c r="B2926" s="1">
        <v>43531</v>
      </c>
      <c r="C2926" s="6" t="s">
        <v>32</v>
      </c>
      <c r="D2926" s="6" t="s">
        <v>27</v>
      </c>
      <c r="E2926" s="6">
        <v>5</v>
      </c>
      <c r="F2926" s="6">
        <v>4</v>
      </c>
      <c r="G2926" s="6" t="s">
        <v>11</v>
      </c>
      <c r="H2926" s="6" t="s">
        <v>13</v>
      </c>
      <c r="I2926" s="6">
        <f>TabJogos[[#This Row],[PontosTime1]]-TabJogos[[#This Row],[PontosTime2]]</f>
        <v>1</v>
      </c>
    </row>
    <row r="2927" spans="1:9" ht="15" customHeight="1" x14ac:dyDescent="0.25">
      <c r="A2927" s="7">
        <v>2926</v>
      </c>
      <c r="B2927" s="1">
        <v>43531</v>
      </c>
      <c r="C2927" s="6" t="s">
        <v>11</v>
      </c>
      <c r="D2927" s="6" t="s">
        <v>9</v>
      </c>
      <c r="E2927" s="6">
        <v>3</v>
      </c>
      <c r="F2927" s="6">
        <v>6</v>
      </c>
      <c r="G2927" s="6" t="s">
        <v>13</v>
      </c>
      <c r="H2927" s="6" t="s">
        <v>28</v>
      </c>
      <c r="I2927" s="6">
        <f>TabJogos[[#This Row],[PontosTime1]]-TabJogos[[#This Row],[PontosTime2]]</f>
        <v>-3</v>
      </c>
    </row>
    <row r="2928" spans="1:9" ht="15" customHeight="1" x14ac:dyDescent="0.25">
      <c r="A2928" s="7">
        <v>2927</v>
      </c>
      <c r="B2928" s="1">
        <v>43531</v>
      </c>
      <c r="C2928" s="6" t="s">
        <v>11</v>
      </c>
      <c r="D2928" s="6" t="s">
        <v>28</v>
      </c>
      <c r="E2928" s="6">
        <v>6</v>
      </c>
      <c r="F2928" s="6">
        <v>3</v>
      </c>
      <c r="G2928" s="6" t="s">
        <v>13</v>
      </c>
      <c r="H2928" s="6" t="s">
        <v>9</v>
      </c>
      <c r="I2928" s="6">
        <f>TabJogos[[#This Row],[PontosTime1]]-TabJogos[[#This Row],[PontosTime2]]</f>
        <v>3</v>
      </c>
    </row>
    <row r="2929" spans="1:9" ht="15" customHeight="1" x14ac:dyDescent="0.25">
      <c r="A2929" s="7">
        <v>2928</v>
      </c>
      <c r="B2929" s="1">
        <v>43531</v>
      </c>
      <c r="C2929" s="6" t="s">
        <v>9</v>
      </c>
      <c r="D2929" s="6" t="s">
        <v>28</v>
      </c>
      <c r="E2929" s="6">
        <v>5</v>
      </c>
      <c r="F2929" s="6">
        <v>1</v>
      </c>
      <c r="G2929" s="6" t="s">
        <v>11</v>
      </c>
      <c r="H2929" s="6" t="s">
        <v>13</v>
      </c>
      <c r="I2929" s="6">
        <f>TabJogos[[#This Row],[PontosTime1]]-TabJogos[[#This Row],[PontosTime2]]</f>
        <v>4</v>
      </c>
    </row>
    <row r="2930" spans="1:9" ht="15" customHeight="1" x14ac:dyDescent="0.25">
      <c r="A2930" s="7">
        <v>2929</v>
      </c>
      <c r="B2930" s="1">
        <v>43532</v>
      </c>
      <c r="C2930" s="6" t="s">
        <v>23</v>
      </c>
      <c r="D2930" s="6" t="s">
        <v>13</v>
      </c>
      <c r="E2930" s="6">
        <v>5</v>
      </c>
      <c r="F2930" s="6">
        <v>4</v>
      </c>
      <c r="G2930" s="6" t="s">
        <v>41</v>
      </c>
      <c r="H2930" s="6" t="s">
        <v>11</v>
      </c>
      <c r="I2930" s="6">
        <f>TabJogos[[#This Row],[PontosTime1]]-TabJogos[[#This Row],[PontosTime2]]</f>
        <v>1</v>
      </c>
    </row>
    <row r="2931" spans="1:9" ht="15" customHeight="1" x14ac:dyDescent="0.25">
      <c r="A2931" s="7">
        <v>2930</v>
      </c>
      <c r="B2931" s="1">
        <v>43532</v>
      </c>
      <c r="C2931" s="6" t="s">
        <v>11</v>
      </c>
      <c r="D2931" s="6" t="s">
        <v>13</v>
      </c>
      <c r="E2931" s="6">
        <v>6</v>
      </c>
      <c r="F2931" s="6">
        <v>3</v>
      </c>
      <c r="G2931" s="6" t="s">
        <v>23</v>
      </c>
      <c r="H2931" s="6" t="s">
        <v>18</v>
      </c>
      <c r="I2931" s="6">
        <f>TabJogos[[#This Row],[PontosTime1]]-TabJogos[[#This Row],[PontosTime2]]</f>
        <v>3</v>
      </c>
    </row>
    <row r="2932" spans="1:9" ht="15" customHeight="1" x14ac:dyDescent="0.25">
      <c r="A2932" s="7">
        <v>2931</v>
      </c>
      <c r="B2932" s="1">
        <v>43532</v>
      </c>
      <c r="C2932" s="6" t="s">
        <v>11</v>
      </c>
      <c r="D2932" s="6" t="s">
        <v>23</v>
      </c>
      <c r="E2932" s="6">
        <v>5</v>
      </c>
      <c r="F2932" s="6">
        <v>3</v>
      </c>
      <c r="G2932" s="6" t="s">
        <v>41</v>
      </c>
      <c r="H2932" s="6" t="s">
        <v>13</v>
      </c>
      <c r="I2932" s="6">
        <f>TabJogos[[#This Row],[PontosTime1]]-TabJogos[[#This Row],[PontosTime2]]</f>
        <v>2</v>
      </c>
    </row>
    <row r="2933" spans="1:9" ht="15" customHeight="1" x14ac:dyDescent="0.25">
      <c r="A2933" s="7">
        <v>2932</v>
      </c>
      <c r="B2933" s="1">
        <v>43532</v>
      </c>
      <c r="C2933" s="6" t="s">
        <v>18</v>
      </c>
      <c r="D2933" s="6" t="s">
        <v>11</v>
      </c>
      <c r="E2933" s="6">
        <v>5</v>
      </c>
      <c r="F2933" s="6">
        <v>4</v>
      </c>
      <c r="G2933" s="6" t="s">
        <v>41</v>
      </c>
      <c r="H2933" s="6" t="s">
        <v>23</v>
      </c>
      <c r="I2933" s="6">
        <f>TabJogos[[#This Row],[PontosTime1]]-TabJogos[[#This Row],[PontosTime2]]</f>
        <v>1</v>
      </c>
    </row>
    <row r="2934" spans="1:9" ht="15" customHeight="1" x14ac:dyDescent="0.25">
      <c r="A2934" s="7">
        <v>2933</v>
      </c>
      <c r="B2934" s="1">
        <v>43532</v>
      </c>
      <c r="C2934" s="6" t="s">
        <v>18</v>
      </c>
      <c r="D2934" s="6" t="s">
        <v>13</v>
      </c>
      <c r="E2934" s="6">
        <v>5</v>
      </c>
      <c r="F2934" s="6">
        <v>0</v>
      </c>
      <c r="G2934" s="6" t="s">
        <v>41</v>
      </c>
      <c r="H2934" s="6" t="s">
        <v>11</v>
      </c>
      <c r="I2934" s="6">
        <f>TabJogos[[#This Row],[PontosTime1]]-TabJogos[[#This Row],[PontosTime2]]</f>
        <v>5</v>
      </c>
    </row>
    <row r="2935" spans="1:9" ht="15" customHeight="1" x14ac:dyDescent="0.25">
      <c r="A2935" s="7">
        <v>2934</v>
      </c>
      <c r="B2935" s="1">
        <v>43532</v>
      </c>
      <c r="C2935" s="6" t="s">
        <v>11</v>
      </c>
      <c r="D2935" s="6" t="s">
        <v>13</v>
      </c>
      <c r="E2935" s="6">
        <v>5</v>
      </c>
      <c r="F2935" s="6">
        <v>1</v>
      </c>
      <c r="G2935" s="6" t="s">
        <v>9</v>
      </c>
      <c r="H2935" s="6" t="s">
        <v>18</v>
      </c>
      <c r="I2935" s="6">
        <f>TabJogos[[#This Row],[PontosTime1]]-TabJogos[[#This Row],[PontosTime2]]</f>
        <v>4</v>
      </c>
    </row>
    <row r="2936" spans="1:9" ht="15" customHeight="1" x14ac:dyDescent="0.25">
      <c r="A2936" s="7">
        <v>2935</v>
      </c>
      <c r="B2936" s="1">
        <v>43532</v>
      </c>
      <c r="C2936" s="6" t="s">
        <v>13</v>
      </c>
      <c r="D2936" s="6" t="s">
        <v>9</v>
      </c>
      <c r="E2936" s="6">
        <v>5</v>
      </c>
      <c r="F2936" s="6">
        <v>3</v>
      </c>
      <c r="G2936" s="6" t="s">
        <v>11</v>
      </c>
      <c r="H2936" s="6" t="s">
        <v>18</v>
      </c>
      <c r="I2936" s="6">
        <f>TabJogos[[#This Row],[PontosTime1]]-TabJogos[[#This Row],[PontosTime2]]</f>
        <v>2</v>
      </c>
    </row>
    <row r="2937" spans="1:9" ht="15" customHeight="1" x14ac:dyDescent="0.25">
      <c r="A2937" s="7">
        <v>2936</v>
      </c>
      <c r="B2937" s="1">
        <v>43532</v>
      </c>
      <c r="C2937" s="6" t="s">
        <v>13</v>
      </c>
      <c r="D2937" s="6" t="s">
        <v>18</v>
      </c>
      <c r="E2937" s="6">
        <v>1</v>
      </c>
      <c r="F2937" s="6">
        <v>5</v>
      </c>
      <c r="G2937" s="6" t="s">
        <v>11</v>
      </c>
      <c r="H2937" s="6" t="s">
        <v>9</v>
      </c>
      <c r="I2937" s="6">
        <f>TabJogos[[#This Row],[PontosTime1]]-TabJogos[[#This Row],[PontosTime2]]</f>
        <v>-4</v>
      </c>
    </row>
    <row r="2938" spans="1:9" ht="15" customHeight="1" x14ac:dyDescent="0.25">
      <c r="A2938" s="7">
        <v>2937</v>
      </c>
      <c r="B2938" s="1">
        <v>43532</v>
      </c>
      <c r="C2938" s="6" t="s">
        <v>9</v>
      </c>
      <c r="D2938" s="6" t="s">
        <v>18</v>
      </c>
      <c r="E2938" s="6">
        <v>6</v>
      </c>
      <c r="F2938" s="6">
        <v>0</v>
      </c>
      <c r="G2938" s="6" t="s">
        <v>11</v>
      </c>
      <c r="H2938" s="6" t="s">
        <v>13</v>
      </c>
      <c r="I2938" s="6">
        <f>TabJogos[[#This Row],[PontosTime1]]-TabJogos[[#This Row],[PontosTime2]]</f>
        <v>6</v>
      </c>
    </row>
    <row r="2939" spans="1:9" ht="15" customHeight="1" x14ac:dyDescent="0.25">
      <c r="A2939" s="7">
        <v>2938</v>
      </c>
      <c r="B2939" s="1">
        <v>43532</v>
      </c>
      <c r="C2939" s="6" t="s">
        <v>9</v>
      </c>
      <c r="D2939" s="6" t="s">
        <v>13</v>
      </c>
      <c r="E2939" s="6">
        <v>6</v>
      </c>
      <c r="F2939" s="6">
        <v>0</v>
      </c>
      <c r="G2939" s="6" t="s">
        <v>11</v>
      </c>
      <c r="H2939" s="6" t="s">
        <v>18</v>
      </c>
      <c r="I2939" s="6">
        <f>TabJogos[[#This Row],[PontosTime1]]-TabJogos[[#This Row],[PontosTime2]]</f>
        <v>6</v>
      </c>
    </row>
    <row r="2940" spans="1:9" ht="15" customHeight="1" x14ac:dyDescent="0.25">
      <c r="A2940" s="7">
        <v>2939</v>
      </c>
      <c r="B2940" s="1">
        <v>43532</v>
      </c>
      <c r="C2940" s="6" t="s">
        <v>13</v>
      </c>
      <c r="D2940" s="6" t="s">
        <v>18</v>
      </c>
      <c r="E2940" s="6">
        <v>5</v>
      </c>
      <c r="F2940" s="6">
        <v>4</v>
      </c>
      <c r="G2940" s="6" t="s">
        <v>9</v>
      </c>
      <c r="H2940" s="6" t="s">
        <v>11</v>
      </c>
      <c r="I2940" s="6">
        <f>TabJogos[[#This Row],[PontosTime1]]-TabJogos[[#This Row],[PontosTime2]]</f>
        <v>1</v>
      </c>
    </row>
    <row r="2941" spans="1:9" ht="15" customHeight="1" x14ac:dyDescent="0.25">
      <c r="A2941" s="7">
        <v>2940</v>
      </c>
      <c r="B2941" s="1">
        <v>43535</v>
      </c>
      <c r="C2941" s="6" t="s">
        <v>13</v>
      </c>
      <c r="D2941" s="6" t="s">
        <v>17</v>
      </c>
      <c r="E2941" s="6">
        <v>3</v>
      </c>
      <c r="F2941" s="6">
        <v>6</v>
      </c>
      <c r="G2941" s="6" t="s">
        <v>18</v>
      </c>
      <c r="H2941" s="6" t="s">
        <v>32</v>
      </c>
      <c r="I2941" s="6">
        <f>TabJogos[[#This Row],[PontosTime1]]-TabJogos[[#This Row],[PontosTime2]]</f>
        <v>-3</v>
      </c>
    </row>
    <row r="2942" spans="1:9" ht="15" customHeight="1" x14ac:dyDescent="0.25">
      <c r="A2942" s="7">
        <v>2941</v>
      </c>
      <c r="B2942" s="1">
        <v>43535</v>
      </c>
      <c r="C2942" s="6" t="s">
        <v>41</v>
      </c>
      <c r="D2942" s="6" t="s">
        <v>18</v>
      </c>
      <c r="E2942" s="6">
        <v>2</v>
      </c>
      <c r="F2942" s="6">
        <v>6</v>
      </c>
      <c r="G2942" s="6" t="s">
        <v>32</v>
      </c>
      <c r="H2942" s="6" t="s">
        <v>11</v>
      </c>
      <c r="I2942" s="6">
        <f>TabJogos[[#This Row],[PontosTime1]]-TabJogos[[#This Row],[PontosTime2]]</f>
        <v>-4</v>
      </c>
    </row>
    <row r="2943" spans="1:9" ht="15" customHeight="1" x14ac:dyDescent="0.25">
      <c r="A2943" s="7">
        <v>2942</v>
      </c>
      <c r="B2943" s="1">
        <v>43535</v>
      </c>
      <c r="C2943" s="6" t="s">
        <v>17</v>
      </c>
      <c r="D2943" s="6" t="s">
        <v>32</v>
      </c>
      <c r="E2943" s="6">
        <v>0</v>
      </c>
      <c r="F2943" s="6">
        <v>5</v>
      </c>
      <c r="G2943" s="6" t="s">
        <v>13</v>
      </c>
      <c r="H2943" s="6" t="s">
        <v>11</v>
      </c>
      <c r="I2943" s="6">
        <f>TabJogos[[#This Row],[PontosTime1]]-TabJogos[[#This Row],[PontosTime2]]</f>
        <v>-5</v>
      </c>
    </row>
    <row r="2944" spans="1:9" ht="15" customHeight="1" x14ac:dyDescent="0.25">
      <c r="A2944" s="7">
        <v>2943</v>
      </c>
      <c r="B2944" s="1">
        <v>43535</v>
      </c>
      <c r="C2944" s="6" t="s">
        <v>13</v>
      </c>
      <c r="D2944" s="6" t="s">
        <v>18</v>
      </c>
      <c r="E2944" s="6">
        <v>1</v>
      </c>
      <c r="F2944" s="6">
        <v>5</v>
      </c>
      <c r="G2944" s="6" t="s">
        <v>11</v>
      </c>
      <c r="H2944" s="6" t="s">
        <v>27</v>
      </c>
      <c r="I2944" s="6">
        <f>TabJogos[[#This Row],[PontosTime1]]-TabJogos[[#This Row],[PontosTime2]]</f>
        <v>-4</v>
      </c>
    </row>
    <row r="2945" spans="1:9" ht="15" customHeight="1" x14ac:dyDescent="0.25">
      <c r="A2945" s="7">
        <v>2944</v>
      </c>
      <c r="B2945" s="1">
        <v>43535</v>
      </c>
      <c r="C2945" s="6" t="s">
        <v>27</v>
      </c>
      <c r="D2945" s="6" t="s">
        <v>32</v>
      </c>
      <c r="E2945" s="6">
        <v>5</v>
      </c>
      <c r="F2945" s="6">
        <v>1</v>
      </c>
      <c r="G2945" s="6" t="s">
        <v>11</v>
      </c>
      <c r="H2945" s="6" t="s">
        <v>41</v>
      </c>
      <c r="I2945" s="6">
        <f>TabJogos[[#This Row],[PontosTime1]]-TabJogos[[#This Row],[PontosTime2]]</f>
        <v>4</v>
      </c>
    </row>
    <row r="2946" spans="1:9" ht="15" customHeight="1" x14ac:dyDescent="0.25">
      <c r="A2946" s="7">
        <v>2945</v>
      </c>
      <c r="B2946" s="1">
        <v>43535</v>
      </c>
      <c r="C2946" s="6" t="s">
        <v>17</v>
      </c>
      <c r="D2946" s="6" t="s">
        <v>27</v>
      </c>
      <c r="E2946" s="6">
        <v>4</v>
      </c>
      <c r="F2946" s="6">
        <v>5</v>
      </c>
      <c r="G2946" s="6" t="s">
        <v>32</v>
      </c>
      <c r="H2946" s="6" t="s">
        <v>13</v>
      </c>
      <c r="I2946" s="6">
        <f>TabJogos[[#This Row],[PontosTime1]]-TabJogos[[#This Row],[PontosTime2]]</f>
        <v>-1</v>
      </c>
    </row>
    <row r="2947" spans="1:9" ht="15" customHeight="1" x14ac:dyDescent="0.25">
      <c r="A2947" s="7">
        <v>2946</v>
      </c>
      <c r="B2947" s="1">
        <v>43535</v>
      </c>
      <c r="C2947" s="6" t="s">
        <v>13</v>
      </c>
      <c r="D2947" s="6" t="s">
        <v>41</v>
      </c>
      <c r="E2947" s="6">
        <v>5</v>
      </c>
      <c r="F2947" s="6">
        <v>4</v>
      </c>
      <c r="G2947" s="6" t="s">
        <v>18</v>
      </c>
      <c r="H2947" s="6" t="s">
        <v>32</v>
      </c>
      <c r="I2947" s="6">
        <f>TabJogos[[#This Row],[PontosTime1]]-TabJogos[[#This Row],[PontosTime2]]</f>
        <v>1</v>
      </c>
    </row>
    <row r="2948" spans="1:9" ht="15" customHeight="1" x14ac:dyDescent="0.25">
      <c r="A2948" s="7">
        <v>2947</v>
      </c>
      <c r="B2948" s="1">
        <v>43535</v>
      </c>
      <c r="C2948" s="6" t="s">
        <v>13</v>
      </c>
      <c r="D2948" s="6" t="s">
        <v>27</v>
      </c>
      <c r="E2948" s="6">
        <v>1</v>
      </c>
      <c r="F2948" s="6">
        <v>5</v>
      </c>
      <c r="G2948" s="6" t="s">
        <v>17</v>
      </c>
      <c r="H2948" s="6" t="s">
        <v>11</v>
      </c>
      <c r="I2948" s="6">
        <f>TabJogos[[#This Row],[PontosTime1]]-TabJogos[[#This Row],[PontosTime2]]</f>
        <v>-4</v>
      </c>
    </row>
    <row r="2949" spans="1:9" ht="15" customHeight="1" x14ac:dyDescent="0.25">
      <c r="A2949" s="7">
        <v>2948</v>
      </c>
      <c r="B2949" s="1">
        <v>43535</v>
      </c>
      <c r="C2949" s="6" t="s">
        <v>13</v>
      </c>
      <c r="D2949" s="6" t="s">
        <v>11</v>
      </c>
      <c r="E2949" s="6">
        <v>5</v>
      </c>
      <c r="F2949" s="6">
        <v>3</v>
      </c>
      <c r="G2949" s="6" t="s">
        <v>17</v>
      </c>
      <c r="H2949" s="6" t="s">
        <v>18</v>
      </c>
      <c r="I2949" s="6">
        <f>TabJogos[[#This Row],[PontosTime1]]-TabJogos[[#This Row],[PontosTime2]]</f>
        <v>2</v>
      </c>
    </row>
    <row r="2950" spans="1:9" ht="15" customHeight="1" x14ac:dyDescent="0.25">
      <c r="A2950" s="7">
        <v>2949</v>
      </c>
      <c r="B2950" s="1">
        <v>43535</v>
      </c>
      <c r="C2950" s="6" t="s">
        <v>11</v>
      </c>
      <c r="D2950" s="6" t="s">
        <v>18</v>
      </c>
      <c r="E2950" s="6">
        <v>3</v>
      </c>
      <c r="F2950" s="6">
        <v>5</v>
      </c>
      <c r="G2950" s="6" t="s">
        <v>17</v>
      </c>
      <c r="H2950" s="6" t="s">
        <v>13</v>
      </c>
      <c r="I2950" s="6">
        <f>TabJogos[[#This Row],[PontosTime1]]-TabJogos[[#This Row],[PontosTime2]]</f>
        <v>-2</v>
      </c>
    </row>
    <row r="2951" spans="1:9" ht="15" customHeight="1" x14ac:dyDescent="0.25">
      <c r="A2951" s="7">
        <v>2950</v>
      </c>
      <c r="B2951" s="1">
        <v>43535</v>
      </c>
      <c r="C2951" s="6" t="s">
        <v>11</v>
      </c>
      <c r="D2951" s="6" t="s">
        <v>17</v>
      </c>
      <c r="E2951" s="6">
        <v>7</v>
      </c>
      <c r="F2951" s="6">
        <v>4</v>
      </c>
      <c r="G2951" s="6" t="s">
        <v>13</v>
      </c>
      <c r="H2951" s="6" t="s">
        <v>18</v>
      </c>
      <c r="I2951" s="6">
        <f>TabJogos[[#This Row],[PontosTime1]]-TabJogos[[#This Row],[PontosTime2]]</f>
        <v>3</v>
      </c>
    </row>
    <row r="2952" spans="1:9" ht="15" customHeight="1" x14ac:dyDescent="0.25">
      <c r="A2952" s="7">
        <v>2951</v>
      </c>
      <c r="B2952" s="1">
        <v>43536</v>
      </c>
      <c r="C2952" s="6" t="s">
        <v>18</v>
      </c>
      <c r="D2952" s="6" t="s">
        <v>32</v>
      </c>
      <c r="E2952" s="6">
        <v>5</v>
      </c>
      <c r="F2952" s="6">
        <v>4</v>
      </c>
      <c r="G2952" s="6" t="s">
        <v>17</v>
      </c>
      <c r="H2952" s="6" t="s">
        <v>13</v>
      </c>
      <c r="I2952" s="6">
        <f>TabJogos[[#This Row],[PontosTime1]]-TabJogos[[#This Row],[PontosTime2]]</f>
        <v>1</v>
      </c>
    </row>
    <row r="2953" spans="1:9" ht="15" customHeight="1" x14ac:dyDescent="0.25">
      <c r="A2953" s="7">
        <v>2952</v>
      </c>
      <c r="B2953" s="1">
        <v>43536</v>
      </c>
      <c r="C2953" s="6" t="s">
        <v>18</v>
      </c>
      <c r="D2953" s="6" t="s">
        <v>17</v>
      </c>
      <c r="E2953" s="6">
        <v>5</v>
      </c>
      <c r="F2953" s="6">
        <v>3</v>
      </c>
      <c r="G2953" s="6" t="s">
        <v>13</v>
      </c>
      <c r="H2953" s="6" t="s">
        <v>32</v>
      </c>
      <c r="I2953" s="6">
        <f>TabJogos[[#This Row],[PontosTime1]]-TabJogos[[#This Row],[PontosTime2]]</f>
        <v>2</v>
      </c>
    </row>
    <row r="2954" spans="1:9" ht="15" customHeight="1" x14ac:dyDescent="0.25">
      <c r="A2954" s="7">
        <v>2953</v>
      </c>
      <c r="B2954" s="1">
        <v>43536</v>
      </c>
      <c r="C2954" s="6" t="s">
        <v>18</v>
      </c>
      <c r="D2954" s="6" t="s">
        <v>13</v>
      </c>
      <c r="E2954" s="6">
        <v>5</v>
      </c>
      <c r="F2954" s="6">
        <v>3</v>
      </c>
      <c r="G2954" s="6" t="s">
        <v>17</v>
      </c>
      <c r="H2954" s="6" t="s">
        <v>32</v>
      </c>
      <c r="I2954" s="6">
        <f>TabJogos[[#This Row],[PontosTime1]]-TabJogos[[#This Row],[PontosTime2]]</f>
        <v>2</v>
      </c>
    </row>
    <row r="2955" spans="1:9" ht="15" customHeight="1" x14ac:dyDescent="0.25">
      <c r="A2955" s="7">
        <v>2954</v>
      </c>
      <c r="B2955" s="1">
        <v>43536</v>
      </c>
      <c r="C2955" s="6" t="s">
        <v>18</v>
      </c>
      <c r="D2955" s="6" t="s">
        <v>32</v>
      </c>
      <c r="E2955" s="6">
        <v>8</v>
      </c>
      <c r="F2955" s="6">
        <v>3</v>
      </c>
      <c r="G2955" s="6" t="s">
        <v>17</v>
      </c>
      <c r="H2955" s="6" t="s">
        <v>13</v>
      </c>
      <c r="I2955" s="6">
        <f>TabJogos[[#This Row],[PontosTime1]]-TabJogos[[#This Row],[PontosTime2]]</f>
        <v>5</v>
      </c>
    </row>
    <row r="2956" spans="1:9" ht="15" customHeight="1" x14ac:dyDescent="0.25">
      <c r="A2956" s="7">
        <v>2955</v>
      </c>
      <c r="B2956" s="1">
        <v>43536</v>
      </c>
      <c r="C2956" s="6" t="s">
        <v>32</v>
      </c>
      <c r="D2956" s="6" t="s">
        <v>27</v>
      </c>
      <c r="E2956" s="6">
        <v>1</v>
      </c>
      <c r="F2956" s="6">
        <v>6</v>
      </c>
      <c r="G2956" s="6" t="s">
        <v>17</v>
      </c>
      <c r="H2956" s="6" t="s">
        <v>18</v>
      </c>
      <c r="I2956" s="6">
        <f>TabJogos[[#This Row],[PontosTime1]]-TabJogos[[#This Row],[PontosTime2]]</f>
        <v>-5</v>
      </c>
    </row>
    <row r="2957" spans="1:9" ht="15" customHeight="1" x14ac:dyDescent="0.25">
      <c r="A2957" s="7">
        <v>2956</v>
      </c>
      <c r="B2957" s="1">
        <v>43536</v>
      </c>
      <c r="C2957" s="6" t="s">
        <v>17</v>
      </c>
      <c r="D2957" s="6" t="s">
        <v>41</v>
      </c>
      <c r="E2957" s="6">
        <v>3</v>
      </c>
      <c r="F2957" s="6">
        <v>5</v>
      </c>
      <c r="G2957" s="6" t="s">
        <v>13</v>
      </c>
      <c r="H2957" s="6" t="s">
        <v>18</v>
      </c>
      <c r="I2957" s="6">
        <f>TabJogos[[#This Row],[PontosTime1]]-TabJogos[[#This Row],[PontosTime2]]</f>
        <v>-2</v>
      </c>
    </row>
    <row r="2958" spans="1:9" ht="15" customHeight="1" x14ac:dyDescent="0.25">
      <c r="A2958" s="7">
        <v>2957</v>
      </c>
      <c r="B2958" s="1">
        <v>43536</v>
      </c>
      <c r="C2958" s="6" t="s">
        <v>18</v>
      </c>
      <c r="D2958" s="6" t="s">
        <v>11</v>
      </c>
      <c r="E2958" s="6">
        <v>5</v>
      </c>
      <c r="F2958" s="6">
        <v>3</v>
      </c>
      <c r="G2958" s="6" t="s">
        <v>17</v>
      </c>
      <c r="H2958" s="6" t="s">
        <v>13</v>
      </c>
      <c r="I2958" s="6">
        <f>TabJogos[[#This Row],[PontosTime1]]-TabJogos[[#This Row],[PontosTime2]]</f>
        <v>2</v>
      </c>
    </row>
    <row r="2959" spans="1:9" ht="15" customHeight="1" x14ac:dyDescent="0.25">
      <c r="A2959" s="7">
        <v>2958</v>
      </c>
      <c r="B2959" s="1">
        <v>43536</v>
      </c>
      <c r="C2959" s="6" t="s">
        <v>17</v>
      </c>
      <c r="D2959" s="6" t="s">
        <v>18</v>
      </c>
      <c r="E2959" s="6">
        <v>5</v>
      </c>
      <c r="F2959" s="6">
        <v>2</v>
      </c>
      <c r="G2959" s="6" t="s">
        <v>11</v>
      </c>
      <c r="H2959" s="6" t="s">
        <v>13</v>
      </c>
      <c r="I2959" s="6">
        <f>TabJogos[[#This Row],[PontosTime1]]-TabJogos[[#This Row],[PontosTime2]]</f>
        <v>3</v>
      </c>
    </row>
    <row r="2960" spans="1:9" ht="15" customHeight="1" x14ac:dyDescent="0.25">
      <c r="A2960" s="7">
        <v>2959</v>
      </c>
      <c r="B2960" s="1">
        <v>43536</v>
      </c>
      <c r="C2960" s="6" t="s">
        <v>13</v>
      </c>
      <c r="D2960" s="6" t="s">
        <v>18</v>
      </c>
      <c r="E2960" s="6">
        <v>8</v>
      </c>
      <c r="F2960" s="6">
        <v>0</v>
      </c>
      <c r="G2960" s="6" t="s">
        <v>11</v>
      </c>
      <c r="H2960" s="6" t="s">
        <v>17</v>
      </c>
      <c r="I2960" s="6">
        <f>TabJogos[[#This Row],[PontosTime1]]-TabJogos[[#This Row],[PontosTime2]]</f>
        <v>8</v>
      </c>
    </row>
    <row r="2961" spans="1:9" ht="15" customHeight="1" x14ac:dyDescent="0.25">
      <c r="A2961" s="7">
        <v>2960</v>
      </c>
      <c r="B2961" s="1">
        <v>43537</v>
      </c>
      <c r="C2961" s="6" t="s">
        <v>18</v>
      </c>
      <c r="D2961" s="6" t="s">
        <v>32</v>
      </c>
      <c r="E2961" s="6">
        <v>2</v>
      </c>
      <c r="F2961" s="6">
        <v>6</v>
      </c>
      <c r="G2961" s="6" t="s">
        <v>12</v>
      </c>
      <c r="H2961" s="6" t="s">
        <v>11</v>
      </c>
      <c r="I2961" s="6">
        <f>TabJogos[[#This Row],[PontosTime1]]-TabJogos[[#This Row],[PontosTime2]]</f>
        <v>-4</v>
      </c>
    </row>
    <row r="2962" spans="1:9" ht="15" customHeight="1" x14ac:dyDescent="0.25">
      <c r="A2962" s="7">
        <v>2961</v>
      </c>
      <c r="B2962" s="1">
        <v>43537</v>
      </c>
      <c r="C2962" s="6" t="s">
        <v>32</v>
      </c>
      <c r="D2962" s="6" t="s">
        <v>12</v>
      </c>
      <c r="E2962" s="6">
        <v>5</v>
      </c>
      <c r="F2962" s="6">
        <v>4</v>
      </c>
      <c r="G2962" s="6" t="s">
        <v>17</v>
      </c>
      <c r="H2962" s="6" t="s">
        <v>11</v>
      </c>
      <c r="I2962" s="6">
        <f>TabJogos[[#This Row],[PontosTime1]]-TabJogos[[#This Row],[PontosTime2]]</f>
        <v>1</v>
      </c>
    </row>
    <row r="2963" spans="1:9" ht="15" customHeight="1" x14ac:dyDescent="0.25">
      <c r="A2963" s="7">
        <v>2962</v>
      </c>
      <c r="B2963" s="1">
        <v>43537</v>
      </c>
      <c r="C2963" s="6" t="s">
        <v>32</v>
      </c>
      <c r="D2963" s="6" t="s">
        <v>13</v>
      </c>
      <c r="E2963" s="6">
        <v>4</v>
      </c>
      <c r="F2963" s="6">
        <v>5</v>
      </c>
      <c r="G2963" s="6" t="s">
        <v>18</v>
      </c>
      <c r="H2963" s="6" t="s">
        <v>11</v>
      </c>
      <c r="I2963" s="6">
        <f>TabJogos[[#This Row],[PontosTime1]]-TabJogos[[#This Row],[PontosTime2]]</f>
        <v>-1</v>
      </c>
    </row>
    <row r="2964" spans="1:9" ht="15" customHeight="1" x14ac:dyDescent="0.25">
      <c r="A2964" s="7">
        <v>2963</v>
      </c>
      <c r="B2964" s="1">
        <v>43537</v>
      </c>
      <c r="C2964" s="6" t="s">
        <v>17</v>
      </c>
      <c r="D2964" s="6" t="s">
        <v>18</v>
      </c>
      <c r="E2964" s="6">
        <v>5</v>
      </c>
      <c r="F2964" s="6">
        <v>0</v>
      </c>
      <c r="G2964" s="6" t="s">
        <v>11</v>
      </c>
      <c r="H2964" s="6" t="s">
        <v>13</v>
      </c>
      <c r="I2964" s="6">
        <f>TabJogos[[#This Row],[PontosTime1]]-TabJogos[[#This Row],[PontosTime2]]</f>
        <v>5</v>
      </c>
    </row>
    <row r="2965" spans="1:9" ht="15" customHeight="1" x14ac:dyDescent="0.25">
      <c r="A2965" s="7">
        <v>2964</v>
      </c>
      <c r="B2965" s="1">
        <v>43537</v>
      </c>
      <c r="C2965" s="6" t="s">
        <v>13</v>
      </c>
      <c r="D2965" s="6" t="s">
        <v>18</v>
      </c>
      <c r="E2965" s="6">
        <v>3</v>
      </c>
      <c r="F2965" s="6">
        <v>5</v>
      </c>
      <c r="G2965" s="6" t="s">
        <v>17</v>
      </c>
      <c r="H2965" s="6" t="s">
        <v>11</v>
      </c>
      <c r="I2965" s="6">
        <f>TabJogos[[#This Row],[PontosTime1]]-TabJogos[[#This Row],[PontosTime2]]</f>
        <v>-2</v>
      </c>
    </row>
    <row r="2966" spans="1:9" ht="15" customHeight="1" x14ac:dyDescent="0.25">
      <c r="A2966" s="7">
        <v>2965</v>
      </c>
      <c r="B2966" s="1">
        <v>43537</v>
      </c>
      <c r="C2966" s="6" t="s">
        <v>17</v>
      </c>
      <c r="D2966" s="6" t="s">
        <v>41</v>
      </c>
      <c r="E2966" s="6">
        <v>4</v>
      </c>
      <c r="F2966" s="6">
        <v>6</v>
      </c>
      <c r="G2966" s="6" t="s">
        <v>18</v>
      </c>
      <c r="H2966" s="6" t="s">
        <v>11</v>
      </c>
      <c r="I2966" s="6">
        <f>TabJogos[[#This Row],[PontosTime1]]-TabJogos[[#This Row],[PontosTime2]]</f>
        <v>-2</v>
      </c>
    </row>
    <row r="2967" spans="1:9" ht="15" customHeight="1" x14ac:dyDescent="0.25">
      <c r="A2967" s="7">
        <v>2966</v>
      </c>
      <c r="B2967" s="1">
        <v>43537</v>
      </c>
      <c r="C2967" s="6" t="s">
        <v>17</v>
      </c>
      <c r="D2967" s="6" t="s">
        <v>18</v>
      </c>
      <c r="E2967" s="6">
        <v>4</v>
      </c>
      <c r="F2967" s="6">
        <v>5</v>
      </c>
      <c r="G2967" s="6" t="s">
        <v>11</v>
      </c>
      <c r="H2967" s="6" t="s">
        <v>13</v>
      </c>
      <c r="I2967" s="6">
        <f>TabJogos[[#This Row],[PontosTime1]]-TabJogos[[#This Row],[PontosTime2]]</f>
        <v>-1</v>
      </c>
    </row>
    <row r="2968" spans="1:9" ht="15" customHeight="1" x14ac:dyDescent="0.25">
      <c r="A2968" s="7">
        <v>2967</v>
      </c>
      <c r="B2968" s="1">
        <v>43538</v>
      </c>
      <c r="C2968" s="6" t="s">
        <v>18</v>
      </c>
      <c r="D2968" s="6" t="s">
        <v>41</v>
      </c>
      <c r="E2968" s="6">
        <v>5</v>
      </c>
      <c r="F2968" s="6">
        <v>4</v>
      </c>
      <c r="G2968" s="6" t="s">
        <v>13</v>
      </c>
      <c r="H2968" s="6" t="s">
        <v>11</v>
      </c>
      <c r="I2968" s="6">
        <f>TabJogos[[#This Row],[PontosTime1]]-TabJogos[[#This Row],[PontosTime2]]</f>
        <v>1</v>
      </c>
    </row>
    <row r="2969" spans="1:9" ht="15" customHeight="1" x14ac:dyDescent="0.25">
      <c r="A2969" s="7">
        <v>2968</v>
      </c>
      <c r="B2969" s="1">
        <v>43538</v>
      </c>
      <c r="C2969" s="6" t="s">
        <v>18</v>
      </c>
      <c r="D2969" s="6" t="s">
        <v>11</v>
      </c>
      <c r="E2969" s="6">
        <v>6</v>
      </c>
      <c r="F2969" s="6">
        <v>1</v>
      </c>
      <c r="G2969" s="6" t="s">
        <v>13</v>
      </c>
      <c r="H2969" s="6" t="s">
        <v>41</v>
      </c>
      <c r="I2969" s="6">
        <f>TabJogos[[#This Row],[PontosTime1]]-TabJogos[[#This Row],[PontosTime2]]</f>
        <v>5</v>
      </c>
    </row>
    <row r="2970" spans="1:9" ht="15" customHeight="1" x14ac:dyDescent="0.25">
      <c r="A2970" s="7">
        <v>2969</v>
      </c>
      <c r="B2970" s="1">
        <v>43538</v>
      </c>
      <c r="C2970" s="6" t="s">
        <v>11</v>
      </c>
      <c r="D2970" s="6" t="s">
        <v>41</v>
      </c>
      <c r="E2970" s="6">
        <v>5</v>
      </c>
      <c r="F2970" s="6">
        <v>1</v>
      </c>
      <c r="G2970" s="6" t="s">
        <v>13</v>
      </c>
      <c r="H2970" s="6" t="s">
        <v>18</v>
      </c>
      <c r="I2970" s="6">
        <f>TabJogos[[#This Row],[PontosTime1]]-TabJogos[[#This Row],[PontosTime2]]</f>
        <v>4</v>
      </c>
    </row>
    <row r="2971" spans="1:9" ht="15" customHeight="1" x14ac:dyDescent="0.25">
      <c r="A2971" s="7">
        <v>2970</v>
      </c>
      <c r="B2971" s="1">
        <v>43538</v>
      </c>
      <c r="C2971" s="6" t="s">
        <v>41</v>
      </c>
      <c r="D2971" s="6" t="s">
        <v>13</v>
      </c>
      <c r="E2971" s="6">
        <v>3</v>
      </c>
      <c r="F2971" s="6">
        <v>5</v>
      </c>
      <c r="G2971" s="6" t="s">
        <v>27</v>
      </c>
      <c r="H2971" s="6" t="s">
        <v>11</v>
      </c>
      <c r="I2971" s="6">
        <f>TabJogos[[#This Row],[PontosTime1]]-TabJogos[[#This Row],[PontosTime2]]</f>
        <v>-2</v>
      </c>
    </row>
    <row r="2972" spans="1:9" ht="15" customHeight="1" x14ac:dyDescent="0.25">
      <c r="A2972" s="7">
        <v>2971</v>
      </c>
      <c r="B2972" s="1">
        <v>43538</v>
      </c>
      <c r="C2972" s="6" t="s">
        <v>27</v>
      </c>
      <c r="D2972" s="6" t="s">
        <v>17</v>
      </c>
      <c r="E2972" s="6">
        <v>2</v>
      </c>
      <c r="F2972" s="6">
        <v>5</v>
      </c>
      <c r="G2972" s="6" t="s">
        <v>11</v>
      </c>
      <c r="H2972" s="6" t="s">
        <v>18</v>
      </c>
      <c r="I2972" s="6">
        <f>TabJogos[[#This Row],[PontosTime1]]-TabJogos[[#This Row],[PontosTime2]]</f>
        <v>-3</v>
      </c>
    </row>
    <row r="2973" spans="1:9" ht="15" customHeight="1" x14ac:dyDescent="0.25">
      <c r="A2973" s="7">
        <v>2972</v>
      </c>
      <c r="B2973" s="1">
        <v>43538</v>
      </c>
      <c r="C2973" s="6" t="s">
        <v>11</v>
      </c>
      <c r="D2973" s="6" t="s">
        <v>17</v>
      </c>
      <c r="E2973" s="6">
        <v>5</v>
      </c>
      <c r="F2973" s="6">
        <v>3</v>
      </c>
      <c r="G2973" s="6" t="s">
        <v>18</v>
      </c>
      <c r="H2973" s="6" t="s">
        <v>13</v>
      </c>
      <c r="I2973" s="6">
        <f>TabJogos[[#This Row],[PontosTime1]]-TabJogos[[#This Row],[PontosTime2]]</f>
        <v>2</v>
      </c>
    </row>
    <row r="2974" spans="1:9" ht="15" customHeight="1" x14ac:dyDescent="0.25">
      <c r="A2974" s="7">
        <v>2973</v>
      </c>
      <c r="B2974" s="1">
        <v>43539</v>
      </c>
      <c r="C2974" s="6" t="s">
        <v>13</v>
      </c>
      <c r="D2974" s="6" t="s">
        <v>41</v>
      </c>
      <c r="E2974" s="6">
        <v>6</v>
      </c>
      <c r="F2974" s="6">
        <v>3</v>
      </c>
      <c r="G2974" s="6" t="s">
        <v>18</v>
      </c>
      <c r="H2974" s="6" t="s">
        <v>11</v>
      </c>
      <c r="I2974" s="6">
        <f>TabJogos[[#This Row],[PontosTime1]]-TabJogos[[#This Row],[PontosTime2]]</f>
        <v>3</v>
      </c>
    </row>
    <row r="2975" spans="1:9" ht="15" customHeight="1" x14ac:dyDescent="0.25">
      <c r="A2975" s="7">
        <v>2974</v>
      </c>
      <c r="B2975" s="1">
        <v>43539</v>
      </c>
      <c r="C2975" s="6" t="s">
        <v>41</v>
      </c>
      <c r="D2975" s="6" t="s">
        <v>11</v>
      </c>
      <c r="E2975" s="6">
        <v>5</v>
      </c>
      <c r="F2975" s="6">
        <v>4</v>
      </c>
      <c r="G2975" s="6" t="s">
        <v>18</v>
      </c>
      <c r="H2975" s="6" t="s">
        <v>13</v>
      </c>
      <c r="I2975" s="6">
        <f>TabJogos[[#This Row],[PontosTime1]]-TabJogos[[#This Row],[PontosTime2]]</f>
        <v>1</v>
      </c>
    </row>
    <row r="2976" spans="1:9" ht="15" customHeight="1" x14ac:dyDescent="0.25">
      <c r="A2976" s="7">
        <v>2975</v>
      </c>
      <c r="B2976" s="1">
        <v>43539</v>
      </c>
      <c r="C2976" s="6" t="s">
        <v>13</v>
      </c>
      <c r="D2976" s="6" t="s">
        <v>11</v>
      </c>
      <c r="E2976" s="6">
        <v>2</v>
      </c>
      <c r="F2976" s="6">
        <v>6</v>
      </c>
      <c r="G2976" s="6" t="s">
        <v>18</v>
      </c>
      <c r="H2976" s="6" t="s">
        <v>41</v>
      </c>
      <c r="I2976" s="6">
        <f>TabJogos[[#This Row],[PontosTime1]]-TabJogos[[#This Row],[PontosTime2]]</f>
        <v>-4</v>
      </c>
    </row>
    <row r="2977" spans="1:9" ht="15" customHeight="1" x14ac:dyDescent="0.25">
      <c r="A2977" s="7">
        <v>2976</v>
      </c>
      <c r="B2977" s="1">
        <v>43539</v>
      </c>
      <c r="C2977" s="6" t="s">
        <v>41</v>
      </c>
      <c r="D2977" s="6" t="s">
        <v>13</v>
      </c>
      <c r="E2977" s="6">
        <v>5</v>
      </c>
      <c r="F2977" s="6">
        <v>3</v>
      </c>
      <c r="G2977" s="6" t="s">
        <v>18</v>
      </c>
      <c r="H2977" s="6" t="s">
        <v>17</v>
      </c>
      <c r="I2977" s="6">
        <f>TabJogos[[#This Row],[PontosTime1]]-TabJogos[[#This Row],[PontosTime2]]</f>
        <v>2</v>
      </c>
    </row>
    <row r="2978" spans="1:9" ht="15" customHeight="1" x14ac:dyDescent="0.25">
      <c r="A2978" s="7">
        <v>2977</v>
      </c>
      <c r="B2978" s="1">
        <v>43539</v>
      </c>
      <c r="C2978" s="6" t="s">
        <v>32</v>
      </c>
      <c r="D2978" s="6" t="s">
        <v>11</v>
      </c>
      <c r="E2978" s="6">
        <v>0</v>
      </c>
      <c r="F2978" s="6">
        <v>5</v>
      </c>
      <c r="G2978" s="6" t="s">
        <v>28</v>
      </c>
      <c r="H2978" s="6" t="s">
        <v>13</v>
      </c>
      <c r="I2978" s="6">
        <f>TabJogos[[#This Row],[PontosTime1]]-TabJogos[[#This Row],[PontosTime2]]</f>
        <v>-5</v>
      </c>
    </row>
    <row r="2979" spans="1:9" ht="15" customHeight="1" x14ac:dyDescent="0.25">
      <c r="A2979" s="7">
        <v>2978</v>
      </c>
      <c r="B2979" s="1">
        <v>43539</v>
      </c>
      <c r="C2979" s="6" t="s">
        <v>28</v>
      </c>
      <c r="D2979" s="6" t="s">
        <v>18</v>
      </c>
      <c r="E2979" s="6">
        <v>4</v>
      </c>
      <c r="F2979" s="6">
        <v>5</v>
      </c>
      <c r="G2979" s="6" t="s">
        <v>17</v>
      </c>
      <c r="H2979" s="6" t="s">
        <v>13</v>
      </c>
      <c r="I2979" s="6">
        <f>TabJogos[[#This Row],[PontosTime1]]-TabJogos[[#This Row],[PontosTime2]]</f>
        <v>-1</v>
      </c>
    </row>
    <row r="2980" spans="1:9" ht="15" customHeight="1" x14ac:dyDescent="0.25">
      <c r="A2980" s="7">
        <v>2979</v>
      </c>
      <c r="B2980" s="1">
        <v>43539</v>
      </c>
      <c r="C2980" s="6" t="s">
        <v>17</v>
      </c>
      <c r="D2980" s="6" t="s">
        <v>11</v>
      </c>
      <c r="E2980" s="6">
        <v>5</v>
      </c>
      <c r="F2980" s="6">
        <v>2</v>
      </c>
      <c r="G2980" s="6" t="s">
        <v>18</v>
      </c>
      <c r="H2980" s="6" t="s">
        <v>13</v>
      </c>
      <c r="I2980" s="6">
        <f>TabJogos[[#This Row],[PontosTime1]]-TabJogos[[#This Row],[PontosTime2]]</f>
        <v>3</v>
      </c>
    </row>
    <row r="2981" spans="1:9" ht="15" customHeight="1" x14ac:dyDescent="0.25">
      <c r="A2981" s="7">
        <v>2980</v>
      </c>
      <c r="B2981" s="1">
        <v>43542</v>
      </c>
      <c r="C2981" s="6" t="s">
        <v>13</v>
      </c>
      <c r="D2981" s="6" t="s">
        <v>16</v>
      </c>
      <c r="E2981" s="6">
        <v>6</v>
      </c>
      <c r="F2981" s="6">
        <v>1</v>
      </c>
      <c r="G2981" s="6" t="s">
        <v>18</v>
      </c>
      <c r="H2981" s="6" t="s">
        <v>11</v>
      </c>
      <c r="I2981" s="6">
        <f>TabJogos[[#This Row],[PontosTime1]]-TabJogos[[#This Row],[PontosTime2]]</f>
        <v>5</v>
      </c>
    </row>
    <row r="2982" spans="1:9" ht="15" customHeight="1" x14ac:dyDescent="0.25">
      <c r="A2982" s="7">
        <v>2981</v>
      </c>
      <c r="B2982" s="1">
        <v>43542</v>
      </c>
      <c r="C2982" s="6" t="s">
        <v>16</v>
      </c>
      <c r="D2982" s="6" t="s">
        <v>11</v>
      </c>
      <c r="E2982" s="6">
        <v>5</v>
      </c>
      <c r="F2982" s="6">
        <v>2</v>
      </c>
      <c r="G2982" s="6" t="s">
        <v>13</v>
      </c>
      <c r="H2982" s="6" t="s">
        <v>18</v>
      </c>
      <c r="I2982" s="6">
        <f>TabJogos[[#This Row],[PontosTime1]]-TabJogos[[#This Row],[PontosTime2]]</f>
        <v>3</v>
      </c>
    </row>
    <row r="2983" spans="1:9" ht="15" customHeight="1" x14ac:dyDescent="0.25">
      <c r="A2983" s="7">
        <v>2982</v>
      </c>
      <c r="B2983" s="1">
        <v>43542</v>
      </c>
      <c r="C2983" s="6" t="s">
        <v>32</v>
      </c>
      <c r="D2983" s="6" t="s">
        <v>18</v>
      </c>
      <c r="E2983" s="6">
        <v>3</v>
      </c>
      <c r="F2983" s="6">
        <v>5</v>
      </c>
      <c r="G2983" s="6" t="s">
        <v>41</v>
      </c>
      <c r="H2983" s="6" t="s">
        <v>11</v>
      </c>
      <c r="I2983" s="6">
        <f>TabJogos[[#This Row],[PontosTime1]]-TabJogos[[#This Row],[PontosTime2]]</f>
        <v>-2</v>
      </c>
    </row>
    <row r="2984" spans="1:9" ht="15" customHeight="1" x14ac:dyDescent="0.25">
      <c r="A2984" s="7">
        <v>2983</v>
      </c>
      <c r="B2984" s="1">
        <v>43542</v>
      </c>
      <c r="C2984" s="6" t="s">
        <v>41</v>
      </c>
      <c r="D2984" s="6" t="s">
        <v>28</v>
      </c>
      <c r="E2984" s="6">
        <v>6</v>
      </c>
      <c r="F2984" s="6">
        <v>3</v>
      </c>
      <c r="G2984" s="6" t="s">
        <v>13</v>
      </c>
      <c r="H2984" s="6" t="s">
        <v>11</v>
      </c>
      <c r="I2984" s="6">
        <f>TabJogos[[#This Row],[PontosTime1]]-TabJogos[[#This Row],[PontosTime2]]</f>
        <v>3</v>
      </c>
    </row>
    <row r="2985" spans="1:9" ht="15" customHeight="1" x14ac:dyDescent="0.25">
      <c r="A2985" s="7">
        <v>2984</v>
      </c>
      <c r="B2985" s="1">
        <v>43542</v>
      </c>
      <c r="C2985" s="6" t="s">
        <v>28</v>
      </c>
      <c r="D2985" s="6" t="s">
        <v>32</v>
      </c>
      <c r="E2985" s="6">
        <v>4</v>
      </c>
      <c r="F2985" s="6">
        <v>5</v>
      </c>
      <c r="G2985" s="6" t="s">
        <v>23</v>
      </c>
      <c r="H2985" s="6" t="s">
        <v>41</v>
      </c>
      <c r="I2985" s="6">
        <f>TabJogos[[#This Row],[PontosTime1]]-TabJogos[[#This Row],[PontosTime2]]</f>
        <v>-1</v>
      </c>
    </row>
    <row r="2986" spans="1:9" ht="15" customHeight="1" x14ac:dyDescent="0.25">
      <c r="A2986" s="7">
        <v>2985</v>
      </c>
      <c r="B2986" s="1">
        <v>43542</v>
      </c>
      <c r="C2986" s="6" t="s">
        <v>18</v>
      </c>
      <c r="D2986" s="6" t="s">
        <v>41</v>
      </c>
      <c r="E2986" s="6">
        <v>5</v>
      </c>
      <c r="F2986" s="6">
        <v>3</v>
      </c>
      <c r="G2986" s="6" t="s">
        <v>23</v>
      </c>
      <c r="H2986" s="6" t="s">
        <v>11</v>
      </c>
      <c r="I2986" s="6">
        <f>TabJogos[[#This Row],[PontosTime1]]-TabJogos[[#This Row],[PontosTime2]]</f>
        <v>2</v>
      </c>
    </row>
    <row r="2987" spans="1:9" ht="15" customHeight="1" x14ac:dyDescent="0.25">
      <c r="A2987" s="7">
        <v>2986</v>
      </c>
      <c r="B2987" s="1">
        <v>43542</v>
      </c>
      <c r="C2987" s="6" t="s">
        <v>41</v>
      </c>
      <c r="D2987" s="6" t="s">
        <v>13</v>
      </c>
      <c r="E2987" s="6">
        <v>5</v>
      </c>
      <c r="F2987" s="6">
        <v>1</v>
      </c>
      <c r="G2987" s="6" t="s">
        <v>28</v>
      </c>
      <c r="H2987" s="6" t="s">
        <v>18</v>
      </c>
      <c r="I2987" s="6">
        <f>TabJogos[[#This Row],[PontosTime1]]-TabJogos[[#This Row],[PontosTime2]]</f>
        <v>4</v>
      </c>
    </row>
    <row r="2988" spans="1:9" ht="15" customHeight="1" x14ac:dyDescent="0.25">
      <c r="A2988" s="7">
        <v>2987</v>
      </c>
      <c r="B2988" s="1">
        <v>43542</v>
      </c>
      <c r="C2988" s="6" t="s">
        <v>28</v>
      </c>
      <c r="D2988" s="6" t="s">
        <v>13</v>
      </c>
      <c r="E2988" s="6">
        <v>6</v>
      </c>
      <c r="F2988" s="6">
        <v>1</v>
      </c>
      <c r="G2988" s="6" t="s">
        <v>11</v>
      </c>
      <c r="H2988" s="6" t="s">
        <v>9</v>
      </c>
      <c r="I2988" s="6">
        <f>TabJogos[[#This Row],[PontosTime1]]-TabJogos[[#This Row],[PontosTime2]]</f>
        <v>5</v>
      </c>
    </row>
    <row r="2989" spans="1:9" ht="15" customHeight="1" x14ac:dyDescent="0.25">
      <c r="A2989" s="7">
        <v>2988</v>
      </c>
      <c r="B2989" s="1">
        <v>43542</v>
      </c>
      <c r="C2989" s="6" t="s">
        <v>11</v>
      </c>
      <c r="D2989" s="6" t="s">
        <v>28</v>
      </c>
      <c r="E2989" s="6">
        <v>5</v>
      </c>
      <c r="F2989" s="6">
        <v>4</v>
      </c>
      <c r="G2989" s="6" t="s">
        <v>13</v>
      </c>
      <c r="H2989" s="6" t="s">
        <v>18</v>
      </c>
      <c r="I2989" s="6">
        <f>TabJogos[[#This Row],[PontosTime1]]-TabJogos[[#This Row],[PontosTime2]]</f>
        <v>1</v>
      </c>
    </row>
    <row r="2990" spans="1:9" ht="15" customHeight="1" x14ac:dyDescent="0.25">
      <c r="A2990" s="7">
        <v>2989</v>
      </c>
      <c r="B2990" s="1">
        <v>43542</v>
      </c>
      <c r="C2990" s="6" t="s">
        <v>28</v>
      </c>
      <c r="D2990" s="6" t="s">
        <v>9</v>
      </c>
      <c r="E2990" s="6">
        <v>5</v>
      </c>
      <c r="F2990" s="6">
        <v>1</v>
      </c>
      <c r="G2990" s="6" t="s">
        <v>11</v>
      </c>
      <c r="H2990" s="6" t="s">
        <v>17</v>
      </c>
      <c r="I2990" s="6">
        <f>TabJogos[[#This Row],[PontosTime1]]-TabJogos[[#This Row],[PontosTime2]]</f>
        <v>4</v>
      </c>
    </row>
    <row r="2991" spans="1:9" ht="15" customHeight="1" x14ac:dyDescent="0.25">
      <c r="A2991" s="7">
        <v>2990</v>
      </c>
      <c r="B2991" s="1">
        <v>43542</v>
      </c>
      <c r="C2991" s="6" t="s">
        <v>17</v>
      </c>
      <c r="D2991" s="6" t="s">
        <v>9</v>
      </c>
      <c r="E2991" s="6">
        <v>5</v>
      </c>
      <c r="F2991" s="6">
        <v>1</v>
      </c>
      <c r="G2991" s="6" t="s">
        <v>11</v>
      </c>
      <c r="H2991" s="6" t="s">
        <v>13</v>
      </c>
      <c r="I2991" s="6">
        <f>TabJogos[[#This Row],[PontosTime1]]-TabJogos[[#This Row],[PontosTime2]]</f>
        <v>4</v>
      </c>
    </row>
    <row r="2992" spans="1:9" ht="15" customHeight="1" x14ac:dyDescent="0.25">
      <c r="A2992" s="7">
        <v>2991</v>
      </c>
      <c r="B2992" s="1">
        <v>43542</v>
      </c>
      <c r="C2992" s="6" t="s">
        <v>13</v>
      </c>
      <c r="D2992" s="6" t="s">
        <v>9</v>
      </c>
      <c r="E2992" s="6">
        <v>3</v>
      </c>
      <c r="F2992" s="6">
        <v>5</v>
      </c>
      <c r="G2992" s="6" t="s">
        <v>17</v>
      </c>
      <c r="H2992" s="6" t="s">
        <v>11</v>
      </c>
      <c r="I2992" s="6">
        <f>TabJogos[[#This Row],[PontosTime1]]-TabJogos[[#This Row],[PontosTime2]]</f>
        <v>-2</v>
      </c>
    </row>
    <row r="2993" spans="1:9" ht="15" customHeight="1" x14ac:dyDescent="0.25">
      <c r="A2993" s="7">
        <v>2992</v>
      </c>
      <c r="B2993" s="1">
        <v>43543</v>
      </c>
      <c r="C2993" s="6" t="s">
        <v>32</v>
      </c>
      <c r="D2993" s="6" t="s">
        <v>27</v>
      </c>
      <c r="E2993" s="6">
        <v>3</v>
      </c>
      <c r="F2993" s="6">
        <v>6</v>
      </c>
      <c r="G2993" s="6" t="s">
        <v>17</v>
      </c>
      <c r="H2993" s="6" t="s">
        <v>11</v>
      </c>
      <c r="I2993" s="6">
        <f>TabJogos[[#This Row],[PontosTime1]]-TabJogos[[#This Row],[PontosTime2]]</f>
        <v>-3</v>
      </c>
    </row>
    <row r="2994" spans="1:9" ht="15" customHeight="1" x14ac:dyDescent="0.25">
      <c r="A2994" s="7">
        <v>2993</v>
      </c>
      <c r="B2994" s="1">
        <v>43543</v>
      </c>
      <c r="C2994" s="6" t="s">
        <v>11</v>
      </c>
      <c r="D2994" s="6" t="s">
        <v>13</v>
      </c>
      <c r="E2994" s="6">
        <v>3</v>
      </c>
      <c r="F2994" s="6">
        <v>5</v>
      </c>
      <c r="G2994" s="6" t="s">
        <v>17</v>
      </c>
      <c r="H2994" s="6" t="s">
        <v>18</v>
      </c>
      <c r="I2994" s="6">
        <f>TabJogos[[#This Row],[PontosTime1]]-TabJogos[[#This Row],[PontosTime2]]</f>
        <v>-2</v>
      </c>
    </row>
    <row r="2995" spans="1:9" ht="15" customHeight="1" x14ac:dyDescent="0.25">
      <c r="A2995" s="7">
        <v>2994</v>
      </c>
      <c r="B2995" s="1">
        <v>43543</v>
      </c>
      <c r="C2995" s="6" t="s">
        <v>18</v>
      </c>
      <c r="D2995" s="6" t="s">
        <v>32</v>
      </c>
      <c r="E2995" s="6">
        <v>6</v>
      </c>
      <c r="F2995" s="6">
        <v>4</v>
      </c>
      <c r="G2995" s="6" t="s">
        <v>17</v>
      </c>
      <c r="H2995" s="6" t="s">
        <v>41</v>
      </c>
      <c r="I2995" s="6">
        <f>TabJogos[[#This Row],[PontosTime1]]-TabJogos[[#This Row],[PontosTime2]]</f>
        <v>2</v>
      </c>
    </row>
    <row r="2996" spans="1:9" ht="15" customHeight="1" x14ac:dyDescent="0.25">
      <c r="A2996" s="7">
        <v>2995</v>
      </c>
      <c r="B2996" s="1">
        <v>43543</v>
      </c>
      <c r="C2996" s="6" t="s">
        <v>32</v>
      </c>
      <c r="D2996" s="6" t="s">
        <v>11</v>
      </c>
      <c r="E2996" s="6">
        <v>5</v>
      </c>
      <c r="F2996" s="6">
        <v>3</v>
      </c>
      <c r="G2996" s="6" t="s">
        <v>18</v>
      </c>
      <c r="H2996" s="6" t="s">
        <v>27</v>
      </c>
      <c r="I2996" s="6">
        <f>TabJogos[[#This Row],[PontosTime1]]-TabJogos[[#This Row],[PontosTime2]]</f>
        <v>2</v>
      </c>
    </row>
    <row r="2997" spans="1:9" ht="15" customHeight="1" x14ac:dyDescent="0.25">
      <c r="A2997" s="7">
        <v>2996</v>
      </c>
      <c r="B2997" s="1">
        <v>43543</v>
      </c>
      <c r="C2997" s="6" t="s">
        <v>13</v>
      </c>
      <c r="D2997" s="6" t="s">
        <v>32</v>
      </c>
      <c r="E2997" s="6">
        <v>4</v>
      </c>
      <c r="F2997" s="6">
        <v>5</v>
      </c>
      <c r="G2997" s="6" t="s">
        <v>17</v>
      </c>
      <c r="H2997" s="6" t="s">
        <v>11</v>
      </c>
      <c r="I2997" s="6">
        <f>TabJogos[[#This Row],[PontosTime1]]-TabJogos[[#This Row],[PontosTime2]]</f>
        <v>-1</v>
      </c>
    </row>
    <row r="2998" spans="1:9" ht="15" customHeight="1" x14ac:dyDescent="0.25">
      <c r="A2998" s="7">
        <v>2997</v>
      </c>
      <c r="B2998" s="1">
        <v>43543</v>
      </c>
      <c r="C2998" s="6" t="s">
        <v>11</v>
      </c>
      <c r="D2998" s="6" t="s">
        <v>41</v>
      </c>
      <c r="E2998" s="6">
        <v>5</v>
      </c>
      <c r="F2998" s="6">
        <v>2</v>
      </c>
      <c r="G2998" s="6" t="s">
        <v>17</v>
      </c>
      <c r="H2998" s="6" t="s">
        <v>27</v>
      </c>
      <c r="I2998" s="6">
        <f>TabJogos[[#This Row],[PontosTime1]]-TabJogos[[#This Row],[PontosTime2]]</f>
        <v>3</v>
      </c>
    </row>
    <row r="2999" spans="1:9" ht="15" customHeight="1" x14ac:dyDescent="0.25">
      <c r="A2999" s="7">
        <v>2998</v>
      </c>
      <c r="B2999" s="1">
        <v>43543</v>
      </c>
      <c r="C2999" s="6" t="s">
        <v>11</v>
      </c>
      <c r="D2999" s="6" t="s">
        <v>15</v>
      </c>
      <c r="E2999" s="6">
        <v>8</v>
      </c>
      <c r="F2999" s="6">
        <v>1</v>
      </c>
      <c r="G2999" s="6" t="s">
        <v>18</v>
      </c>
      <c r="H2999" s="6" t="s">
        <v>41</v>
      </c>
      <c r="I2999" s="6">
        <f>TabJogos[[#This Row],[PontosTime1]]-TabJogos[[#This Row],[PontosTime2]]</f>
        <v>7</v>
      </c>
    </row>
    <row r="3000" spans="1:9" ht="15" customHeight="1" x14ac:dyDescent="0.25">
      <c r="A3000" s="7">
        <v>2999</v>
      </c>
      <c r="B3000" s="1">
        <v>43543</v>
      </c>
      <c r="C3000" s="6" t="s">
        <v>13</v>
      </c>
      <c r="D3000" s="6" t="s">
        <v>11</v>
      </c>
      <c r="E3000" s="6">
        <v>8</v>
      </c>
      <c r="F3000" s="6">
        <v>1</v>
      </c>
      <c r="G3000" s="6" t="s">
        <v>15</v>
      </c>
      <c r="H3000" s="6" t="s">
        <v>17</v>
      </c>
      <c r="I3000" s="6">
        <f>TabJogos[[#This Row],[PontosTime1]]-TabJogos[[#This Row],[PontosTime2]]</f>
        <v>7</v>
      </c>
    </row>
    <row r="3001" spans="1:9" ht="15" customHeight="1" x14ac:dyDescent="0.25">
      <c r="A3001" s="7">
        <v>3000</v>
      </c>
      <c r="B3001" s="1">
        <v>43543</v>
      </c>
      <c r="C3001" s="6" t="s">
        <v>11</v>
      </c>
      <c r="D3001" s="6" t="s">
        <v>18</v>
      </c>
      <c r="E3001" s="6">
        <v>5</v>
      </c>
      <c r="F3001" s="6">
        <v>1</v>
      </c>
      <c r="G3001" s="6" t="s">
        <v>17</v>
      </c>
      <c r="H3001" s="6" t="s">
        <v>13</v>
      </c>
      <c r="I3001" s="6">
        <f>TabJogos[[#This Row],[PontosTime1]]-TabJogos[[#This Row],[PontosTime2]]</f>
        <v>4</v>
      </c>
    </row>
    <row r="3002" spans="1:9" ht="15" customHeight="1" x14ac:dyDescent="0.25">
      <c r="A3002" s="7">
        <v>3001</v>
      </c>
      <c r="B3002" s="1">
        <v>43543</v>
      </c>
      <c r="C3002" s="6" t="s">
        <v>13</v>
      </c>
      <c r="D3002" s="6" t="s">
        <v>18</v>
      </c>
      <c r="E3002" s="6">
        <v>3</v>
      </c>
      <c r="F3002" s="6">
        <v>5</v>
      </c>
      <c r="G3002" s="6" t="s">
        <v>11</v>
      </c>
      <c r="H3002" s="6" t="s">
        <v>17</v>
      </c>
      <c r="I3002" s="6">
        <f>TabJogos[[#This Row],[PontosTime1]]-TabJogos[[#This Row],[PontosTime2]]</f>
        <v>-2</v>
      </c>
    </row>
    <row r="3003" spans="1:9" ht="15" customHeight="1" x14ac:dyDescent="0.25">
      <c r="A3003" s="7">
        <v>3002</v>
      </c>
      <c r="B3003" s="1">
        <v>43543</v>
      </c>
      <c r="C3003" s="6" t="s">
        <v>11</v>
      </c>
      <c r="D3003" s="6" t="s">
        <v>13</v>
      </c>
      <c r="E3003" s="6">
        <v>5</v>
      </c>
      <c r="F3003" s="6">
        <v>3</v>
      </c>
      <c r="G3003" s="6" t="s">
        <v>17</v>
      </c>
      <c r="H3003" s="6" t="s">
        <v>18</v>
      </c>
      <c r="I3003" s="6">
        <f>TabJogos[[#This Row],[PontosTime1]]-TabJogos[[#This Row],[PontosTime2]]</f>
        <v>2</v>
      </c>
    </row>
    <row r="3004" spans="1:9" ht="15" customHeight="1" x14ac:dyDescent="0.25">
      <c r="A3004" s="7">
        <v>3003</v>
      </c>
      <c r="B3004" s="1">
        <v>43544</v>
      </c>
      <c r="C3004" s="6" t="s">
        <v>13</v>
      </c>
      <c r="D3004" s="6" t="s">
        <v>17</v>
      </c>
      <c r="E3004" s="6">
        <v>3</v>
      </c>
      <c r="F3004" s="6">
        <v>5</v>
      </c>
      <c r="G3004" s="6" t="s">
        <v>12</v>
      </c>
      <c r="H3004" s="6" t="s">
        <v>11</v>
      </c>
      <c r="I3004" s="6">
        <f>TabJogos[[#This Row],[PontosTime1]]-TabJogos[[#This Row],[PontosTime2]]</f>
        <v>-2</v>
      </c>
    </row>
    <row r="3005" spans="1:9" ht="15" customHeight="1" x14ac:dyDescent="0.25">
      <c r="A3005" s="7">
        <v>3004</v>
      </c>
      <c r="B3005" s="1">
        <v>43544</v>
      </c>
      <c r="C3005" s="6" t="s">
        <v>11</v>
      </c>
      <c r="D3005" s="6" t="s">
        <v>41</v>
      </c>
      <c r="E3005" s="6">
        <v>0</v>
      </c>
      <c r="F3005" s="6">
        <v>7</v>
      </c>
      <c r="G3005" s="6" t="s">
        <v>12</v>
      </c>
      <c r="H3005" s="6" t="s">
        <v>15</v>
      </c>
      <c r="I3005" s="6">
        <f>TabJogos[[#This Row],[PontosTime1]]-TabJogos[[#This Row],[PontosTime2]]</f>
        <v>-7</v>
      </c>
    </row>
    <row r="3006" spans="1:9" ht="15" customHeight="1" x14ac:dyDescent="0.25">
      <c r="A3006" s="7">
        <v>3005</v>
      </c>
      <c r="B3006" s="1">
        <v>43544</v>
      </c>
      <c r="C3006" s="6" t="s">
        <v>17</v>
      </c>
      <c r="D3006" s="6" t="s">
        <v>15</v>
      </c>
      <c r="E3006" s="6">
        <v>5</v>
      </c>
      <c r="F3006" s="6">
        <v>1</v>
      </c>
      <c r="G3006" s="6" t="s">
        <v>12</v>
      </c>
      <c r="H3006" s="6" t="s">
        <v>13</v>
      </c>
      <c r="I3006" s="6">
        <f>TabJogos[[#This Row],[PontosTime1]]-TabJogos[[#This Row],[PontosTime2]]</f>
        <v>4</v>
      </c>
    </row>
    <row r="3007" spans="1:9" ht="15" customHeight="1" x14ac:dyDescent="0.25">
      <c r="A3007" s="7">
        <v>3006</v>
      </c>
      <c r="B3007" s="1">
        <v>43544</v>
      </c>
      <c r="C3007" s="6" t="s">
        <v>17</v>
      </c>
      <c r="D3007" s="6" t="s">
        <v>41</v>
      </c>
      <c r="E3007" s="6">
        <v>6</v>
      </c>
      <c r="F3007" s="6">
        <v>3</v>
      </c>
      <c r="G3007" s="6" t="s">
        <v>15</v>
      </c>
      <c r="H3007" s="6" t="s">
        <v>11</v>
      </c>
      <c r="I3007" s="6">
        <f>TabJogos[[#This Row],[PontosTime1]]-TabJogos[[#This Row],[PontosTime2]]</f>
        <v>3</v>
      </c>
    </row>
    <row r="3008" spans="1:9" ht="15" customHeight="1" x14ac:dyDescent="0.25">
      <c r="A3008" s="7">
        <v>3007</v>
      </c>
      <c r="B3008" s="1">
        <v>43544</v>
      </c>
      <c r="C3008" s="6" t="s">
        <v>17</v>
      </c>
      <c r="D3008" s="6" t="s">
        <v>28</v>
      </c>
      <c r="E3008" s="6">
        <v>5</v>
      </c>
      <c r="F3008" s="6">
        <v>1</v>
      </c>
      <c r="G3008" s="6" t="s">
        <v>13</v>
      </c>
      <c r="H3008" s="6" t="s">
        <v>41</v>
      </c>
      <c r="I3008" s="6">
        <f>TabJogos[[#This Row],[PontosTime1]]-TabJogos[[#This Row],[PontosTime2]]</f>
        <v>4</v>
      </c>
    </row>
    <row r="3009" spans="1:9" ht="15" customHeight="1" x14ac:dyDescent="0.25">
      <c r="A3009" s="7">
        <v>3008</v>
      </c>
      <c r="B3009" s="1">
        <v>43544</v>
      </c>
      <c r="C3009" s="6" t="s">
        <v>13</v>
      </c>
      <c r="D3009" s="6" t="s">
        <v>28</v>
      </c>
      <c r="E3009" s="6">
        <v>5</v>
      </c>
      <c r="F3009" s="6">
        <v>2</v>
      </c>
      <c r="G3009" s="6" t="s">
        <v>17</v>
      </c>
      <c r="H3009" s="6" t="s">
        <v>11</v>
      </c>
      <c r="I3009" s="6">
        <f>TabJogos[[#This Row],[PontosTime1]]-TabJogos[[#This Row],[PontosTime2]]</f>
        <v>3</v>
      </c>
    </row>
    <row r="3010" spans="1:9" ht="15" customHeight="1" x14ac:dyDescent="0.25">
      <c r="A3010" s="7">
        <v>3009</v>
      </c>
      <c r="B3010" s="1">
        <v>43544</v>
      </c>
      <c r="C3010" s="6" t="s">
        <v>11</v>
      </c>
      <c r="D3010" s="6" t="s">
        <v>28</v>
      </c>
      <c r="E3010" s="6">
        <v>5</v>
      </c>
      <c r="F3010" s="6">
        <v>3</v>
      </c>
      <c r="G3010" s="6" t="s">
        <v>17</v>
      </c>
      <c r="H3010" s="6" t="s">
        <v>13</v>
      </c>
      <c r="I3010" s="6">
        <f>TabJogos[[#This Row],[PontosTime1]]-TabJogos[[#This Row],[PontosTime2]]</f>
        <v>2</v>
      </c>
    </row>
    <row r="3011" spans="1:9" ht="15" customHeight="1" x14ac:dyDescent="0.25">
      <c r="A3011" s="7">
        <v>3010</v>
      </c>
      <c r="B3011" s="1">
        <v>43544</v>
      </c>
      <c r="C3011" s="6" t="s">
        <v>11</v>
      </c>
      <c r="D3011" s="6" t="s">
        <v>13</v>
      </c>
      <c r="E3011" s="6">
        <v>5</v>
      </c>
      <c r="F3011" s="6">
        <v>1</v>
      </c>
      <c r="G3011" s="6" t="s">
        <v>17</v>
      </c>
      <c r="H3011" s="6" t="s">
        <v>9</v>
      </c>
      <c r="I3011" s="6">
        <f>TabJogos[[#This Row],[PontosTime1]]-TabJogos[[#This Row],[PontosTime2]]</f>
        <v>4</v>
      </c>
    </row>
    <row r="3012" spans="1:9" ht="15" customHeight="1" x14ac:dyDescent="0.25">
      <c r="A3012" s="7">
        <v>3011</v>
      </c>
      <c r="B3012" s="1">
        <v>43544</v>
      </c>
      <c r="C3012" s="6" t="s">
        <v>11</v>
      </c>
      <c r="D3012" s="6" t="s">
        <v>17</v>
      </c>
      <c r="E3012" s="6">
        <v>5</v>
      </c>
      <c r="F3012" s="6">
        <v>1</v>
      </c>
      <c r="G3012" s="6" t="s">
        <v>13</v>
      </c>
      <c r="H3012" s="6" t="s">
        <v>9</v>
      </c>
      <c r="I3012" s="6">
        <f>TabJogos[[#This Row],[PontosTime1]]-TabJogos[[#This Row],[PontosTime2]]</f>
        <v>4</v>
      </c>
    </row>
    <row r="3013" spans="1:9" ht="15" customHeight="1" x14ac:dyDescent="0.25">
      <c r="A3013" s="7">
        <v>3012</v>
      </c>
      <c r="B3013" s="1">
        <v>43544</v>
      </c>
      <c r="C3013" s="6" t="s">
        <v>17</v>
      </c>
      <c r="D3013" s="6" t="s">
        <v>13</v>
      </c>
      <c r="E3013" s="6">
        <v>5</v>
      </c>
      <c r="F3013" s="6">
        <v>3</v>
      </c>
      <c r="G3013" s="6" t="s">
        <v>9</v>
      </c>
      <c r="H3013" s="6" t="s">
        <v>11</v>
      </c>
      <c r="I3013" s="6">
        <f>TabJogos[[#This Row],[PontosTime1]]-TabJogos[[#This Row],[PontosTime2]]</f>
        <v>2</v>
      </c>
    </row>
    <row r="3014" spans="1:9" ht="15" customHeight="1" x14ac:dyDescent="0.25">
      <c r="A3014" s="7">
        <v>3013</v>
      </c>
      <c r="B3014" s="1">
        <v>43545</v>
      </c>
      <c r="C3014" s="6" t="s">
        <v>41</v>
      </c>
      <c r="D3014" s="6" t="s">
        <v>27</v>
      </c>
      <c r="E3014" s="6">
        <v>4</v>
      </c>
      <c r="F3014" s="6">
        <v>5</v>
      </c>
      <c r="G3014" s="6" t="s">
        <v>17</v>
      </c>
      <c r="H3014" s="6" t="s">
        <v>32</v>
      </c>
      <c r="I3014" s="6">
        <f>TabJogos[[#This Row],[PontosTime1]]-TabJogos[[#This Row],[PontosTime2]]</f>
        <v>-1</v>
      </c>
    </row>
    <row r="3015" spans="1:9" ht="15" customHeight="1" x14ac:dyDescent="0.25">
      <c r="A3015" s="7">
        <v>3014</v>
      </c>
      <c r="B3015" s="1">
        <v>43545</v>
      </c>
      <c r="C3015" s="6" t="s">
        <v>17</v>
      </c>
      <c r="D3015" s="6" t="s">
        <v>15</v>
      </c>
      <c r="E3015" s="6">
        <v>5</v>
      </c>
      <c r="F3015" s="6">
        <v>2</v>
      </c>
      <c r="G3015" s="6" t="s">
        <v>13</v>
      </c>
      <c r="H3015" s="6" t="s">
        <v>32</v>
      </c>
      <c r="I3015" s="6">
        <f>TabJogos[[#This Row],[PontosTime1]]-TabJogos[[#This Row],[PontosTime2]]</f>
        <v>3</v>
      </c>
    </row>
    <row r="3016" spans="1:9" ht="15" customHeight="1" x14ac:dyDescent="0.25">
      <c r="A3016" s="7">
        <v>3015</v>
      </c>
      <c r="B3016" s="1">
        <v>43545</v>
      </c>
      <c r="C3016" s="6" t="s">
        <v>15</v>
      </c>
      <c r="D3016" s="6" t="s">
        <v>41</v>
      </c>
      <c r="E3016" s="6">
        <v>0</v>
      </c>
      <c r="F3016" s="6">
        <v>5</v>
      </c>
      <c r="G3016" s="6" t="s">
        <v>17</v>
      </c>
      <c r="H3016" s="6" t="s">
        <v>27</v>
      </c>
      <c r="I3016" s="6">
        <f>TabJogos[[#This Row],[PontosTime1]]-TabJogos[[#This Row],[PontosTime2]]</f>
        <v>-5</v>
      </c>
    </row>
    <row r="3017" spans="1:9" ht="15" customHeight="1" x14ac:dyDescent="0.25">
      <c r="A3017" s="7">
        <v>3016</v>
      </c>
      <c r="B3017" s="1">
        <v>43545</v>
      </c>
      <c r="C3017" s="6" t="s">
        <v>13</v>
      </c>
      <c r="D3017" s="6" t="s">
        <v>17</v>
      </c>
      <c r="E3017" s="6">
        <v>3</v>
      </c>
      <c r="F3017" s="6">
        <v>5</v>
      </c>
      <c r="G3017" s="6" t="s">
        <v>11</v>
      </c>
      <c r="H3017" s="6" t="s">
        <v>27</v>
      </c>
      <c r="I3017" s="6">
        <f>TabJogos[[#This Row],[PontosTime1]]-TabJogos[[#This Row],[PontosTime2]]</f>
        <v>-2</v>
      </c>
    </row>
    <row r="3018" spans="1:9" ht="15" customHeight="1" x14ac:dyDescent="0.25">
      <c r="A3018" s="7">
        <v>3017</v>
      </c>
      <c r="B3018" s="1">
        <v>43545</v>
      </c>
      <c r="C3018" s="6" t="s">
        <v>11</v>
      </c>
      <c r="D3018" s="6" t="s">
        <v>15</v>
      </c>
      <c r="E3018" s="6">
        <v>5</v>
      </c>
      <c r="F3018" s="6">
        <v>4</v>
      </c>
      <c r="G3018" s="6" t="s">
        <v>9</v>
      </c>
      <c r="H3018" s="6" t="s">
        <v>27</v>
      </c>
      <c r="I3018" s="6">
        <f>TabJogos[[#This Row],[PontosTime1]]-TabJogos[[#This Row],[PontosTime2]]</f>
        <v>1</v>
      </c>
    </row>
    <row r="3019" spans="1:9" ht="15" customHeight="1" x14ac:dyDescent="0.25">
      <c r="A3019" s="7">
        <v>3018</v>
      </c>
      <c r="B3019" s="1">
        <v>43545</v>
      </c>
      <c r="C3019" s="6" t="s">
        <v>11</v>
      </c>
      <c r="D3019" s="6" t="s">
        <v>13</v>
      </c>
      <c r="E3019" s="6">
        <v>5</v>
      </c>
      <c r="F3019" s="6">
        <v>1</v>
      </c>
      <c r="G3019" s="6" t="s">
        <v>16</v>
      </c>
      <c r="H3019" s="6" t="s">
        <v>17</v>
      </c>
      <c r="I3019" s="6">
        <f>TabJogos[[#This Row],[PontosTime1]]-TabJogos[[#This Row],[PontosTime2]]</f>
        <v>4</v>
      </c>
    </row>
    <row r="3020" spans="1:9" ht="15" customHeight="1" x14ac:dyDescent="0.25">
      <c r="A3020" s="7">
        <v>3019</v>
      </c>
      <c r="B3020" s="1">
        <v>43545</v>
      </c>
      <c r="C3020" s="6" t="s">
        <v>11</v>
      </c>
      <c r="D3020" s="6" t="s">
        <v>17</v>
      </c>
      <c r="E3020" s="6">
        <v>5</v>
      </c>
      <c r="F3020" s="6">
        <v>3</v>
      </c>
      <c r="G3020" s="6" t="s">
        <v>13</v>
      </c>
      <c r="H3020" s="6" t="s">
        <v>16</v>
      </c>
      <c r="I3020" s="6">
        <f>TabJogos[[#This Row],[PontosTime1]]-TabJogos[[#This Row],[PontosTime2]]</f>
        <v>2</v>
      </c>
    </row>
    <row r="3021" spans="1:9" ht="15" customHeight="1" x14ac:dyDescent="0.25">
      <c r="A3021" s="7">
        <v>3020</v>
      </c>
      <c r="B3021" s="1">
        <v>43545</v>
      </c>
      <c r="C3021" s="6" t="s">
        <v>17</v>
      </c>
      <c r="D3021" s="6" t="s">
        <v>13</v>
      </c>
      <c r="E3021" s="6">
        <v>5</v>
      </c>
      <c r="F3021" s="6">
        <v>2</v>
      </c>
      <c r="G3021" s="6" t="s">
        <v>18</v>
      </c>
      <c r="H3021" s="6" t="s">
        <v>11</v>
      </c>
      <c r="I3021" s="6">
        <f>TabJogos[[#This Row],[PontosTime1]]-TabJogos[[#This Row],[PontosTime2]]</f>
        <v>3</v>
      </c>
    </row>
    <row r="3022" spans="1:9" ht="15" customHeight="1" x14ac:dyDescent="0.25">
      <c r="A3022" s="7">
        <v>3021</v>
      </c>
      <c r="B3022" s="1">
        <v>43549</v>
      </c>
      <c r="C3022" s="6" t="s">
        <v>11</v>
      </c>
      <c r="D3022" s="6" t="s">
        <v>41</v>
      </c>
      <c r="E3022" s="6">
        <v>6</v>
      </c>
      <c r="F3022" s="6">
        <v>3</v>
      </c>
      <c r="G3022" s="6" t="s">
        <v>17</v>
      </c>
      <c r="H3022" s="6" t="s">
        <v>13</v>
      </c>
      <c r="I3022" s="6">
        <f>TabJogos[[#This Row],[PontosTime1]]-TabJogos[[#This Row],[PontosTime2]]</f>
        <v>3</v>
      </c>
    </row>
    <row r="3023" spans="1:9" ht="15" customHeight="1" x14ac:dyDescent="0.25">
      <c r="A3023" s="7">
        <v>3022</v>
      </c>
      <c r="B3023" s="1">
        <v>43549</v>
      </c>
      <c r="C3023" s="6" t="s">
        <v>11</v>
      </c>
      <c r="D3023" s="6" t="s">
        <v>13</v>
      </c>
      <c r="E3023" s="6">
        <v>5</v>
      </c>
      <c r="F3023" s="6">
        <v>4</v>
      </c>
      <c r="G3023" s="6" t="s">
        <v>41</v>
      </c>
      <c r="H3023" s="6" t="s">
        <v>17</v>
      </c>
      <c r="I3023" s="6">
        <f>TabJogos[[#This Row],[PontosTime1]]-TabJogos[[#This Row],[PontosTime2]]</f>
        <v>1</v>
      </c>
    </row>
    <row r="3024" spans="1:9" ht="15" customHeight="1" x14ac:dyDescent="0.25">
      <c r="A3024" s="7">
        <v>3023</v>
      </c>
      <c r="B3024" s="1">
        <v>43549</v>
      </c>
      <c r="C3024" s="6" t="s">
        <v>13</v>
      </c>
      <c r="D3024" s="6" t="s">
        <v>41</v>
      </c>
      <c r="E3024" s="6">
        <v>5</v>
      </c>
      <c r="F3024" s="6">
        <v>1</v>
      </c>
      <c r="G3024" s="6" t="s">
        <v>11</v>
      </c>
      <c r="H3024" s="6" t="s">
        <v>17</v>
      </c>
      <c r="I3024" s="6">
        <f>TabJogos[[#This Row],[PontosTime1]]-TabJogos[[#This Row],[PontosTime2]]</f>
        <v>4</v>
      </c>
    </row>
    <row r="3025" spans="1:9" ht="15" customHeight="1" x14ac:dyDescent="0.25">
      <c r="A3025" s="7">
        <v>3024</v>
      </c>
      <c r="B3025" s="1">
        <v>43549</v>
      </c>
      <c r="C3025" s="6" t="s">
        <v>11</v>
      </c>
      <c r="D3025" s="6" t="s">
        <v>41</v>
      </c>
      <c r="E3025" s="6">
        <v>5</v>
      </c>
      <c r="F3025" s="6">
        <v>2</v>
      </c>
      <c r="G3025" s="6" t="s">
        <v>13</v>
      </c>
      <c r="H3025" s="6" t="s">
        <v>32</v>
      </c>
      <c r="I3025" s="6">
        <f>TabJogos[[#This Row],[PontosTime1]]-TabJogos[[#This Row],[PontosTime2]]</f>
        <v>3</v>
      </c>
    </row>
    <row r="3026" spans="1:9" ht="15" customHeight="1" x14ac:dyDescent="0.25">
      <c r="A3026" s="7">
        <v>3025</v>
      </c>
      <c r="B3026" s="1">
        <v>43549</v>
      </c>
      <c r="C3026" s="6" t="s">
        <v>11</v>
      </c>
      <c r="D3026" s="6" t="s">
        <v>18</v>
      </c>
      <c r="E3026" s="6">
        <v>4</v>
      </c>
      <c r="F3026" s="6">
        <v>5</v>
      </c>
      <c r="G3026" s="6" t="s">
        <v>17</v>
      </c>
      <c r="H3026" s="6" t="s">
        <v>41</v>
      </c>
      <c r="I3026" s="6">
        <f>TabJogos[[#This Row],[PontosTime1]]-TabJogos[[#This Row],[PontosTime2]]</f>
        <v>-1</v>
      </c>
    </row>
    <row r="3027" spans="1:9" ht="15" customHeight="1" x14ac:dyDescent="0.25">
      <c r="A3027" s="7">
        <v>3026</v>
      </c>
      <c r="B3027" s="1">
        <v>43549</v>
      </c>
      <c r="C3027" s="6" t="s">
        <v>13</v>
      </c>
      <c r="D3027" s="6" t="s">
        <v>18</v>
      </c>
      <c r="E3027" s="6">
        <v>4</v>
      </c>
      <c r="F3027" s="6">
        <v>5</v>
      </c>
      <c r="G3027" s="6" t="s">
        <v>11</v>
      </c>
      <c r="H3027" s="6" t="s">
        <v>17</v>
      </c>
      <c r="I3027" s="6">
        <f>TabJogos[[#This Row],[PontosTime1]]-TabJogos[[#This Row],[PontosTime2]]</f>
        <v>-1</v>
      </c>
    </row>
    <row r="3028" spans="1:9" ht="15" customHeight="1" x14ac:dyDescent="0.25">
      <c r="A3028" s="7">
        <v>3027</v>
      </c>
      <c r="B3028" s="1">
        <v>43549</v>
      </c>
      <c r="C3028" s="6" t="s">
        <v>13</v>
      </c>
      <c r="D3028" s="6" t="s">
        <v>11</v>
      </c>
      <c r="E3028" s="6">
        <v>6</v>
      </c>
      <c r="F3028" s="6">
        <v>2</v>
      </c>
      <c r="G3028" s="6" t="s">
        <v>18</v>
      </c>
      <c r="H3028" s="6" t="s">
        <v>17</v>
      </c>
      <c r="I3028" s="6">
        <f>TabJogos[[#This Row],[PontosTime1]]-TabJogos[[#This Row],[PontosTime2]]</f>
        <v>4</v>
      </c>
    </row>
    <row r="3029" spans="1:9" ht="15" customHeight="1" x14ac:dyDescent="0.25">
      <c r="A3029" s="7">
        <v>3028</v>
      </c>
      <c r="B3029" s="1">
        <v>43549</v>
      </c>
      <c r="C3029" s="6" t="s">
        <v>11</v>
      </c>
      <c r="D3029" s="6" t="s">
        <v>18</v>
      </c>
      <c r="E3029" s="6">
        <v>5</v>
      </c>
      <c r="F3029" s="6">
        <v>3</v>
      </c>
      <c r="G3029" s="6" t="s">
        <v>13</v>
      </c>
      <c r="H3029" s="6" t="s">
        <v>17</v>
      </c>
      <c r="I3029" s="6">
        <f>TabJogos[[#This Row],[PontosTime1]]-TabJogos[[#This Row],[PontosTime2]]</f>
        <v>2</v>
      </c>
    </row>
    <row r="3030" spans="1:9" ht="15" customHeight="1" x14ac:dyDescent="0.25">
      <c r="A3030" s="7">
        <v>3029</v>
      </c>
      <c r="B3030" s="1">
        <v>43550</v>
      </c>
      <c r="C3030" s="6" t="s">
        <v>41</v>
      </c>
      <c r="D3030" s="6" t="s">
        <v>32</v>
      </c>
      <c r="E3030" s="6">
        <v>3</v>
      </c>
      <c r="F3030" s="6">
        <v>5</v>
      </c>
      <c r="G3030" s="6" t="s">
        <v>13</v>
      </c>
      <c r="H3030" s="6" t="s">
        <v>18</v>
      </c>
      <c r="I3030" s="6">
        <f>TabJogos[[#This Row],[PontosTime1]]-TabJogos[[#This Row],[PontosTime2]]</f>
        <v>-2</v>
      </c>
    </row>
    <row r="3031" spans="1:9" ht="15" customHeight="1" x14ac:dyDescent="0.25">
      <c r="A3031" s="7">
        <v>3030</v>
      </c>
      <c r="B3031" s="1">
        <v>43550</v>
      </c>
      <c r="C3031" s="6" t="s">
        <v>13</v>
      </c>
      <c r="D3031" s="6" t="s">
        <v>32</v>
      </c>
      <c r="E3031" s="6">
        <v>6</v>
      </c>
      <c r="F3031" s="6">
        <v>0</v>
      </c>
      <c r="G3031" s="6" t="s">
        <v>17</v>
      </c>
      <c r="H3031" s="6" t="s">
        <v>18</v>
      </c>
      <c r="I3031" s="6">
        <f>TabJogos[[#This Row],[PontosTime1]]-TabJogos[[#This Row],[PontosTime2]]</f>
        <v>6</v>
      </c>
    </row>
    <row r="3032" spans="1:9" ht="15" customHeight="1" x14ac:dyDescent="0.25">
      <c r="A3032" s="7">
        <v>3031</v>
      </c>
      <c r="B3032" s="1">
        <v>43550</v>
      </c>
      <c r="C3032" s="6" t="s">
        <v>41</v>
      </c>
      <c r="D3032" s="6" t="s">
        <v>13</v>
      </c>
      <c r="E3032" s="6">
        <v>5</v>
      </c>
      <c r="F3032" s="6">
        <v>4</v>
      </c>
      <c r="G3032" s="6" t="s">
        <v>32</v>
      </c>
      <c r="H3032" s="6" t="s">
        <v>17</v>
      </c>
      <c r="I3032" s="6">
        <f>TabJogos[[#This Row],[PontosTime1]]-TabJogos[[#This Row],[PontosTime2]]</f>
        <v>1</v>
      </c>
    </row>
    <row r="3033" spans="1:9" ht="15" customHeight="1" x14ac:dyDescent="0.25">
      <c r="A3033" s="7">
        <v>3032</v>
      </c>
      <c r="B3033" s="1">
        <v>43550</v>
      </c>
      <c r="C3033" s="6" t="s">
        <v>11</v>
      </c>
      <c r="D3033" s="6" t="s">
        <v>18</v>
      </c>
      <c r="E3033" s="6">
        <v>5</v>
      </c>
      <c r="F3033" s="6">
        <v>2</v>
      </c>
      <c r="G3033" s="6" t="s">
        <v>13</v>
      </c>
      <c r="H3033" s="6" t="s">
        <v>28</v>
      </c>
      <c r="I3033" s="6">
        <f>TabJogos[[#This Row],[PontosTime1]]-TabJogos[[#This Row],[PontosTime2]]</f>
        <v>3</v>
      </c>
    </row>
    <row r="3034" spans="1:9" ht="15" customHeight="1" x14ac:dyDescent="0.25">
      <c r="A3034" s="7">
        <v>3033</v>
      </c>
      <c r="B3034" s="1">
        <v>43550</v>
      </c>
      <c r="C3034" s="6" t="s">
        <v>28</v>
      </c>
      <c r="D3034" s="6" t="s">
        <v>18</v>
      </c>
      <c r="E3034" s="6">
        <v>5</v>
      </c>
      <c r="F3034" s="6">
        <v>3</v>
      </c>
      <c r="G3034" s="6" t="s">
        <v>11</v>
      </c>
      <c r="H3034" s="6" t="s">
        <v>17</v>
      </c>
      <c r="I3034" s="6">
        <f>TabJogos[[#This Row],[PontosTime1]]-TabJogos[[#This Row],[PontosTime2]]</f>
        <v>2</v>
      </c>
    </row>
    <row r="3035" spans="1:9" ht="15" customHeight="1" x14ac:dyDescent="0.25">
      <c r="A3035" s="7">
        <v>3034</v>
      </c>
      <c r="B3035" s="1">
        <v>43550</v>
      </c>
      <c r="C3035" s="6" t="s">
        <v>13</v>
      </c>
      <c r="D3035" s="6" t="s">
        <v>18</v>
      </c>
      <c r="E3035" s="6">
        <v>6</v>
      </c>
      <c r="F3035" s="6">
        <v>3</v>
      </c>
      <c r="G3035" s="6" t="s">
        <v>28</v>
      </c>
      <c r="H3035" s="6" t="s">
        <v>17</v>
      </c>
      <c r="I3035" s="6">
        <f>TabJogos[[#This Row],[PontosTime1]]-TabJogos[[#This Row],[PontosTime2]]</f>
        <v>3</v>
      </c>
    </row>
    <row r="3036" spans="1:9" ht="15" customHeight="1" x14ac:dyDescent="0.25">
      <c r="A3036" s="7">
        <v>3035</v>
      </c>
      <c r="B3036" s="1">
        <v>43550</v>
      </c>
      <c r="C3036" s="6" t="s">
        <v>17</v>
      </c>
      <c r="D3036" s="6" t="s">
        <v>18</v>
      </c>
      <c r="E3036" s="6">
        <v>5</v>
      </c>
      <c r="F3036" s="6">
        <v>3</v>
      </c>
      <c r="G3036" s="6" t="s">
        <v>13</v>
      </c>
      <c r="H3036" s="6" t="s">
        <v>11</v>
      </c>
      <c r="I3036" s="6">
        <f>TabJogos[[#This Row],[PontosTime1]]-TabJogos[[#This Row],[PontosTime2]]</f>
        <v>2</v>
      </c>
    </row>
    <row r="3037" spans="1:9" ht="15" customHeight="1" x14ac:dyDescent="0.25">
      <c r="A3037" s="7">
        <v>3036</v>
      </c>
      <c r="B3037" s="1">
        <v>43551</v>
      </c>
      <c r="C3037" s="6" t="s">
        <v>41</v>
      </c>
      <c r="D3037" s="6" t="s">
        <v>13</v>
      </c>
      <c r="E3037" s="6">
        <v>0</v>
      </c>
      <c r="F3037" s="6">
        <v>5</v>
      </c>
      <c r="G3037" s="6" t="s">
        <v>27</v>
      </c>
      <c r="H3037" s="6" t="s">
        <v>11</v>
      </c>
      <c r="I3037" s="6">
        <f>TabJogos[[#This Row],[PontosTime1]]-TabJogos[[#This Row],[PontosTime2]]</f>
        <v>-5</v>
      </c>
    </row>
    <row r="3038" spans="1:9" ht="15" customHeight="1" x14ac:dyDescent="0.25">
      <c r="A3038" s="7">
        <v>3037</v>
      </c>
      <c r="B3038" s="1">
        <v>43551</v>
      </c>
      <c r="C3038" s="6" t="s">
        <v>41</v>
      </c>
      <c r="D3038" s="6" t="s">
        <v>11</v>
      </c>
      <c r="E3038" s="6">
        <v>4</v>
      </c>
      <c r="F3038" s="6">
        <v>6</v>
      </c>
      <c r="G3038" s="6" t="s">
        <v>28</v>
      </c>
      <c r="H3038" s="6" t="s">
        <v>27</v>
      </c>
      <c r="I3038" s="6">
        <f>TabJogos[[#This Row],[PontosTime1]]-TabJogos[[#This Row],[PontosTime2]]</f>
        <v>-2</v>
      </c>
    </row>
    <row r="3039" spans="1:9" ht="15" customHeight="1" x14ac:dyDescent="0.25">
      <c r="A3039" s="7">
        <v>3038</v>
      </c>
      <c r="B3039" s="1">
        <v>43551</v>
      </c>
      <c r="C3039" s="6" t="s">
        <v>13</v>
      </c>
      <c r="D3039" s="6" t="s">
        <v>27</v>
      </c>
      <c r="E3039" s="6">
        <v>1</v>
      </c>
      <c r="F3039" s="6">
        <v>5</v>
      </c>
      <c r="G3039" s="6" t="s">
        <v>32</v>
      </c>
      <c r="H3039" s="6" t="s">
        <v>28</v>
      </c>
      <c r="I3039" s="6">
        <f>TabJogos[[#This Row],[PontosTime1]]-TabJogos[[#This Row],[PontosTime2]]</f>
        <v>-4</v>
      </c>
    </row>
    <row r="3040" spans="1:9" ht="15" customHeight="1" x14ac:dyDescent="0.25">
      <c r="A3040" s="7">
        <v>3039</v>
      </c>
      <c r="B3040" s="1">
        <v>43551</v>
      </c>
      <c r="C3040" s="6" t="s">
        <v>17</v>
      </c>
      <c r="D3040" s="6" t="s">
        <v>28</v>
      </c>
      <c r="E3040" s="6">
        <v>5</v>
      </c>
      <c r="F3040" s="6">
        <v>3</v>
      </c>
      <c r="G3040" s="6" t="s">
        <v>18</v>
      </c>
      <c r="H3040" s="6" t="s">
        <v>32</v>
      </c>
      <c r="I3040" s="6">
        <f>TabJogos[[#This Row],[PontosTime1]]-TabJogos[[#This Row],[PontosTime2]]</f>
        <v>2</v>
      </c>
    </row>
    <row r="3041" spans="1:9" ht="15" customHeight="1" x14ac:dyDescent="0.25">
      <c r="A3041" s="7">
        <v>3040</v>
      </c>
      <c r="B3041" s="1">
        <v>43551</v>
      </c>
      <c r="C3041" s="6" t="s">
        <v>28</v>
      </c>
      <c r="D3041" s="6" t="s">
        <v>11</v>
      </c>
      <c r="E3041" s="6">
        <v>5</v>
      </c>
      <c r="F3041" s="6">
        <v>2</v>
      </c>
      <c r="G3041" s="6" t="s">
        <v>13</v>
      </c>
      <c r="H3041" s="6" t="s">
        <v>17</v>
      </c>
      <c r="I3041" s="6">
        <f>TabJogos[[#This Row],[PontosTime1]]-TabJogos[[#This Row],[PontosTime2]]</f>
        <v>3</v>
      </c>
    </row>
    <row r="3042" spans="1:9" ht="15" customHeight="1" x14ac:dyDescent="0.25">
      <c r="A3042" s="7">
        <v>3041</v>
      </c>
      <c r="B3042" s="1">
        <v>43551</v>
      </c>
      <c r="C3042" s="6" t="s">
        <v>11</v>
      </c>
      <c r="D3042" s="6" t="s">
        <v>18</v>
      </c>
      <c r="E3042" s="6">
        <v>6</v>
      </c>
      <c r="F3042" s="6">
        <v>1</v>
      </c>
      <c r="G3042" s="6" t="s">
        <v>13</v>
      </c>
      <c r="H3042" s="6" t="s">
        <v>28</v>
      </c>
      <c r="I3042" s="6">
        <f>TabJogos[[#This Row],[PontosTime1]]-TabJogos[[#This Row],[PontosTime2]]</f>
        <v>5</v>
      </c>
    </row>
    <row r="3043" spans="1:9" ht="15" customHeight="1" x14ac:dyDescent="0.25">
      <c r="A3043" s="7">
        <v>3042</v>
      </c>
      <c r="B3043" s="1">
        <v>43551</v>
      </c>
      <c r="C3043" s="6" t="s">
        <v>11</v>
      </c>
      <c r="D3043" s="6" t="s">
        <v>17</v>
      </c>
      <c r="E3043" s="6">
        <v>6</v>
      </c>
      <c r="F3043" s="6">
        <v>3</v>
      </c>
      <c r="G3043" s="6" t="s">
        <v>13</v>
      </c>
      <c r="H3043" s="6" t="s">
        <v>18</v>
      </c>
      <c r="I3043" s="6">
        <f>TabJogos[[#This Row],[PontosTime1]]-TabJogos[[#This Row],[PontosTime2]]</f>
        <v>3</v>
      </c>
    </row>
    <row r="3044" spans="1:9" ht="15" customHeight="1" x14ac:dyDescent="0.25">
      <c r="A3044" s="7">
        <v>3043</v>
      </c>
      <c r="B3044" s="1">
        <v>43551</v>
      </c>
      <c r="C3044" s="6" t="s">
        <v>11</v>
      </c>
      <c r="D3044" s="6" t="s">
        <v>13</v>
      </c>
      <c r="E3044" s="6">
        <v>5</v>
      </c>
      <c r="F3044" s="6">
        <v>3</v>
      </c>
      <c r="G3044" s="6" t="s">
        <v>17</v>
      </c>
      <c r="H3044" s="6" t="s">
        <v>28</v>
      </c>
      <c r="I3044" s="6">
        <f>TabJogos[[#This Row],[PontosTime1]]-TabJogos[[#This Row],[PontosTime2]]</f>
        <v>2</v>
      </c>
    </row>
    <row r="3045" spans="1:9" ht="15" customHeight="1" x14ac:dyDescent="0.25">
      <c r="A3045" s="7">
        <v>3044</v>
      </c>
      <c r="B3045" s="1">
        <v>43551</v>
      </c>
      <c r="C3045" s="6" t="s">
        <v>11</v>
      </c>
      <c r="D3045" s="6" t="s">
        <v>28</v>
      </c>
      <c r="E3045" s="6">
        <v>5</v>
      </c>
      <c r="F3045" s="6">
        <v>2</v>
      </c>
      <c r="G3045" s="6" t="s">
        <v>17</v>
      </c>
      <c r="H3045" s="6" t="s">
        <v>13</v>
      </c>
      <c r="I3045" s="6">
        <f>TabJogos[[#This Row],[PontosTime1]]-TabJogos[[#This Row],[PontosTime2]]</f>
        <v>3</v>
      </c>
    </row>
    <row r="3046" spans="1:9" ht="15" customHeight="1" x14ac:dyDescent="0.25">
      <c r="A3046" s="7">
        <v>3045</v>
      </c>
      <c r="B3046" s="1">
        <v>43552</v>
      </c>
      <c r="C3046" s="6" t="s">
        <v>17</v>
      </c>
      <c r="D3046" s="6" t="s">
        <v>12</v>
      </c>
      <c r="E3046" s="6">
        <v>4</v>
      </c>
      <c r="F3046" s="6">
        <v>1</v>
      </c>
      <c r="G3046" s="6" t="s">
        <v>41</v>
      </c>
      <c r="H3046" s="6" t="s">
        <v>11</v>
      </c>
      <c r="I3046" s="6">
        <f>TabJogos[[#This Row],[PontosTime1]]-TabJogos[[#This Row],[PontosTime2]]</f>
        <v>3</v>
      </c>
    </row>
    <row r="3047" spans="1:9" ht="15" customHeight="1" x14ac:dyDescent="0.25">
      <c r="A3047" s="7">
        <v>3046</v>
      </c>
      <c r="B3047" s="1">
        <v>43552</v>
      </c>
      <c r="C3047" s="6" t="s">
        <v>17</v>
      </c>
      <c r="D3047" s="6" t="s">
        <v>13</v>
      </c>
      <c r="E3047" s="6">
        <v>2</v>
      </c>
      <c r="F3047" s="6">
        <v>1</v>
      </c>
      <c r="G3047" s="6" t="s">
        <v>9</v>
      </c>
      <c r="H3047" s="6" t="s">
        <v>12</v>
      </c>
      <c r="I3047" s="6">
        <f>TabJogos[[#This Row],[PontosTime1]]-TabJogos[[#This Row],[PontosTime2]]</f>
        <v>1</v>
      </c>
    </row>
    <row r="3048" spans="1:9" ht="15" customHeight="1" x14ac:dyDescent="0.25">
      <c r="A3048" s="7">
        <v>3047</v>
      </c>
      <c r="B3048" s="1">
        <v>43552</v>
      </c>
      <c r="C3048" s="6" t="s">
        <v>18</v>
      </c>
      <c r="D3048" s="6" t="s">
        <v>17</v>
      </c>
      <c r="E3048" s="6">
        <v>2</v>
      </c>
      <c r="F3048" s="6">
        <v>1</v>
      </c>
      <c r="G3048" s="6" t="s">
        <v>16</v>
      </c>
      <c r="H3048" s="6" t="s">
        <v>13</v>
      </c>
      <c r="I3048" s="6">
        <f>TabJogos[[#This Row],[PontosTime1]]-TabJogos[[#This Row],[PontosTime2]]</f>
        <v>1</v>
      </c>
    </row>
    <row r="3049" spans="1:9" ht="15" customHeight="1" x14ac:dyDescent="0.25">
      <c r="A3049" s="7">
        <v>3048</v>
      </c>
      <c r="B3049" s="1">
        <v>43552</v>
      </c>
      <c r="C3049" s="6" t="s">
        <v>27</v>
      </c>
      <c r="D3049" s="6" t="s">
        <v>18</v>
      </c>
      <c r="E3049" s="6">
        <v>4</v>
      </c>
      <c r="F3049" s="6">
        <v>1</v>
      </c>
      <c r="G3049" s="6" t="s">
        <v>32</v>
      </c>
      <c r="H3049" s="6" t="s">
        <v>17</v>
      </c>
      <c r="I3049" s="6">
        <f>TabJogos[[#This Row],[PontosTime1]]-TabJogos[[#This Row],[PontosTime2]]</f>
        <v>3</v>
      </c>
    </row>
    <row r="3050" spans="1:9" ht="15" customHeight="1" x14ac:dyDescent="0.25">
      <c r="A3050" s="7">
        <v>3049</v>
      </c>
      <c r="B3050" s="1">
        <v>43552</v>
      </c>
      <c r="C3050" s="6" t="s">
        <v>41</v>
      </c>
      <c r="D3050" s="6" t="s">
        <v>18</v>
      </c>
      <c r="E3050" s="6">
        <v>3</v>
      </c>
      <c r="F3050" s="6">
        <v>0</v>
      </c>
      <c r="G3050" s="6" t="s">
        <v>11</v>
      </c>
      <c r="H3050" s="6" t="s">
        <v>27</v>
      </c>
      <c r="I3050" s="6">
        <f>TabJogos[[#This Row],[PontosTime1]]-TabJogos[[#This Row],[PontosTime2]]</f>
        <v>3</v>
      </c>
    </row>
    <row r="3051" spans="1:9" ht="15" customHeight="1" x14ac:dyDescent="0.25">
      <c r="A3051" s="7">
        <v>3050</v>
      </c>
      <c r="B3051" s="1">
        <v>43552</v>
      </c>
      <c r="C3051" s="6" t="s">
        <v>9</v>
      </c>
      <c r="D3051" s="6" t="s">
        <v>18</v>
      </c>
      <c r="E3051" s="6">
        <v>1</v>
      </c>
      <c r="F3051" s="6">
        <v>2</v>
      </c>
      <c r="G3051" s="6" t="s">
        <v>16</v>
      </c>
      <c r="H3051" s="6" t="s">
        <v>41</v>
      </c>
      <c r="I3051" s="6">
        <f>TabJogos[[#This Row],[PontosTime1]]-TabJogos[[#This Row],[PontosTime2]]</f>
        <v>-1</v>
      </c>
    </row>
    <row r="3052" spans="1:9" ht="15" customHeight="1" x14ac:dyDescent="0.25">
      <c r="A3052" s="7">
        <v>3051</v>
      </c>
      <c r="B3052" s="1">
        <v>43552</v>
      </c>
      <c r="C3052" s="6" t="s">
        <v>17</v>
      </c>
      <c r="D3052" s="6" t="s">
        <v>41</v>
      </c>
      <c r="E3052" s="6">
        <v>0</v>
      </c>
      <c r="F3052" s="6">
        <v>2</v>
      </c>
      <c r="G3052" s="6" t="s">
        <v>13</v>
      </c>
      <c r="H3052" s="6" t="s">
        <v>11</v>
      </c>
      <c r="I3052" s="6">
        <f>TabJogos[[#This Row],[PontosTime1]]-TabJogos[[#This Row],[PontosTime2]]</f>
        <v>-2</v>
      </c>
    </row>
    <row r="3053" spans="1:9" ht="15" customHeight="1" x14ac:dyDescent="0.25">
      <c r="A3053" s="7">
        <v>3052</v>
      </c>
      <c r="B3053" s="1">
        <v>43552</v>
      </c>
      <c r="C3053" s="6" t="s">
        <v>27</v>
      </c>
      <c r="D3053" s="6" t="s">
        <v>13</v>
      </c>
      <c r="E3053" s="6">
        <v>0</v>
      </c>
      <c r="F3053" s="6">
        <v>2</v>
      </c>
      <c r="G3053" s="6" t="s">
        <v>28</v>
      </c>
      <c r="H3053" s="6" t="s">
        <v>11</v>
      </c>
      <c r="I3053" s="6">
        <f>TabJogos[[#This Row],[PontosTime1]]-TabJogos[[#This Row],[PontosTime2]]</f>
        <v>-2</v>
      </c>
    </row>
    <row r="3054" spans="1:9" ht="15" customHeight="1" x14ac:dyDescent="0.25">
      <c r="A3054" s="7">
        <v>3053</v>
      </c>
      <c r="B3054" s="1">
        <v>43552</v>
      </c>
      <c r="C3054" s="6" t="s">
        <v>9</v>
      </c>
      <c r="D3054" s="6" t="s">
        <v>28</v>
      </c>
      <c r="E3054" s="6">
        <v>0</v>
      </c>
      <c r="F3054" s="6">
        <v>2</v>
      </c>
      <c r="G3054" s="6" t="s">
        <v>18</v>
      </c>
      <c r="H3054" s="6" t="s">
        <v>11</v>
      </c>
      <c r="I3054" s="6">
        <f>TabJogos[[#This Row],[PontosTime1]]-TabJogos[[#This Row],[PontosTime2]]</f>
        <v>-2</v>
      </c>
    </row>
    <row r="3055" spans="1:9" ht="15" customHeight="1" x14ac:dyDescent="0.25">
      <c r="A3055" s="7">
        <v>3054</v>
      </c>
      <c r="B3055" s="1">
        <v>43552</v>
      </c>
      <c r="C3055" s="6" t="s">
        <v>16</v>
      </c>
      <c r="D3055" s="6" t="s">
        <v>11</v>
      </c>
      <c r="E3055" s="6">
        <v>1</v>
      </c>
      <c r="F3055" s="6">
        <v>3</v>
      </c>
      <c r="G3055" s="6" t="s">
        <v>32</v>
      </c>
      <c r="H3055" s="6" t="s">
        <v>18</v>
      </c>
      <c r="I3055" s="6">
        <f>TabJogos[[#This Row],[PontosTime1]]-TabJogos[[#This Row],[PontosTime2]]</f>
        <v>-2</v>
      </c>
    </row>
    <row r="3056" spans="1:9" ht="15" customHeight="1" x14ac:dyDescent="0.25">
      <c r="A3056" s="7">
        <v>3055</v>
      </c>
      <c r="B3056" s="1">
        <v>43552</v>
      </c>
      <c r="C3056" s="6" t="s">
        <v>17</v>
      </c>
      <c r="D3056" s="6" t="s">
        <v>18</v>
      </c>
      <c r="E3056" s="6">
        <v>0</v>
      </c>
      <c r="F3056" s="6">
        <v>2</v>
      </c>
      <c r="G3056" s="6" t="s">
        <v>41</v>
      </c>
      <c r="H3056" s="6" t="s">
        <v>32</v>
      </c>
      <c r="I3056" s="6">
        <f>TabJogos[[#This Row],[PontosTime1]]-TabJogos[[#This Row],[PontosTime2]]</f>
        <v>-2</v>
      </c>
    </row>
    <row r="3057" spans="1:9" ht="15" customHeight="1" x14ac:dyDescent="0.25">
      <c r="A3057" s="7">
        <v>3056</v>
      </c>
      <c r="B3057" s="1">
        <v>43552</v>
      </c>
      <c r="C3057" s="6" t="s">
        <v>13</v>
      </c>
      <c r="D3057" s="6" t="s">
        <v>32</v>
      </c>
      <c r="E3057" s="6">
        <v>1</v>
      </c>
      <c r="F3057" s="6">
        <v>2</v>
      </c>
      <c r="G3057" s="6" t="s">
        <v>27</v>
      </c>
      <c r="H3057" s="6" t="s">
        <v>41</v>
      </c>
      <c r="I3057" s="6">
        <f>TabJogos[[#This Row],[PontosTime1]]-TabJogos[[#This Row],[PontosTime2]]</f>
        <v>-1</v>
      </c>
    </row>
    <row r="3058" spans="1:9" ht="15" customHeight="1" x14ac:dyDescent="0.25">
      <c r="A3058" s="7">
        <v>3057</v>
      </c>
      <c r="B3058" s="1">
        <v>43552</v>
      </c>
      <c r="C3058" s="6" t="s">
        <v>28</v>
      </c>
      <c r="D3058" s="6" t="s">
        <v>27</v>
      </c>
      <c r="E3058" s="6">
        <v>0</v>
      </c>
      <c r="F3058" s="6">
        <v>2</v>
      </c>
      <c r="G3058" s="6" t="s">
        <v>9</v>
      </c>
      <c r="H3058" s="6" t="s">
        <v>41</v>
      </c>
      <c r="I3058" s="6">
        <f>TabJogos[[#This Row],[PontosTime1]]-TabJogos[[#This Row],[PontosTime2]]</f>
        <v>-2</v>
      </c>
    </row>
    <row r="3059" spans="1:9" ht="15" customHeight="1" x14ac:dyDescent="0.25">
      <c r="A3059" s="7">
        <v>3058</v>
      </c>
      <c r="B3059" s="1">
        <v>43552</v>
      </c>
      <c r="C3059" s="6" t="s">
        <v>11</v>
      </c>
      <c r="D3059" s="6" t="s">
        <v>18</v>
      </c>
      <c r="E3059" s="6">
        <v>1</v>
      </c>
      <c r="F3059" s="6">
        <v>2</v>
      </c>
      <c r="G3059" s="6" t="s">
        <v>17</v>
      </c>
      <c r="H3059" s="6" t="s">
        <v>9</v>
      </c>
      <c r="I3059" s="6">
        <f>TabJogos[[#This Row],[PontosTime1]]-TabJogos[[#This Row],[PontosTime2]]</f>
        <v>-1</v>
      </c>
    </row>
    <row r="3060" spans="1:9" ht="15" customHeight="1" x14ac:dyDescent="0.25">
      <c r="A3060" s="7">
        <v>3059</v>
      </c>
      <c r="B3060" s="1">
        <v>43552</v>
      </c>
      <c r="C3060" s="6" t="s">
        <v>9</v>
      </c>
      <c r="D3060" s="6" t="s">
        <v>13</v>
      </c>
      <c r="E3060" s="6">
        <v>1</v>
      </c>
      <c r="F3060" s="6">
        <v>3</v>
      </c>
      <c r="G3060" s="6" t="s">
        <v>28</v>
      </c>
      <c r="H3060" s="6" t="s">
        <v>17</v>
      </c>
      <c r="I3060" s="6">
        <f>TabJogos[[#This Row],[PontosTime1]]-TabJogos[[#This Row],[PontosTime2]]</f>
        <v>-2</v>
      </c>
    </row>
    <row r="3061" spans="1:9" ht="15" customHeight="1" x14ac:dyDescent="0.25">
      <c r="A3061" s="7">
        <v>3060</v>
      </c>
      <c r="B3061" s="1">
        <v>43552</v>
      </c>
      <c r="C3061" s="6" t="s">
        <v>11</v>
      </c>
      <c r="D3061" s="6" t="s">
        <v>17</v>
      </c>
      <c r="E3061" s="6">
        <v>2</v>
      </c>
      <c r="F3061" s="6">
        <v>1</v>
      </c>
      <c r="G3061" s="6" t="s">
        <v>18</v>
      </c>
      <c r="H3061" s="6" t="s">
        <v>28</v>
      </c>
      <c r="I3061" s="6">
        <f>TabJogos[[#This Row],[PontosTime1]]-TabJogos[[#This Row],[PontosTime2]]</f>
        <v>1</v>
      </c>
    </row>
    <row r="3062" spans="1:9" ht="15" customHeight="1" x14ac:dyDescent="0.25">
      <c r="A3062" s="7">
        <v>3061</v>
      </c>
      <c r="B3062" s="1">
        <v>43552</v>
      </c>
      <c r="C3062" s="6" t="s">
        <v>11</v>
      </c>
      <c r="D3062" s="6" t="s">
        <v>28</v>
      </c>
      <c r="E3062" s="6">
        <v>2</v>
      </c>
      <c r="F3062" s="6">
        <v>0</v>
      </c>
      <c r="G3062" s="6" t="s">
        <v>17</v>
      </c>
      <c r="H3062" s="6" t="s">
        <v>13</v>
      </c>
      <c r="I3062" s="6">
        <f>TabJogos[[#This Row],[PontosTime1]]-TabJogos[[#This Row],[PontosTime2]]</f>
        <v>2</v>
      </c>
    </row>
    <row r="3063" spans="1:9" ht="15" customHeight="1" x14ac:dyDescent="0.25">
      <c r="A3063" s="7">
        <v>3062</v>
      </c>
      <c r="B3063" s="1">
        <v>43552</v>
      </c>
      <c r="C3063" s="6" t="s">
        <v>11</v>
      </c>
      <c r="D3063" s="6" t="s">
        <v>18</v>
      </c>
      <c r="E3063" s="6">
        <v>3</v>
      </c>
      <c r="F3063" s="6">
        <v>0</v>
      </c>
      <c r="G3063" s="6" t="s">
        <v>13</v>
      </c>
      <c r="H3063" s="6" t="s">
        <v>28</v>
      </c>
      <c r="I3063" s="6">
        <f>TabJogos[[#This Row],[PontosTime1]]-TabJogos[[#This Row],[PontosTime2]]</f>
        <v>3</v>
      </c>
    </row>
    <row r="3064" spans="1:9" ht="15" customHeight="1" x14ac:dyDescent="0.25">
      <c r="A3064" s="7">
        <v>3063</v>
      </c>
      <c r="B3064" s="1">
        <v>43552</v>
      </c>
      <c r="C3064" s="6" t="s">
        <v>11</v>
      </c>
      <c r="D3064" s="6" t="s">
        <v>13</v>
      </c>
      <c r="E3064" s="6">
        <v>3</v>
      </c>
      <c r="F3064" s="6">
        <v>2</v>
      </c>
      <c r="G3064" s="6" t="s">
        <v>18</v>
      </c>
      <c r="H3064" s="6" t="s">
        <v>28</v>
      </c>
      <c r="I3064" s="6">
        <f>TabJogos[[#This Row],[PontosTime1]]-TabJogos[[#This Row],[PontosTime2]]</f>
        <v>1</v>
      </c>
    </row>
    <row r="3065" spans="1:9" ht="15" customHeight="1" x14ac:dyDescent="0.25">
      <c r="A3065" s="7">
        <v>3064</v>
      </c>
      <c r="B3065" s="1">
        <v>43552</v>
      </c>
      <c r="C3065" s="6" t="s">
        <v>11</v>
      </c>
      <c r="D3065" s="6" t="s">
        <v>28</v>
      </c>
      <c r="E3065" s="6">
        <v>3</v>
      </c>
      <c r="F3065" s="6">
        <v>0</v>
      </c>
      <c r="G3065" s="6" t="s">
        <v>18</v>
      </c>
      <c r="H3065" s="6" t="s">
        <v>13</v>
      </c>
      <c r="I3065" s="6">
        <f>TabJogos[[#This Row],[PontosTime1]]-TabJogos[[#This Row],[PontosTime2]]</f>
        <v>3</v>
      </c>
    </row>
    <row r="3066" spans="1:9" ht="15" customHeight="1" x14ac:dyDescent="0.25">
      <c r="A3066" s="7">
        <v>3065</v>
      </c>
      <c r="B3066" s="1">
        <v>43552</v>
      </c>
      <c r="C3066" s="6" t="s">
        <v>11</v>
      </c>
      <c r="D3066" s="6" t="s">
        <v>18</v>
      </c>
      <c r="E3066" s="6">
        <v>3</v>
      </c>
      <c r="F3066" s="6">
        <v>2</v>
      </c>
      <c r="G3066" s="6" t="s">
        <v>13</v>
      </c>
      <c r="H3066" s="6" t="s">
        <v>28</v>
      </c>
      <c r="I3066" s="6">
        <f>TabJogos[[#This Row],[PontosTime1]]-TabJogos[[#This Row],[PontosTime2]]</f>
        <v>1</v>
      </c>
    </row>
    <row r="3067" spans="1:9" ht="15" customHeight="1" x14ac:dyDescent="0.25">
      <c r="A3067" s="7">
        <v>3066</v>
      </c>
      <c r="B3067" s="1">
        <v>43553</v>
      </c>
      <c r="C3067" s="6" t="s">
        <v>13</v>
      </c>
      <c r="D3067" s="6" t="s">
        <v>17</v>
      </c>
      <c r="E3067" s="6">
        <v>3</v>
      </c>
      <c r="F3067" s="6">
        <v>0</v>
      </c>
      <c r="G3067" s="6" t="s">
        <v>9</v>
      </c>
      <c r="H3067" s="6" t="s">
        <v>11</v>
      </c>
      <c r="I3067" s="6">
        <f>TabJogos[[#This Row],[PontosTime1]]-TabJogos[[#This Row],[PontosTime2]]</f>
        <v>3</v>
      </c>
    </row>
    <row r="3068" spans="1:9" ht="15" customHeight="1" x14ac:dyDescent="0.25">
      <c r="A3068" s="7">
        <v>3067</v>
      </c>
      <c r="B3068" s="1">
        <v>43553</v>
      </c>
      <c r="C3068" s="6" t="s">
        <v>9</v>
      </c>
      <c r="D3068" s="6" t="s">
        <v>17</v>
      </c>
      <c r="E3068" s="6">
        <v>7</v>
      </c>
      <c r="F3068" s="6">
        <v>1</v>
      </c>
      <c r="G3068" s="6" t="s">
        <v>13</v>
      </c>
      <c r="H3068" s="6" t="s">
        <v>11</v>
      </c>
      <c r="I3068" s="6">
        <f>TabJogos[[#This Row],[PontosTime1]]-TabJogos[[#This Row],[PontosTime2]]</f>
        <v>6</v>
      </c>
    </row>
    <row r="3069" spans="1:9" ht="15" customHeight="1" x14ac:dyDescent="0.25">
      <c r="A3069" s="7">
        <v>3068</v>
      </c>
      <c r="B3069" s="1">
        <v>43553</v>
      </c>
      <c r="C3069" s="6" t="s">
        <v>41</v>
      </c>
      <c r="D3069" s="6" t="s">
        <v>17</v>
      </c>
      <c r="E3069" s="6">
        <v>2</v>
      </c>
      <c r="F3069" s="6">
        <v>6</v>
      </c>
      <c r="G3069" s="6" t="s">
        <v>9</v>
      </c>
      <c r="H3069" s="6" t="s">
        <v>13</v>
      </c>
      <c r="I3069" s="6">
        <f>TabJogos[[#This Row],[PontosTime1]]-TabJogos[[#This Row],[PontosTime2]]</f>
        <v>-4</v>
      </c>
    </row>
    <row r="3070" spans="1:9" ht="15" customHeight="1" x14ac:dyDescent="0.25">
      <c r="A3070" s="7">
        <v>3069</v>
      </c>
      <c r="B3070" s="1">
        <v>43553</v>
      </c>
      <c r="C3070" s="6" t="s">
        <v>41</v>
      </c>
      <c r="D3070" s="6" t="s">
        <v>13</v>
      </c>
      <c r="E3070" s="6">
        <v>5</v>
      </c>
      <c r="F3070" s="6">
        <v>0</v>
      </c>
      <c r="G3070" s="6" t="s">
        <v>9</v>
      </c>
      <c r="H3070" s="6" t="s">
        <v>11</v>
      </c>
      <c r="I3070" s="6">
        <f>TabJogos[[#This Row],[PontosTime1]]-TabJogos[[#This Row],[PontosTime2]]</f>
        <v>5</v>
      </c>
    </row>
    <row r="3071" spans="1:9" ht="15" customHeight="1" x14ac:dyDescent="0.25">
      <c r="A3071" s="7">
        <v>3070</v>
      </c>
      <c r="B3071" s="1">
        <v>43553</v>
      </c>
      <c r="C3071" s="6" t="s">
        <v>41</v>
      </c>
      <c r="D3071" s="6" t="s">
        <v>11</v>
      </c>
      <c r="E3071" s="6">
        <v>4</v>
      </c>
      <c r="F3071" s="6">
        <v>5</v>
      </c>
      <c r="G3071" s="6" t="s">
        <v>17</v>
      </c>
      <c r="H3071" s="6" t="s">
        <v>13</v>
      </c>
      <c r="I3071" s="6">
        <f>TabJogos[[#This Row],[PontosTime1]]-TabJogos[[#This Row],[PontosTime2]]</f>
        <v>-1</v>
      </c>
    </row>
    <row r="3072" spans="1:9" ht="15" customHeight="1" x14ac:dyDescent="0.25">
      <c r="A3072" s="7">
        <v>3071</v>
      </c>
      <c r="B3072" s="1">
        <v>43553</v>
      </c>
      <c r="C3072" s="6" t="s">
        <v>13</v>
      </c>
      <c r="D3072" s="6" t="s">
        <v>28</v>
      </c>
      <c r="E3072" s="6">
        <v>5</v>
      </c>
      <c r="F3072" s="6">
        <v>0</v>
      </c>
      <c r="G3072" s="6" t="s">
        <v>17</v>
      </c>
      <c r="H3072" s="6" t="s">
        <v>9</v>
      </c>
      <c r="I3072" s="6">
        <f>TabJogos[[#This Row],[PontosTime1]]-TabJogos[[#This Row],[PontosTime2]]</f>
        <v>5</v>
      </c>
    </row>
    <row r="3073" spans="1:9" ht="15" customHeight="1" x14ac:dyDescent="0.25">
      <c r="A3073" s="7">
        <v>3072</v>
      </c>
      <c r="B3073" s="1">
        <v>43553</v>
      </c>
      <c r="C3073" s="6" t="s">
        <v>13</v>
      </c>
      <c r="D3073" s="6" t="s">
        <v>11</v>
      </c>
      <c r="E3073" s="6">
        <v>1</v>
      </c>
      <c r="F3073" s="6">
        <v>6</v>
      </c>
      <c r="G3073" s="6" t="s">
        <v>9</v>
      </c>
      <c r="H3073" s="6" t="s">
        <v>28</v>
      </c>
      <c r="I3073" s="6">
        <f>TabJogos[[#This Row],[PontosTime1]]-TabJogos[[#This Row],[PontosTime2]]</f>
        <v>-5</v>
      </c>
    </row>
    <row r="3074" spans="1:9" ht="15" customHeight="1" x14ac:dyDescent="0.25">
      <c r="A3074" s="7">
        <v>3073</v>
      </c>
      <c r="B3074" s="1">
        <v>43553</v>
      </c>
      <c r="C3074" s="6" t="s">
        <v>11</v>
      </c>
      <c r="D3074" s="6" t="s">
        <v>28</v>
      </c>
      <c r="E3074" s="6">
        <v>4</v>
      </c>
      <c r="F3074" s="6">
        <v>5</v>
      </c>
      <c r="G3074" s="6" t="s">
        <v>9</v>
      </c>
      <c r="H3074" s="6" t="s">
        <v>17</v>
      </c>
      <c r="I3074" s="6">
        <f>TabJogos[[#This Row],[PontosTime1]]-TabJogos[[#This Row],[PontosTime2]]</f>
        <v>-1</v>
      </c>
    </row>
    <row r="3075" spans="1:9" ht="15" customHeight="1" x14ac:dyDescent="0.25">
      <c r="A3075" s="7">
        <v>3074</v>
      </c>
      <c r="B3075" s="1">
        <v>43553</v>
      </c>
      <c r="C3075" s="6" t="s">
        <v>13</v>
      </c>
      <c r="D3075" s="6" t="s">
        <v>9</v>
      </c>
      <c r="E3075" s="6">
        <v>0</v>
      </c>
      <c r="F3075" s="6">
        <v>5</v>
      </c>
      <c r="G3075" s="6" t="s">
        <v>17</v>
      </c>
      <c r="H3075" s="6" t="s">
        <v>11</v>
      </c>
      <c r="I3075" s="6">
        <f>TabJogos[[#This Row],[PontosTime1]]-TabJogos[[#This Row],[PontosTime2]]</f>
        <v>-5</v>
      </c>
    </row>
    <row r="3076" spans="1:9" ht="15" customHeight="1" x14ac:dyDescent="0.25">
      <c r="A3076" s="7">
        <v>3075</v>
      </c>
      <c r="B3076" s="1">
        <v>43553</v>
      </c>
      <c r="C3076" s="6" t="s">
        <v>17</v>
      </c>
      <c r="D3076" s="6" t="s">
        <v>28</v>
      </c>
      <c r="E3076" s="6">
        <v>6</v>
      </c>
      <c r="F3076" s="6">
        <v>2</v>
      </c>
      <c r="G3076" s="6" t="s">
        <v>11</v>
      </c>
      <c r="H3076" s="6" t="s">
        <v>9</v>
      </c>
      <c r="I3076" s="6">
        <f>TabJogos[[#This Row],[PontosTime1]]-TabJogos[[#This Row],[PontosTime2]]</f>
        <v>4</v>
      </c>
    </row>
    <row r="3077" spans="1:9" ht="15" customHeight="1" x14ac:dyDescent="0.25">
      <c r="A3077" s="7">
        <v>3076</v>
      </c>
      <c r="B3077" s="1">
        <v>43556</v>
      </c>
      <c r="C3077" s="6" t="s">
        <v>58</v>
      </c>
      <c r="D3077" s="6" t="s">
        <v>17</v>
      </c>
      <c r="E3077" s="6">
        <v>6</v>
      </c>
      <c r="F3077" s="6">
        <v>4</v>
      </c>
      <c r="G3077" s="6" t="s">
        <v>11</v>
      </c>
      <c r="H3077" s="6" t="s">
        <v>13</v>
      </c>
      <c r="I3077" s="6">
        <f>TabJogos[[#This Row],[PontosTime1]]-TabJogos[[#This Row],[PontosTime2]]</f>
        <v>2</v>
      </c>
    </row>
    <row r="3078" spans="1:9" ht="15" customHeight="1" x14ac:dyDescent="0.25">
      <c r="A3078" s="7">
        <v>3077</v>
      </c>
      <c r="B3078" s="1">
        <v>43556</v>
      </c>
      <c r="C3078" s="6" t="s">
        <v>18</v>
      </c>
      <c r="D3078" s="6" t="s">
        <v>13</v>
      </c>
      <c r="E3078" s="6">
        <v>0</v>
      </c>
      <c r="F3078" s="6">
        <v>5</v>
      </c>
      <c r="G3078" s="6" t="s">
        <v>11</v>
      </c>
      <c r="H3078" s="6" t="s">
        <v>17</v>
      </c>
      <c r="I3078" s="6">
        <f>TabJogos[[#This Row],[PontosTime1]]-TabJogos[[#This Row],[PontosTime2]]</f>
        <v>-5</v>
      </c>
    </row>
    <row r="3079" spans="1:9" ht="15" customHeight="1" x14ac:dyDescent="0.25">
      <c r="A3079" s="7">
        <v>3078</v>
      </c>
      <c r="B3079" s="1">
        <v>43556</v>
      </c>
      <c r="C3079" s="6" t="s">
        <v>11</v>
      </c>
      <c r="D3079" s="6" t="s">
        <v>18</v>
      </c>
      <c r="E3079" s="6">
        <v>5</v>
      </c>
      <c r="F3079" s="6">
        <v>2</v>
      </c>
      <c r="G3079" s="6" t="s">
        <v>17</v>
      </c>
      <c r="H3079" s="6" t="s">
        <v>13</v>
      </c>
      <c r="I3079" s="6">
        <f>TabJogos[[#This Row],[PontosTime1]]-TabJogos[[#This Row],[PontosTime2]]</f>
        <v>3</v>
      </c>
    </row>
    <row r="3080" spans="1:9" ht="15" customHeight="1" x14ac:dyDescent="0.25">
      <c r="A3080" s="7">
        <v>3079</v>
      </c>
      <c r="B3080" s="1">
        <v>43556</v>
      </c>
      <c r="C3080" s="6" t="s">
        <v>11</v>
      </c>
      <c r="D3080" s="6" t="s">
        <v>13</v>
      </c>
      <c r="E3080" s="6">
        <v>5</v>
      </c>
      <c r="F3080" s="6">
        <v>2</v>
      </c>
      <c r="G3080" s="6" t="s">
        <v>17</v>
      </c>
      <c r="H3080" s="6" t="s">
        <v>18</v>
      </c>
      <c r="I3080" s="6">
        <f>TabJogos[[#This Row],[PontosTime1]]-TabJogos[[#This Row],[PontosTime2]]</f>
        <v>3</v>
      </c>
    </row>
    <row r="3081" spans="1:9" ht="15" customHeight="1" x14ac:dyDescent="0.25">
      <c r="A3081" s="7">
        <v>3080</v>
      </c>
      <c r="B3081" s="1">
        <v>43556</v>
      </c>
      <c r="C3081" s="6" t="s">
        <v>18</v>
      </c>
      <c r="D3081" s="6" t="s">
        <v>13</v>
      </c>
      <c r="E3081" s="6">
        <v>4</v>
      </c>
      <c r="F3081" s="6">
        <v>5</v>
      </c>
      <c r="G3081" s="6" t="s">
        <v>17</v>
      </c>
      <c r="H3081" s="6" t="s">
        <v>11</v>
      </c>
      <c r="I3081" s="6">
        <f>TabJogos[[#This Row],[PontosTime1]]-TabJogos[[#This Row],[PontosTime2]]</f>
        <v>-1</v>
      </c>
    </row>
    <row r="3082" spans="1:9" ht="15" customHeight="1" x14ac:dyDescent="0.25">
      <c r="A3082" s="7">
        <v>3081</v>
      </c>
      <c r="B3082" s="1">
        <v>43556</v>
      </c>
      <c r="C3082" s="6" t="s">
        <v>32</v>
      </c>
      <c r="D3082" s="6" t="s">
        <v>17</v>
      </c>
      <c r="E3082" s="6">
        <v>1</v>
      </c>
      <c r="F3082" s="6">
        <v>4</v>
      </c>
      <c r="G3082" s="6" t="s">
        <v>11</v>
      </c>
      <c r="H3082" s="6" t="s">
        <v>28</v>
      </c>
      <c r="I3082" s="6">
        <f>TabJogos[[#This Row],[PontosTime1]]-TabJogos[[#This Row],[PontosTime2]]</f>
        <v>-3</v>
      </c>
    </row>
    <row r="3083" spans="1:9" ht="15" customHeight="1" x14ac:dyDescent="0.25">
      <c r="A3083" s="7">
        <v>3082</v>
      </c>
      <c r="B3083" s="1">
        <v>43556</v>
      </c>
      <c r="C3083" s="6" t="s">
        <v>11</v>
      </c>
      <c r="D3083" s="6" t="s">
        <v>27</v>
      </c>
      <c r="E3083" s="6">
        <v>2</v>
      </c>
      <c r="F3083" s="6">
        <v>4</v>
      </c>
      <c r="G3083" s="6" t="s">
        <v>28</v>
      </c>
      <c r="H3083" s="6" t="s">
        <v>18</v>
      </c>
      <c r="I3083" s="6">
        <f>TabJogos[[#This Row],[PontosTime1]]-TabJogos[[#This Row],[PontosTime2]]</f>
        <v>-2</v>
      </c>
    </row>
    <row r="3084" spans="1:9" ht="15" customHeight="1" x14ac:dyDescent="0.25">
      <c r="A3084" s="7">
        <v>3083</v>
      </c>
      <c r="B3084" s="1">
        <v>43556</v>
      </c>
      <c r="C3084" s="6" t="s">
        <v>18</v>
      </c>
      <c r="D3084" s="6" t="s">
        <v>32</v>
      </c>
      <c r="E3084" s="6">
        <v>3</v>
      </c>
      <c r="F3084" s="6">
        <v>1</v>
      </c>
      <c r="G3084" s="6" t="s">
        <v>13</v>
      </c>
      <c r="H3084" s="6" t="s">
        <v>28</v>
      </c>
      <c r="I3084" s="6">
        <f>TabJogos[[#This Row],[PontosTime1]]-TabJogos[[#This Row],[PontosTime2]]</f>
        <v>2</v>
      </c>
    </row>
    <row r="3085" spans="1:9" ht="15" customHeight="1" x14ac:dyDescent="0.25">
      <c r="A3085" s="7">
        <v>3084</v>
      </c>
      <c r="B3085" s="1">
        <v>43556</v>
      </c>
      <c r="C3085" s="6" t="s">
        <v>32</v>
      </c>
      <c r="D3085" s="6" t="s">
        <v>41</v>
      </c>
      <c r="E3085" s="6">
        <v>3</v>
      </c>
      <c r="F3085" s="6">
        <v>1</v>
      </c>
      <c r="G3085" s="6" t="s">
        <v>18</v>
      </c>
      <c r="H3085" s="6" t="s">
        <v>17</v>
      </c>
      <c r="I3085" s="6">
        <f>TabJogos[[#This Row],[PontosTime1]]-TabJogos[[#This Row],[PontosTime2]]</f>
        <v>2</v>
      </c>
    </row>
    <row r="3086" spans="1:9" ht="15" customHeight="1" x14ac:dyDescent="0.25">
      <c r="A3086" s="7">
        <v>3085</v>
      </c>
      <c r="B3086" s="1">
        <v>43556</v>
      </c>
      <c r="C3086" s="6" t="s">
        <v>32</v>
      </c>
      <c r="D3086" s="6" t="s">
        <v>11</v>
      </c>
      <c r="E3086" s="6">
        <v>2</v>
      </c>
      <c r="F3086" s="6">
        <v>3</v>
      </c>
      <c r="G3086" s="6" t="s">
        <v>28</v>
      </c>
      <c r="H3086" s="6" t="s">
        <v>41</v>
      </c>
      <c r="I3086" s="6">
        <f>TabJogos[[#This Row],[PontosTime1]]-TabJogos[[#This Row],[PontosTime2]]</f>
        <v>-1</v>
      </c>
    </row>
    <row r="3087" spans="1:9" ht="15" customHeight="1" x14ac:dyDescent="0.25">
      <c r="A3087" s="7">
        <v>3086</v>
      </c>
      <c r="B3087" s="1">
        <v>43556</v>
      </c>
      <c r="C3087" s="6" t="s">
        <v>11</v>
      </c>
      <c r="D3087" s="6" t="s">
        <v>28</v>
      </c>
      <c r="E3087" s="6">
        <v>0</v>
      </c>
      <c r="F3087" s="6">
        <v>4</v>
      </c>
      <c r="G3087" s="6" t="s">
        <v>13</v>
      </c>
      <c r="H3087" s="6" t="s">
        <v>18</v>
      </c>
      <c r="I3087" s="6">
        <f>TabJogos[[#This Row],[PontosTime1]]-TabJogos[[#This Row],[PontosTime2]]</f>
        <v>-4</v>
      </c>
    </row>
    <row r="3088" spans="1:9" ht="15" customHeight="1" x14ac:dyDescent="0.25">
      <c r="A3088" s="7">
        <v>3087</v>
      </c>
      <c r="B3088" s="1">
        <v>43556</v>
      </c>
      <c r="C3088" s="6" t="s">
        <v>13</v>
      </c>
      <c r="D3088" s="6" t="s">
        <v>11</v>
      </c>
      <c r="E3088" s="6">
        <v>3</v>
      </c>
      <c r="F3088" s="6">
        <v>0</v>
      </c>
      <c r="G3088" s="6" t="s">
        <v>28</v>
      </c>
      <c r="H3088" s="6" t="s">
        <v>18</v>
      </c>
      <c r="I3088" s="6">
        <f>TabJogos[[#This Row],[PontosTime1]]-TabJogos[[#This Row],[PontosTime2]]</f>
        <v>3</v>
      </c>
    </row>
    <row r="3089" spans="1:9" ht="15" customHeight="1" x14ac:dyDescent="0.25">
      <c r="A3089" s="7">
        <v>3088</v>
      </c>
      <c r="B3089" s="1">
        <v>43556</v>
      </c>
      <c r="C3089" s="6" t="s">
        <v>13</v>
      </c>
      <c r="D3089" s="6" t="s">
        <v>28</v>
      </c>
      <c r="E3089" s="6">
        <v>0</v>
      </c>
      <c r="F3089" s="6">
        <v>3</v>
      </c>
      <c r="G3089" s="6" t="s">
        <v>11</v>
      </c>
      <c r="H3089" s="6" t="s">
        <v>18</v>
      </c>
      <c r="I3089" s="6">
        <f>TabJogos[[#This Row],[PontosTime1]]-TabJogos[[#This Row],[PontosTime2]]</f>
        <v>-3</v>
      </c>
    </row>
    <row r="3090" spans="1:9" ht="15" customHeight="1" x14ac:dyDescent="0.25">
      <c r="A3090" s="7">
        <v>3089</v>
      </c>
      <c r="B3090" s="1">
        <v>43557</v>
      </c>
      <c r="C3090" s="6" t="s">
        <v>41</v>
      </c>
      <c r="D3090" s="6" t="s">
        <v>10</v>
      </c>
      <c r="E3090" s="6">
        <v>2</v>
      </c>
      <c r="F3090" s="6">
        <v>3</v>
      </c>
      <c r="G3090" s="6" t="s">
        <v>13</v>
      </c>
      <c r="H3090" s="6" t="s">
        <v>11</v>
      </c>
      <c r="I3090" s="6">
        <f>TabJogos[[#This Row],[PontosTime1]]-TabJogos[[#This Row],[PontosTime2]]</f>
        <v>-1</v>
      </c>
    </row>
    <row r="3091" spans="1:9" ht="15" customHeight="1" x14ac:dyDescent="0.25">
      <c r="A3091" s="7">
        <v>3090</v>
      </c>
      <c r="B3091" s="1">
        <v>43557</v>
      </c>
      <c r="C3091" s="6" t="s">
        <v>13</v>
      </c>
      <c r="D3091" s="6" t="s">
        <v>27</v>
      </c>
      <c r="E3091" s="6">
        <v>3</v>
      </c>
      <c r="F3091" s="6">
        <v>2</v>
      </c>
      <c r="G3091" s="6" t="s">
        <v>11</v>
      </c>
      <c r="H3091" s="6" t="s">
        <v>18</v>
      </c>
      <c r="I3091" s="6">
        <f>TabJogos[[#This Row],[PontosTime1]]-TabJogos[[#This Row],[PontosTime2]]</f>
        <v>1</v>
      </c>
    </row>
    <row r="3092" spans="1:9" ht="15" customHeight="1" x14ac:dyDescent="0.25">
      <c r="A3092" s="7">
        <v>3091</v>
      </c>
      <c r="B3092" s="1">
        <v>43557</v>
      </c>
      <c r="C3092" s="6" t="s">
        <v>13</v>
      </c>
      <c r="D3092" s="6" t="s">
        <v>28</v>
      </c>
      <c r="E3092" s="6">
        <v>4</v>
      </c>
      <c r="F3092" s="6">
        <v>2</v>
      </c>
      <c r="G3092" s="6" t="s">
        <v>27</v>
      </c>
      <c r="H3092" s="6" t="s">
        <v>10</v>
      </c>
      <c r="I3092" s="6">
        <f>TabJogos[[#This Row],[PontosTime1]]-TabJogos[[#This Row],[PontosTime2]]</f>
        <v>2</v>
      </c>
    </row>
    <row r="3093" spans="1:9" ht="15" customHeight="1" x14ac:dyDescent="0.25">
      <c r="A3093" s="7">
        <v>3092</v>
      </c>
      <c r="B3093" s="1">
        <v>43557</v>
      </c>
      <c r="C3093" s="6" t="s">
        <v>18</v>
      </c>
      <c r="D3093" s="6" t="s">
        <v>13</v>
      </c>
      <c r="E3093" s="6">
        <v>3</v>
      </c>
      <c r="F3093" s="6">
        <v>1</v>
      </c>
      <c r="G3093" s="6" t="s">
        <v>28</v>
      </c>
      <c r="H3093" s="6" t="s">
        <v>41</v>
      </c>
      <c r="I3093" s="6">
        <f>TabJogos[[#This Row],[PontosTime1]]-TabJogos[[#This Row],[PontosTime2]]</f>
        <v>2</v>
      </c>
    </row>
    <row r="3094" spans="1:9" ht="15" customHeight="1" x14ac:dyDescent="0.25">
      <c r="A3094" s="7">
        <v>3093</v>
      </c>
      <c r="B3094" s="1">
        <v>43557</v>
      </c>
      <c r="C3094" s="6" t="s">
        <v>11</v>
      </c>
      <c r="D3094" s="6" t="s">
        <v>13</v>
      </c>
      <c r="E3094" s="6">
        <v>3</v>
      </c>
      <c r="F3094" s="6">
        <v>2</v>
      </c>
      <c r="G3094" s="6" t="s">
        <v>27</v>
      </c>
      <c r="H3094" s="6" t="s">
        <v>18</v>
      </c>
      <c r="I3094" s="6">
        <f>TabJogos[[#This Row],[PontosTime1]]-TabJogos[[#This Row],[PontosTime2]]</f>
        <v>1</v>
      </c>
    </row>
    <row r="3095" spans="1:9" ht="15" customHeight="1" x14ac:dyDescent="0.25">
      <c r="A3095" s="7">
        <v>3094</v>
      </c>
      <c r="B3095" s="1">
        <v>43557</v>
      </c>
      <c r="C3095" s="6" t="s">
        <v>17</v>
      </c>
      <c r="D3095" s="6" t="s">
        <v>11</v>
      </c>
      <c r="E3095" s="6">
        <v>1</v>
      </c>
      <c r="F3095" s="6">
        <v>4</v>
      </c>
      <c r="G3095" s="6" t="s">
        <v>10</v>
      </c>
      <c r="H3095" s="6" t="s">
        <v>13</v>
      </c>
      <c r="I3095" s="6">
        <f>TabJogos[[#This Row],[PontosTime1]]-TabJogos[[#This Row],[PontosTime2]]</f>
        <v>-3</v>
      </c>
    </row>
    <row r="3096" spans="1:9" ht="15" customHeight="1" x14ac:dyDescent="0.25">
      <c r="A3096" s="7">
        <v>3095</v>
      </c>
      <c r="B3096" s="1">
        <v>43557</v>
      </c>
      <c r="C3096" s="6" t="s">
        <v>41</v>
      </c>
      <c r="D3096" s="6" t="s">
        <v>13</v>
      </c>
      <c r="E3096" s="6">
        <v>3</v>
      </c>
      <c r="F3096" s="6">
        <v>0</v>
      </c>
      <c r="G3096" s="6" t="s">
        <v>28</v>
      </c>
      <c r="H3096" s="6" t="s">
        <v>10</v>
      </c>
      <c r="I3096" s="6">
        <f>TabJogos[[#This Row],[PontosTime1]]-TabJogos[[#This Row],[PontosTime2]]</f>
        <v>3</v>
      </c>
    </row>
    <row r="3097" spans="1:9" ht="15" customHeight="1" x14ac:dyDescent="0.25">
      <c r="A3097" s="7">
        <v>3096</v>
      </c>
      <c r="B3097" s="1">
        <v>43557</v>
      </c>
      <c r="C3097" s="6" t="s">
        <v>27</v>
      </c>
      <c r="D3097" s="6" t="s">
        <v>41</v>
      </c>
      <c r="E3097" s="6">
        <v>3</v>
      </c>
      <c r="F3097" s="6">
        <v>0</v>
      </c>
      <c r="G3097" s="6" t="s">
        <v>13</v>
      </c>
      <c r="H3097" s="6" t="s">
        <v>18</v>
      </c>
      <c r="I3097" s="6">
        <f>TabJogos[[#This Row],[PontosTime1]]-TabJogos[[#This Row],[PontosTime2]]</f>
        <v>3</v>
      </c>
    </row>
    <row r="3098" spans="1:9" ht="15" customHeight="1" x14ac:dyDescent="0.25">
      <c r="A3098" s="7">
        <v>3097</v>
      </c>
      <c r="B3098" s="1">
        <v>43557</v>
      </c>
      <c r="C3098" s="6" t="s">
        <v>17</v>
      </c>
      <c r="D3098" s="6" t="s">
        <v>41</v>
      </c>
      <c r="E3098" s="6">
        <v>3</v>
      </c>
      <c r="F3098" s="6">
        <v>0</v>
      </c>
      <c r="G3098" s="6" t="s">
        <v>11</v>
      </c>
      <c r="H3098" s="6" t="s">
        <v>27</v>
      </c>
      <c r="I3098" s="6">
        <f>TabJogos[[#This Row],[PontosTime1]]-TabJogos[[#This Row],[PontosTime2]]</f>
        <v>3</v>
      </c>
    </row>
    <row r="3099" spans="1:9" ht="15" customHeight="1" x14ac:dyDescent="0.25">
      <c r="A3099" s="7">
        <v>3098</v>
      </c>
      <c r="B3099" s="1">
        <v>43557</v>
      </c>
      <c r="C3099" s="6" t="s">
        <v>28</v>
      </c>
      <c r="D3099" s="6" t="s">
        <v>17</v>
      </c>
      <c r="E3099" s="6">
        <v>3</v>
      </c>
      <c r="F3099" s="6">
        <v>1</v>
      </c>
      <c r="G3099" s="6" t="s">
        <v>41</v>
      </c>
      <c r="H3099" s="6" t="s">
        <v>32</v>
      </c>
      <c r="I3099" s="6">
        <f>TabJogos[[#This Row],[PontosTime1]]-TabJogos[[#This Row],[PontosTime2]]</f>
        <v>2</v>
      </c>
    </row>
    <row r="3100" spans="1:9" ht="15" customHeight="1" x14ac:dyDescent="0.25">
      <c r="A3100" s="7">
        <v>3099</v>
      </c>
      <c r="B3100" s="1">
        <v>43557</v>
      </c>
      <c r="C3100" s="6" t="s">
        <v>13</v>
      </c>
      <c r="D3100" s="6" t="s">
        <v>17</v>
      </c>
      <c r="E3100" s="6">
        <v>3</v>
      </c>
      <c r="F3100" s="6">
        <v>0</v>
      </c>
      <c r="G3100" s="6" t="s">
        <v>18</v>
      </c>
      <c r="H3100" s="6" t="s">
        <v>28</v>
      </c>
      <c r="I3100" s="6">
        <f>TabJogos[[#This Row],[PontosTime1]]-TabJogos[[#This Row],[PontosTime2]]</f>
        <v>3</v>
      </c>
    </row>
    <row r="3101" spans="1:9" ht="15" customHeight="1" x14ac:dyDescent="0.25">
      <c r="A3101" s="7">
        <v>3100</v>
      </c>
      <c r="B3101" s="1">
        <v>43557</v>
      </c>
      <c r="C3101" s="6" t="s">
        <v>27</v>
      </c>
      <c r="D3101" s="6" t="s">
        <v>17</v>
      </c>
      <c r="E3101" s="6">
        <v>3</v>
      </c>
      <c r="F3101" s="6">
        <v>2</v>
      </c>
      <c r="G3101" s="6" t="s">
        <v>11</v>
      </c>
      <c r="H3101" s="6" t="s">
        <v>13</v>
      </c>
      <c r="I3101" s="6">
        <f>TabJogos[[#This Row],[PontosTime1]]-TabJogos[[#This Row],[PontosTime2]]</f>
        <v>1</v>
      </c>
    </row>
    <row r="3102" spans="1:9" ht="15" customHeight="1" x14ac:dyDescent="0.25">
      <c r="A3102" s="7">
        <v>3101</v>
      </c>
      <c r="B3102" s="1">
        <v>43557</v>
      </c>
      <c r="C3102" s="6" t="s">
        <v>27</v>
      </c>
      <c r="D3102" s="6" t="s">
        <v>28</v>
      </c>
      <c r="E3102" s="6">
        <v>1</v>
      </c>
      <c r="F3102" s="6">
        <v>3</v>
      </c>
      <c r="G3102" s="6" t="s">
        <v>11</v>
      </c>
      <c r="H3102" s="6" t="s">
        <v>17</v>
      </c>
      <c r="I3102" s="6">
        <f>TabJogos[[#This Row],[PontosTime1]]-TabJogos[[#This Row],[PontosTime2]]</f>
        <v>-2</v>
      </c>
    </row>
    <row r="3103" spans="1:9" ht="15" customHeight="1" x14ac:dyDescent="0.25">
      <c r="A3103" s="7">
        <v>3102</v>
      </c>
      <c r="B3103" s="1">
        <v>43557</v>
      </c>
      <c r="C3103" s="6" t="s">
        <v>13</v>
      </c>
      <c r="D3103" s="6" t="s">
        <v>17</v>
      </c>
      <c r="E3103" s="6">
        <v>3</v>
      </c>
      <c r="F3103" s="6">
        <v>1</v>
      </c>
      <c r="G3103" s="6" t="s">
        <v>11</v>
      </c>
      <c r="H3103" s="6" t="s">
        <v>28</v>
      </c>
      <c r="I3103" s="6">
        <f>TabJogos[[#This Row],[PontosTime1]]-TabJogos[[#This Row],[PontosTime2]]</f>
        <v>2</v>
      </c>
    </row>
    <row r="3104" spans="1:9" ht="15" customHeight="1" x14ac:dyDescent="0.25">
      <c r="A3104" s="7">
        <v>3103</v>
      </c>
      <c r="B3104" s="1">
        <v>43557</v>
      </c>
      <c r="C3104" s="6" t="s">
        <v>11</v>
      </c>
      <c r="D3104" s="6" t="s">
        <v>13</v>
      </c>
      <c r="E3104" s="6">
        <v>3</v>
      </c>
      <c r="F3104" s="6">
        <v>2</v>
      </c>
      <c r="G3104" s="6" t="s">
        <v>17</v>
      </c>
      <c r="H3104" s="6" t="s">
        <v>28</v>
      </c>
      <c r="I3104" s="6">
        <f>TabJogos[[#This Row],[PontosTime1]]-TabJogos[[#This Row],[PontosTime2]]</f>
        <v>1</v>
      </c>
    </row>
    <row r="3105" spans="1:9" ht="15" customHeight="1" x14ac:dyDescent="0.25">
      <c r="A3105" s="7">
        <v>3104</v>
      </c>
      <c r="B3105" s="1">
        <v>43558</v>
      </c>
      <c r="C3105" s="6" t="s">
        <v>32</v>
      </c>
      <c r="D3105" s="6" t="s">
        <v>18</v>
      </c>
      <c r="E3105" s="6">
        <v>3</v>
      </c>
      <c r="F3105" s="6">
        <v>0</v>
      </c>
      <c r="G3105" s="6" t="s">
        <v>17</v>
      </c>
      <c r="H3105" s="6" t="s">
        <v>41</v>
      </c>
      <c r="I3105" s="6">
        <f>TabJogos[[#This Row],[PontosTime1]]-TabJogos[[#This Row],[PontosTime2]]</f>
        <v>3</v>
      </c>
    </row>
    <row r="3106" spans="1:9" ht="15" customHeight="1" x14ac:dyDescent="0.25">
      <c r="A3106" s="7">
        <v>3105</v>
      </c>
      <c r="B3106" s="1">
        <v>43558</v>
      </c>
      <c r="C3106" s="6" t="s">
        <v>13</v>
      </c>
      <c r="D3106" s="6" t="s">
        <v>32</v>
      </c>
      <c r="E3106" s="6">
        <v>1</v>
      </c>
      <c r="F3106" s="6">
        <v>3</v>
      </c>
      <c r="G3106" s="6" t="s">
        <v>18</v>
      </c>
      <c r="H3106" s="6" t="s">
        <v>10</v>
      </c>
      <c r="I3106" s="6">
        <f>TabJogos[[#This Row],[PontosTime1]]-TabJogos[[#This Row],[PontosTime2]]</f>
        <v>-2</v>
      </c>
    </row>
    <row r="3107" spans="1:9" ht="15" customHeight="1" x14ac:dyDescent="0.25">
      <c r="A3107" s="7">
        <v>3106</v>
      </c>
      <c r="B3107" s="1">
        <v>43558</v>
      </c>
      <c r="C3107" s="6" t="s">
        <v>18</v>
      </c>
      <c r="D3107" s="6" t="s">
        <v>41</v>
      </c>
      <c r="E3107" s="6">
        <v>1</v>
      </c>
      <c r="F3107" s="6">
        <v>3</v>
      </c>
      <c r="G3107" s="6" t="s">
        <v>10</v>
      </c>
      <c r="H3107" s="6" t="s">
        <v>11</v>
      </c>
      <c r="I3107" s="6">
        <f>TabJogos[[#This Row],[PontosTime1]]-TabJogos[[#This Row],[PontosTime2]]</f>
        <v>-2</v>
      </c>
    </row>
    <row r="3108" spans="1:9" ht="15" customHeight="1" x14ac:dyDescent="0.25">
      <c r="A3108" s="7">
        <v>3107</v>
      </c>
      <c r="B3108" s="1">
        <v>43558</v>
      </c>
      <c r="C3108" s="6" t="s">
        <v>32</v>
      </c>
      <c r="D3108" s="6" t="s">
        <v>10</v>
      </c>
      <c r="E3108" s="6">
        <v>3</v>
      </c>
      <c r="F3108" s="6">
        <v>0</v>
      </c>
      <c r="G3108" s="6" t="s">
        <v>11</v>
      </c>
      <c r="H3108" s="6" t="s">
        <v>17</v>
      </c>
      <c r="I3108" s="6">
        <f>TabJogos[[#This Row],[PontosTime1]]-TabJogos[[#This Row],[PontosTime2]]</f>
        <v>3</v>
      </c>
    </row>
    <row r="3109" spans="1:9" ht="15" customHeight="1" x14ac:dyDescent="0.25">
      <c r="A3109" s="7">
        <v>3108</v>
      </c>
      <c r="B3109" s="1">
        <v>43558</v>
      </c>
      <c r="C3109" s="6" t="s">
        <v>18</v>
      </c>
      <c r="D3109" s="6" t="s">
        <v>32</v>
      </c>
      <c r="E3109" s="6">
        <v>2</v>
      </c>
      <c r="F3109" s="6">
        <v>6</v>
      </c>
      <c r="G3109" s="6" t="s">
        <v>13</v>
      </c>
      <c r="H3109" s="6" t="s">
        <v>10</v>
      </c>
      <c r="I3109" s="6">
        <f>TabJogos[[#This Row],[PontosTime1]]-TabJogos[[#This Row],[PontosTime2]]</f>
        <v>-4</v>
      </c>
    </row>
    <row r="3110" spans="1:9" ht="15" customHeight="1" x14ac:dyDescent="0.25">
      <c r="A3110" s="7">
        <v>3109</v>
      </c>
      <c r="B3110" s="1">
        <v>43558</v>
      </c>
      <c r="C3110" s="6" t="s">
        <v>10</v>
      </c>
      <c r="D3110" s="6" t="s">
        <v>41</v>
      </c>
      <c r="E3110" s="6">
        <v>2</v>
      </c>
      <c r="F3110" s="6">
        <v>4</v>
      </c>
      <c r="G3110" s="6" t="s">
        <v>11</v>
      </c>
      <c r="H3110" s="6" t="s">
        <v>13</v>
      </c>
      <c r="I3110" s="6">
        <f>TabJogos[[#This Row],[PontosTime1]]-TabJogos[[#This Row],[PontosTime2]]</f>
        <v>-2</v>
      </c>
    </row>
    <row r="3111" spans="1:9" ht="15" customHeight="1" x14ac:dyDescent="0.25">
      <c r="A3111" s="7">
        <v>3110</v>
      </c>
      <c r="B3111" s="1">
        <v>43558</v>
      </c>
      <c r="C3111" s="6" t="s">
        <v>18</v>
      </c>
      <c r="D3111" s="6" t="s">
        <v>11</v>
      </c>
      <c r="E3111" s="6">
        <v>0</v>
      </c>
      <c r="F3111" s="6">
        <v>3</v>
      </c>
      <c r="G3111" s="6" t="s">
        <v>17</v>
      </c>
      <c r="H3111" s="6" t="s">
        <v>13</v>
      </c>
      <c r="I3111" s="6">
        <f>TabJogos[[#This Row],[PontosTime1]]-TabJogos[[#This Row],[PontosTime2]]</f>
        <v>-3</v>
      </c>
    </row>
    <row r="3112" spans="1:9" ht="15" customHeight="1" x14ac:dyDescent="0.25">
      <c r="A3112" s="7">
        <v>3111</v>
      </c>
      <c r="B3112" s="1">
        <v>43558</v>
      </c>
      <c r="C3112" s="6" t="s">
        <v>17</v>
      </c>
      <c r="D3112" s="6" t="s">
        <v>32</v>
      </c>
      <c r="E3112" s="6">
        <v>4</v>
      </c>
      <c r="F3112" s="6">
        <v>2</v>
      </c>
      <c r="G3112" s="6" t="s">
        <v>41</v>
      </c>
      <c r="H3112" s="6" t="s">
        <v>13</v>
      </c>
      <c r="I3112" s="6">
        <f>TabJogos[[#This Row],[PontosTime1]]-TabJogos[[#This Row],[PontosTime2]]</f>
        <v>2</v>
      </c>
    </row>
    <row r="3113" spans="1:9" ht="15" customHeight="1" x14ac:dyDescent="0.25">
      <c r="A3113" s="7">
        <v>3112</v>
      </c>
      <c r="B3113" s="1">
        <v>43558</v>
      </c>
      <c r="C3113" s="6" t="s">
        <v>32</v>
      </c>
      <c r="D3113" s="6" t="s">
        <v>11</v>
      </c>
      <c r="E3113" s="6">
        <v>6</v>
      </c>
      <c r="F3113" s="6">
        <v>2</v>
      </c>
      <c r="G3113" s="6" t="s">
        <v>17</v>
      </c>
      <c r="H3113" s="6" t="s">
        <v>18</v>
      </c>
      <c r="I3113" s="6">
        <f>TabJogos[[#This Row],[PontosTime1]]-TabJogos[[#This Row],[PontosTime2]]</f>
        <v>4</v>
      </c>
    </row>
    <row r="3114" spans="1:9" ht="15" customHeight="1" x14ac:dyDescent="0.25">
      <c r="A3114" s="7">
        <v>3113</v>
      </c>
      <c r="B3114" s="1">
        <v>43558</v>
      </c>
      <c r="C3114" s="6" t="s">
        <v>16</v>
      </c>
      <c r="D3114" s="6" t="s">
        <v>32</v>
      </c>
      <c r="E3114" s="6">
        <v>2</v>
      </c>
      <c r="F3114" s="6">
        <v>3</v>
      </c>
      <c r="G3114" s="6" t="s">
        <v>11</v>
      </c>
      <c r="H3114" s="6" t="s">
        <v>41</v>
      </c>
      <c r="I3114" s="6">
        <f>TabJogos[[#This Row],[PontosTime1]]-TabJogos[[#This Row],[PontosTime2]]</f>
        <v>-1</v>
      </c>
    </row>
    <row r="3115" spans="1:9" ht="15" customHeight="1" x14ac:dyDescent="0.25">
      <c r="A3115" s="7">
        <v>3114</v>
      </c>
      <c r="B3115" s="1">
        <v>43558</v>
      </c>
      <c r="C3115" s="6" t="s">
        <v>17</v>
      </c>
      <c r="D3115" s="6" t="s">
        <v>11</v>
      </c>
      <c r="E3115" s="6">
        <v>3</v>
      </c>
      <c r="F3115" s="6">
        <v>0</v>
      </c>
      <c r="G3115" s="6" t="s">
        <v>28</v>
      </c>
      <c r="H3115" s="6" t="s">
        <v>13</v>
      </c>
      <c r="I3115" s="6">
        <f>TabJogos[[#This Row],[PontosTime1]]-TabJogos[[#This Row],[PontosTime2]]</f>
        <v>3</v>
      </c>
    </row>
    <row r="3116" spans="1:9" ht="15" customHeight="1" x14ac:dyDescent="0.25">
      <c r="A3116" s="7">
        <v>3115</v>
      </c>
      <c r="B3116" s="1">
        <v>43558</v>
      </c>
      <c r="C3116" s="6" t="s">
        <v>18</v>
      </c>
      <c r="D3116" s="6" t="s">
        <v>11</v>
      </c>
      <c r="E3116" s="6">
        <v>3</v>
      </c>
      <c r="F3116" s="6">
        <v>0</v>
      </c>
      <c r="G3116" s="6" t="s">
        <v>17</v>
      </c>
      <c r="H3116" s="6" t="s">
        <v>13</v>
      </c>
      <c r="I3116" s="6">
        <f>TabJogos[[#This Row],[PontosTime1]]-TabJogos[[#This Row],[PontosTime2]]</f>
        <v>3</v>
      </c>
    </row>
    <row r="3117" spans="1:9" ht="15" customHeight="1" x14ac:dyDescent="0.25">
      <c r="A3117" s="7">
        <v>3116</v>
      </c>
      <c r="B3117" s="1">
        <v>43558</v>
      </c>
      <c r="C3117" s="6" t="s">
        <v>18</v>
      </c>
      <c r="D3117" s="6" t="s">
        <v>28</v>
      </c>
      <c r="E3117" s="6">
        <v>1</v>
      </c>
      <c r="F3117" s="6">
        <v>3</v>
      </c>
      <c r="G3117" s="6" t="s">
        <v>11</v>
      </c>
      <c r="H3117" s="6" t="s">
        <v>13</v>
      </c>
      <c r="I3117" s="6">
        <f>TabJogos[[#This Row],[PontosTime1]]-TabJogos[[#This Row],[PontosTime2]]</f>
        <v>-2</v>
      </c>
    </row>
    <row r="3118" spans="1:9" ht="15" customHeight="1" x14ac:dyDescent="0.25">
      <c r="A3118" s="7">
        <v>3117</v>
      </c>
      <c r="B3118" s="1">
        <v>43558</v>
      </c>
      <c r="C3118" s="6" t="s">
        <v>11</v>
      </c>
      <c r="D3118" s="6" t="s">
        <v>28</v>
      </c>
      <c r="E3118" s="6">
        <v>3</v>
      </c>
      <c r="F3118" s="6">
        <v>1</v>
      </c>
      <c r="G3118" s="6" t="s">
        <v>13</v>
      </c>
      <c r="H3118" s="6" t="s">
        <v>18</v>
      </c>
      <c r="I3118" s="6">
        <f>TabJogos[[#This Row],[PontosTime1]]-TabJogos[[#This Row],[PontosTime2]]</f>
        <v>2</v>
      </c>
    </row>
    <row r="3119" spans="1:9" ht="15" customHeight="1" x14ac:dyDescent="0.25">
      <c r="A3119" s="7">
        <v>3118</v>
      </c>
      <c r="B3119" s="1">
        <v>43558</v>
      </c>
      <c r="C3119" s="6" t="s">
        <v>11</v>
      </c>
      <c r="D3119" s="6" t="s">
        <v>18</v>
      </c>
      <c r="E3119" s="6">
        <v>4</v>
      </c>
      <c r="F3119" s="6">
        <v>2</v>
      </c>
      <c r="G3119" s="6" t="s">
        <v>13</v>
      </c>
      <c r="H3119" s="6" t="s">
        <v>28</v>
      </c>
      <c r="I3119" s="6">
        <f>TabJogos[[#This Row],[PontosTime1]]-TabJogos[[#This Row],[PontosTime2]]</f>
        <v>2</v>
      </c>
    </row>
    <row r="3120" spans="1:9" ht="15" customHeight="1" x14ac:dyDescent="0.25">
      <c r="A3120" s="7">
        <v>3119</v>
      </c>
      <c r="B3120" s="1">
        <v>43559</v>
      </c>
      <c r="C3120" s="6" t="s">
        <v>10</v>
      </c>
      <c r="D3120" s="6" t="s">
        <v>41</v>
      </c>
      <c r="E3120" s="6">
        <v>2</v>
      </c>
      <c r="F3120" s="6">
        <v>6</v>
      </c>
      <c r="G3120" s="6" t="s">
        <v>13</v>
      </c>
      <c r="H3120" s="6" t="s">
        <v>11</v>
      </c>
      <c r="I3120" s="6">
        <f>TabJogos[[#This Row],[PontosTime1]]-TabJogos[[#This Row],[PontosTime2]]</f>
        <v>-4</v>
      </c>
    </row>
    <row r="3121" spans="1:9" ht="15" customHeight="1" x14ac:dyDescent="0.25">
      <c r="A3121" s="7">
        <v>3120</v>
      </c>
      <c r="B3121" s="1">
        <v>43559</v>
      </c>
      <c r="C3121" s="6" t="s">
        <v>13</v>
      </c>
      <c r="D3121" s="6" t="s">
        <v>17</v>
      </c>
      <c r="E3121" s="6">
        <v>4</v>
      </c>
      <c r="F3121" s="6">
        <v>2</v>
      </c>
      <c r="G3121" s="6" t="s">
        <v>11</v>
      </c>
      <c r="H3121" s="6" t="s">
        <v>10</v>
      </c>
      <c r="I3121" s="6">
        <f>TabJogos[[#This Row],[PontosTime1]]-TabJogos[[#This Row],[PontosTime2]]</f>
        <v>2</v>
      </c>
    </row>
    <row r="3122" spans="1:9" ht="15" customHeight="1" x14ac:dyDescent="0.25">
      <c r="A3122" s="7">
        <v>3121</v>
      </c>
      <c r="B3122" s="1">
        <v>43559</v>
      </c>
      <c r="C3122" s="6" t="s">
        <v>13</v>
      </c>
      <c r="D3122" s="6" t="s">
        <v>41</v>
      </c>
      <c r="E3122" s="6">
        <v>3</v>
      </c>
      <c r="F3122" s="6">
        <v>1</v>
      </c>
      <c r="G3122" s="6" t="s">
        <v>17</v>
      </c>
      <c r="H3122" s="6" t="s">
        <v>11</v>
      </c>
      <c r="I3122" s="6">
        <f>TabJogos[[#This Row],[PontosTime1]]-TabJogos[[#This Row],[PontosTime2]]</f>
        <v>2</v>
      </c>
    </row>
    <row r="3123" spans="1:9" ht="15" customHeight="1" x14ac:dyDescent="0.25">
      <c r="A3123" s="7">
        <v>3122</v>
      </c>
      <c r="B3123" s="1">
        <v>43559</v>
      </c>
      <c r="C3123" s="6" t="s">
        <v>41</v>
      </c>
      <c r="D3123" s="6" t="s">
        <v>11</v>
      </c>
      <c r="E3123" s="6">
        <v>0</v>
      </c>
      <c r="F3123" s="6">
        <v>3</v>
      </c>
      <c r="G3123" s="6" t="s">
        <v>13</v>
      </c>
      <c r="H3123" s="6" t="s">
        <v>28</v>
      </c>
      <c r="I3123" s="6">
        <f>TabJogos[[#This Row],[PontosTime1]]-TabJogos[[#This Row],[PontosTime2]]</f>
        <v>-3</v>
      </c>
    </row>
    <row r="3124" spans="1:9" ht="15" customHeight="1" x14ac:dyDescent="0.25">
      <c r="A3124" s="7">
        <v>3123</v>
      </c>
      <c r="B3124" s="1">
        <v>43559</v>
      </c>
      <c r="C3124" s="6" t="s">
        <v>17</v>
      </c>
      <c r="D3124" s="6" t="s">
        <v>28</v>
      </c>
      <c r="E3124" s="6">
        <v>3</v>
      </c>
      <c r="F3124" s="6">
        <v>0</v>
      </c>
      <c r="G3124" s="6" t="s">
        <v>13</v>
      </c>
      <c r="H3124" s="6" t="s">
        <v>11</v>
      </c>
      <c r="I3124" s="6">
        <f>TabJogos[[#This Row],[PontosTime1]]-TabJogos[[#This Row],[PontosTime2]]</f>
        <v>3</v>
      </c>
    </row>
    <row r="3125" spans="1:9" ht="15" customHeight="1" x14ac:dyDescent="0.25">
      <c r="A3125" s="7">
        <v>3124</v>
      </c>
      <c r="B3125" s="1">
        <v>43559</v>
      </c>
      <c r="C3125" s="6" t="s">
        <v>41</v>
      </c>
      <c r="D3125" s="6" t="s">
        <v>28</v>
      </c>
      <c r="E3125" s="6">
        <v>3</v>
      </c>
      <c r="F3125" s="6">
        <v>0</v>
      </c>
      <c r="G3125" s="6" t="s">
        <v>13</v>
      </c>
      <c r="H3125" s="6" t="s">
        <v>17</v>
      </c>
      <c r="I3125" s="6">
        <f>TabJogos[[#This Row],[PontosTime1]]-TabJogos[[#This Row],[PontosTime2]]</f>
        <v>3</v>
      </c>
    </row>
    <row r="3126" spans="1:9" ht="15" customHeight="1" x14ac:dyDescent="0.25">
      <c r="A3126" s="7">
        <v>3125</v>
      </c>
      <c r="B3126" s="1">
        <v>43559</v>
      </c>
      <c r="C3126" s="6" t="s">
        <v>41</v>
      </c>
      <c r="D3126" s="6" t="s">
        <v>13</v>
      </c>
      <c r="E3126" s="6">
        <v>1</v>
      </c>
      <c r="F3126" s="6">
        <v>3</v>
      </c>
      <c r="G3126" s="6" t="s">
        <v>28</v>
      </c>
      <c r="H3126" s="6" t="s">
        <v>11</v>
      </c>
      <c r="I3126" s="6">
        <f>TabJogos[[#This Row],[PontosTime1]]-TabJogos[[#This Row],[PontosTime2]]</f>
        <v>-2</v>
      </c>
    </row>
    <row r="3127" spans="1:9" ht="15" customHeight="1" x14ac:dyDescent="0.25">
      <c r="A3127" s="7">
        <v>3126</v>
      </c>
      <c r="B3127" s="1">
        <v>43559</v>
      </c>
      <c r="C3127" s="6" t="s">
        <v>28</v>
      </c>
      <c r="D3127" s="6" t="s">
        <v>13</v>
      </c>
      <c r="E3127" s="6">
        <v>5</v>
      </c>
      <c r="F3127" s="6">
        <v>0</v>
      </c>
      <c r="G3127" s="6" t="s">
        <v>17</v>
      </c>
      <c r="H3127" s="6" t="s">
        <v>11</v>
      </c>
      <c r="I3127" s="6">
        <f>TabJogos[[#This Row],[PontosTime1]]-TabJogos[[#This Row],[PontosTime2]]</f>
        <v>5</v>
      </c>
    </row>
    <row r="3128" spans="1:9" ht="15" customHeight="1" x14ac:dyDescent="0.25">
      <c r="A3128" s="7">
        <v>3127</v>
      </c>
      <c r="B3128" s="1">
        <v>43559</v>
      </c>
      <c r="C3128" s="6" t="s">
        <v>28</v>
      </c>
      <c r="D3128" s="6" t="s">
        <v>32</v>
      </c>
      <c r="E3128" s="6">
        <v>0</v>
      </c>
      <c r="F3128" s="6">
        <v>3</v>
      </c>
      <c r="G3128" s="6" t="s">
        <v>13</v>
      </c>
      <c r="H3128" s="6" t="s">
        <v>41</v>
      </c>
      <c r="I3128" s="6">
        <f>TabJogos[[#This Row],[PontosTime1]]-TabJogos[[#This Row],[PontosTime2]]</f>
        <v>-3</v>
      </c>
    </row>
    <row r="3129" spans="1:9" ht="15" customHeight="1" x14ac:dyDescent="0.25">
      <c r="A3129" s="7">
        <v>3128</v>
      </c>
      <c r="B3129" s="1">
        <v>43559</v>
      </c>
      <c r="C3129" s="6" t="s">
        <v>28</v>
      </c>
      <c r="D3129" s="6" t="s">
        <v>17</v>
      </c>
      <c r="E3129" s="6">
        <v>1</v>
      </c>
      <c r="F3129" s="6">
        <v>3</v>
      </c>
      <c r="G3129" s="6" t="s">
        <v>11</v>
      </c>
      <c r="H3129" s="6" t="s">
        <v>13</v>
      </c>
      <c r="I3129" s="6">
        <f>TabJogos[[#This Row],[PontosTime1]]-TabJogos[[#This Row],[PontosTime2]]</f>
        <v>-2</v>
      </c>
    </row>
    <row r="3130" spans="1:9" ht="15" customHeight="1" x14ac:dyDescent="0.25">
      <c r="A3130" s="7">
        <v>3129</v>
      </c>
      <c r="B3130" s="1">
        <v>43559</v>
      </c>
      <c r="C3130" s="6" t="s">
        <v>11</v>
      </c>
      <c r="D3130" s="6" t="s">
        <v>28</v>
      </c>
      <c r="E3130" s="6">
        <v>3</v>
      </c>
      <c r="F3130" s="6">
        <v>1</v>
      </c>
      <c r="G3130" s="6" t="s">
        <v>13</v>
      </c>
      <c r="H3130" s="6" t="s">
        <v>17</v>
      </c>
      <c r="I3130" s="6">
        <f>TabJogos[[#This Row],[PontosTime1]]-TabJogos[[#This Row],[PontosTime2]]</f>
        <v>2</v>
      </c>
    </row>
    <row r="3131" spans="1:9" ht="15" customHeight="1" x14ac:dyDescent="0.25">
      <c r="A3131" s="7">
        <v>3130</v>
      </c>
      <c r="B3131" s="1">
        <v>43559</v>
      </c>
      <c r="C3131" s="6" t="s">
        <v>13</v>
      </c>
      <c r="D3131" s="6" t="s">
        <v>28</v>
      </c>
      <c r="E3131" s="6">
        <v>3</v>
      </c>
      <c r="F3131" s="6">
        <v>0</v>
      </c>
      <c r="G3131" s="6" t="s">
        <v>17</v>
      </c>
      <c r="H3131" s="6" t="s">
        <v>11</v>
      </c>
      <c r="I3131" s="6">
        <f>TabJogos[[#This Row],[PontosTime1]]-TabJogos[[#This Row],[PontosTime2]]</f>
        <v>3</v>
      </c>
    </row>
    <row r="3132" spans="1:9" ht="15" customHeight="1" x14ac:dyDescent="0.25">
      <c r="A3132" s="7">
        <v>3131</v>
      </c>
      <c r="B3132" s="1">
        <v>43559</v>
      </c>
      <c r="C3132" s="6" t="s">
        <v>11</v>
      </c>
      <c r="D3132" s="6" t="s">
        <v>13</v>
      </c>
      <c r="E3132" s="6">
        <v>3</v>
      </c>
      <c r="F3132" s="6">
        <v>2</v>
      </c>
      <c r="G3132" s="6" t="s">
        <v>17</v>
      </c>
      <c r="H3132" s="6" t="s">
        <v>28</v>
      </c>
      <c r="I3132" s="6">
        <f>TabJogos[[#This Row],[PontosTime1]]-TabJogos[[#This Row],[PontosTime2]]</f>
        <v>1</v>
      </c>
    </row>
    <row r="3133" spans="1:9" ht="15" customHeight="1" x14ac:dyDescent="0.25">
      <c r="A3133" s="7">
        <v>3132</v>
      </c>
      <c r="B3133" s="1">
        <v>43559</v>
      </c>
      <c r="C3133" s="6" t="s">
        <v>11</v>
      </c>
      <c r="D3133" s="6" t="s">
        <v>28</v>
      </c>
      <c r="E3133" s="6">
        <v>1</v>
      </c>
      <c r="F3133" s="6">
        <v>3</v>
      </c>
      <c r="G3133" s="6" t="s">
        <v>13</v>
      </c>
      <c r="H3133" s="6" t="s">
        <v>17</v>
      </c>
      <c r="I3133" s="6">
        <f>TabJogos[[#This Row],[PontosTime1]]-TabJogos[[#This Row],[PontosTime2]]</f>
        <v>-2</v>
      </c>
    </row>
    <row r="3134" spans="1:9" ht="15" customHeight="1" x14ac:dyDescent="0.25">
      <c r="A3134" s="7">
        <v>3133</v>
      </c>
      <c r="B3134" s="1">
        <v>43559</v>
      </c>
      <c r="C3134" s="6" t="s">
        <v>11</v>
      </c>
      <c r="D3134" s="6" t="s">
        <v>17</v>
      </c>
      <c r="E3134" s="6">
        <v>5</v>
      </c>
      <c r="F3134" s="6">
        <v>1</v>
      </c>
      <c r="G3134" s="6" t="s">
        <v>13</v>
      </c>
      <c r="H3134" s="6" t="s">
        <v>28</v>
      </c>
      <c r="I3134" s="6">
        <f>TabJogos[[#This Row],[PontosTime1]]-TabJogos[[#This Row],[PontosTime2]]</f>
        <v>4</v>
      </c>
    </row>
    <row r="3135" spans="1:9" ht="15" customHeight="1" x14ac:dyDescent="0.25">
      <c r="A3135" s="7">
        <v>3134</v>
      </c>
      <c r="B3135" s="1">
        <v>43560</v>
      </c>
      <c r="C3135" s="6" t="s">
        <v>10</v>
      </c>
      <c r="D3135" s="6" t="s">
        <v>17</v>
      </c>
      <c r="E3135" s="6">
        <v>3</v>
      </c>
      <c r="F3135" s="6">
        <v>0</v>
      </c>
      <c r="G3135" s="6" t="s">
        <v>11</v>
      </c>
      <c r="H3135" s="6" t="s">
        <v>13</v>
      </c>
      <c r="I3135" s="6">
        <f>TabJogos[[#This Row],[PontosTime1]]-TabJogos[[#This Row],[PontosTime2]]</f>
        <v>3</v>
      </c>
    </row>
    <row r="3136" spans="1:9" ht="15" customHeight="1" x14ac:dyDescent="0.25">
      <c r="A3136" s="7">
        <v>3135</v>
      </c>
      <c r="B3136" s="1">
        <v>43560</v>
      </c>
      <c r="C3136" s="6" t="s">
        <v>13</v>
      </c>
      <c r="D3136" s="6" t="s">
        <v>17</v>
      </c>
      <c r="E3136" s="6">
        <v>3</v>
      </c>
      <c r="F3136" s="6">
        <v>0</v>
      </c>
      <c r="G3136" s="6" t="s">
        <v>11</v>
      </c>
      <c r="H3136" s="6" t="s">
        <v>10</v>
      </c>
      <c r="I3136" s="6">
        <f>TabJogos[[#This Row],[PontosTime1]]-TabJogos[[#This Row],[PontosTime2]]</f>
        <v>3</v>
      </c>
    </row>
    <row r="3137" spans="1:9" ht="15" customHeight="1" x14ac:dyDescent="0.25">
      <c r="A3137" s="7">
        <v>3136</v>
      </c>
      <c r="B3137" s="1">
        <v>43560</v>
      </c>
      <c r="C3137" s="6" t="s">
        <v>17</v>
      </c>
      <c r="D3137" s="6" t="s">
        <v>41</v>
      </c>
      <c r="E3137" s="6">
        <v>0</v>
      </c>
      <c r="F3137" s="6">
        <v>3</v>
      </c>
      <c r="G3137" s="6" t="s">
        <v>13</v>
      </c>
      <c r="H3137" s="6" t="s">
        <v>10</v>
      </c>
      <c r="I3137" s="6">
        <f>TabJogos[[#This Row],[PontosTime1]]-TabJogos[[#This Row],[PontosTime2]]</f>
        <v>-3</v>
      </c>
    </row>
    <row r="3138" spans="1:9" ht="15" customHeight="1" x14ac:dyDescent="0.25">
      <c r="A3138" s="7">
        <v>3137</v>
      </c>
      <c r="B3138" s="1">
        <v>43560</v>
      </c>
      <c r="C3138" s="6" t="s">
        <v>10</v>
      </c>
      <c r="D3138" s="6" t="s">
        <v>17</v>
      </c>
      <c r="E3138" s="6">
        <v>1</v>
      </c>
      <c r="F3138" s="6">
        <v>3</v>
      </c>
      <c r="G3138" s="6" t="s">
        <v>13</v>
      </c>
      <c r="H3138" s="6" t="s">
        <v>11</v>
      </c>
      <c r="I3138" s="6">
        <f>TabJogos[[#This Row],[PontosTime1]]-TabJogos[[#This Row],[PontosTime2]]</f>
        <v>-2</v>
      </c>
    </row>
    <row r="3139" spans="1:9" ht="15" customHeight="1" x14ac:dyDescent="0.25">
      <c r="A3139" s="7">
        <v>3138</v>
      </c>
      <c r="B3139" s="1">
        <v>43560</v>
      </c>
      <c r="C3139" s="6" t="s">
        <v>11</v>
      </c>
      <c r="D3139" s="6" t="s">
        <v>17</v>
      </c>
      <c r="E3139" s="6">
        <v>4</v>
      </c>
      <c r="F3139" s="6">
        <v>0</v>
      </c>
      <c r="G3139" s="6" t="s">
        <v>13</v>
      </c>
      <c r="H3139" s="6" t="s">
        <v>41</v>
      </c>
      <c r="I3139" s="6">
        <f>TabJogos[[#This Row],[PontosTime1]]-TabJogos[[#This Row],[PontosTime2]]</f>
        <v>4</v>
      </c>
    </row>
    <row r="3140" spans="1:9" ht="15" customHeight="1" x14ac:dyDescent="0.25">
      <c r="A3140" s="7">
        <v>3139</v>
      </c>
      <c r="B3140" s="1">
        <v>43560</v>
      </c>
      <c r="C3140" s="6" t="s">
        <v>11</v>
      </c>
      <c r="D3140" s="6" t="s">
        <v>41</v>
      </c>
      <c r="E3140" s="6">
        <v>4</v>
      </c>
      <c r="F3140" s="6">
        <v>0</v>
      </c>
      <c r="G3140" s="6" t="s">
        <v>18</v>
      </c>
      <c r="H3140" s="6" t="s">
        <v>13</v>
      </c>
      <c r="I3140" s="6">
        <f>TabJogos[[#This Row],[PontosTime1]]-TabJogos[[#This Row],[PontosTime2]]</f>
        <v>4</v>
      </c>
    </row>
    <row r="3141" spans="1:9" ht="15" customHeight="1" x14ac:dyDescent="0.25">
      <c r="A3141" s="7">
        <v>3140</v>
      </c>
      <c r="B3141" s="1">
        <v>43560</v>
      </c>
      <c r="C3141" s="6" t="s">
        <v>11</v>
      </c>
      <c r="D3141" s="6" t="s">
        <v>18</v>
      </c>
      <c r="E3141" s="6">
        <v>4</v>
      </c>
      <c r="F3141" s="6">
        <v>1</v>
      </c>
      <c r="G3141" s="6" t="s">
        <v>17</v>
      </c>
      <c r="H3141" s="6" t="s">
        <v>41</v>
      </c>
      <c r="I3141" s="6">
        <f>TabJogos[[#This Row],[PontosTime1]]-TabJogos[[#This Row],[PontosTime2]]</f>
        <v>3</v>
      </c>
    </row>
    <row r="3142" spans="1:9" ht="15" customHeight="1" x14ac:dyDescent="0.25">
      <c r="A3142" s="7">
        <v>3141</v>
      </c>
      <c r="B3142" s="1">
        <v>43560</v>
      </c>
      <c r="C3142" s="6" t="s">
        <v>11</v>
      </c>
      <c r="D3142" s="6" t="s">
        <v>28</v>
      </c>
      <c r="E3142" s="6">
        <v>3</v>
      </c>
      <c r="F3142" s="6">
        <v>0</v>
      </c>
      <c r="G3142" s="6" t="s">
        <v>32</v>
      </c>
      <c r="H3142" s="6" t="s">
        <v>18</v>
      </c>
      <c r="I3142" s="6">
        <f>TabJogos[[#This Row],[PontosTime1]]-TabJogos[[#This Row],[PontosTime2]]</f>
        <v>3</v>
      </c>
    </row>
    <row r="3143" spans="1:9" ht="15" customHeight="1" x14ac:dyDescent="0.25">
      <c r="A3143" s="7">
        <v>3142</v>
      </c>
      <c r="B3143" s="1">
        <v>43560</v>
      </c>
      <c r="C3143" s="6" t="s">
        <v>11</v>
      </c>
      <c r="D3143" s="6" t="s">
        <v>27</v>
      </c>
      <c r="E3143" s="6">
        <v>3</v>
      </c>
      <c r="F3143" s="6">
        <v>1</v>
      </c>
      <c r="G3143" s="6" t="s">
        <v>17</v>
      </c>
      <c r="H3143" s="6" t="s">
        <v>28</v>
      </c>
      <c r="I3143" s="6">
        <f>TabJogos[[#This Row],[PontosTime1]]-TabJogos[[#This Row],[PontosTime2]]</f>
        <v>2</v>
      </c>
    </row>
    <row r="3144" spans="1:9" ht="15" customHeight="1" x14ac:dyDescent="0.25">
      <c r="A3144" s="7">
        <v>3143</v>
      </c>
      <c r="B3144" s="1">
        <v>43560</v>
      </c>
      <c r="C3144" s="6" t="s">
        <v>11</v>
      </c>
      <c r="D3144" s="6" t="s">
        <v>13</v>
      </c>
      <c r="E3144" s="6">
        <v>1</v>
      </c>
      <c r="F3144" s="6">
        <v>3</v>
      </c>
      <c r="G3144" s="6" t="s">
        <v>41</v>
      </c>
      <c r="H3144" s="6" t="s">
        <v>27</v>
      </c>
      <c r="I3144" s="6">
        <f>TabJogos[[#This Row],[PontosTime1]]-TabJogos[[#This Row],[PontosTime2]]</f>
        <v>-2</v>
      </c>
    </row>
    <row r="3145" spans="1:9" ht="15" customHeight="1" x14ac:dyDescent="0.25">
      <c r="A3145" s="7">
        <v>3144</v>
      </c>
      <c r="B3145" s="1">
        <v>43560</v>
      </c>
      <c r="C3145" s="6" t="s">
        <v>18</v>
      </c>
      <c r="D3145" s="6" t="s">
        <v>27</v>
      </c>
      <c r="E3145" s="6">
        <v>0</v>
      </c>
      <c r="F3145" s="6">
        <v>3</v>
      </c>
      <c r="G3145" s="6" t="s">
        <v>41</v>
      </c>
      <c r="H3145" s="6" t="s">
        <v>32</v>
      </c>
      <c r="I3145" s="6">
        <f>TabJogos[[#This Row],[PontosTime1]]-TabJogos[[#This Row],[PontosTime2]]</f>
        <v>-3</v>
      </c>
    </row>
    <row r="3146" spans="1:9" ht="15" customHeight="1" x14ac:dyDescent="0.25">
      <c r="A3146" s="7">
        <v>3145</v>
      </c>
      <c r="B3146" s="1">
        <v>43560</v>
      </c>
      <c r="C3146" s="6" t="s">
        <v>32</v>
      </c>
      <c r="D3146" s="6" t="s">
        <v>17</v>
      </c>
      <c r="E3146" s="6">
        <v>3</v>
      </c>
      <c r="F3146" s="6">
        <v>1</v>
      </c>
      <c r="G3146" s="6" t="s">
        <v>41</v>
      </c>
      <c r="H3146" s="6" t="s">
        <v>28</v>
      </c>
      <c r="I3146" s="6">
        <f>TabJogos[[#This Row],[PontosTime1]]-TabJogos[[#This Row],[PontosTime2]]</f>
        <v>2</v>
      </c>
    </row>
    <row r="3147" spans="1:9" ht="15" customHeight="1" x14ac:dyDescent="0.25">
      <c r="A3147" s="7">
        <v>3146</v>
      </c>
      <c r="B3147" s="1">
        <v>43560</v>
      </c>
      <c r="C3147" s="6" t="s">
        <v>17</v>
      </c>
      <c r="D3147" s="6" t="s">
        <v>11</v>
      </c>
      <c r="E3147" s="6">
        <v>3</v>
      </c>
      <c r="F3147" s="6">
        <v>2</v>
      </c>
      <c r="G3147" s="6" t="s">
        <v>32</v>
      </c>
      <c r="H3147" s="6" t="s">
        <v>13</v>
      </c>
      <c r="I3147" s="6">
        <f>TabJogos[[#This Row],[PontosTime1]]-TabJogos[[#This Row],[PontosTime2]]</f>
        <v>1</v>
      </c>
    </row>
    <row r="3148" spans="1:9" ht="15" customHeight="1" x14ac:dyDescent="0.25">
      <c r="A3148" s="7">
        <v>3147</v>
      </c>
      <c r="B3148" s="1">
        <v>43560</v>
      </c>
      <c r="C3148" s="6" t="s">
        <v>11</v>
      </c>
      <c r="D3148" s="6" t="s">
        <v>32</v>
      </c>
      <c r="E3148" s="6">
        <v>1</v>
      </c>
      <c r="F3148" s="6">
        <v>3</v>
      </c>
      <c r="G3148" s="6" t="s">
        <v>17</v>
      </c>
      <c r="H3148" s="6" t="s">
        <v>28</v>
      </c>
      <c r="I3148" s="6">
        <f>TabJogos[[#This Row],[PontosTime1]]-TabJogos[[#This Row],[PontosTime2]]</f>
        <v>-2</v>
      </c>
    </row>
    <row r="3149" spans="1:9" ht="15" customHeight="1" x14ac:dyDescent="0.25">
      <c r="A3149" s="7">
        <v>3148</v>
      </c>
      <c r="B3149" s="1">
        <v>43560</v>
      </c>
      <c r="C3149" s="6" t="s">
        <v>11</v>
      </c>
      <c r="D3149" s="6" t="s">
        <v>28</v>
      </c>
      <c r="E3149" s="6">
        <v>2</v>
      </c>
      <c r="F3149" s="6">
        <v>3</v>
      </c>
      <c r="G3149" s="6" t="s">
        <v>13</v>
      </c>
      <c r="H3149" s="6" t="s">
        <v>17</v>
      </c>
      <c r="I3149" s="6">
        <f>TabJogos[[#This Row],[PontosTime1]]-TabJogos[[#This Row],[PontosTime2]]</f>
        <v>-1</v>
      </c>
    </row>
    <row r="3150" spans="1:9" ht="15" customHeight="1" x14ac:dyDescent="0.25">
      <c r="A3150" s="7">
        <v>3149</v>
      </c>
      <c r="B3150" s="1">
        <v>43563</v>
      </c>
      <c r="C3150" s="6" t="s">
        <v>59</v>
      </c>
      <c r="D3150" s="6" t="s">
        <v>11</v>
      </c>
      <c r="E3150" s="6">
        <v>2</v>
      </c>
      <c r="F3150" s="6">
        <v>3</v>
      </c>
      <c r="G3150" s="6" t="s">
        <v>17</v>
      </c>
      <c r="H3150" s="6" t="s">
        <v>28</v>
      </c>
      <c r="I3150" s="6">
        <f>TabJogos[[#This Row],[PontosTime1]]-TabJogos[[#This Row],[PontosTime2]]</f>
        <v>-1</v>
      </c>
    </row>
    <row r="3151" spans="1:9" ht="15" customHeight="1" x14ac:dyDescent="0.25">
      <c r="A3151" s="7">
        <v>3150</v>
      </c>
      <c r="B3151" s="1">
        <v>43563</v>
      </c>
      <c r="C3151" s="6" t="s">
        <v>11</v>
      </c>
      <c r="D3151" s="6" t="s">
        <v>28</v>
      </c>
      <c r="E3151" s="6">
        <v>0</v>
      </c>
      <c r="F3151" s="6">
        <v>4</v>
      </c>
      <c r="G3151" s="6" t="s">
        <v>17</v>
      </c>
      <c r="H3151" s="6" t="s">
        <v>59</v>
      </c>
      <c r="I3151" s="6">
        <f>TabJogos[[#This Row],[PontosTime1]]-TabJogos[[#This Row],[PontosTime2]]</f>
        <v>-4</v>
      </c>
    </row>
    <row r="3152" spans="1:9" ht="15" customHeight="1" x14ac:dyDescent="0.25">
      <c r="A3152" s="7">
        <v>3151</v>
      </c>
      <c r="B3152" s="1">
        <v>43563</v>
      </c>
      <c r="C3152" s="6" t="s">
        <v>28</v>
      </c>
      <c r="D3152" s="6" t="s">
        <v>59</v>
      </c>
      <c r="E3152" s="6">
        <v>3</v>
      </c>
      <c r="F3152" s="6">
        <v>0</v>
      </c>
      <c r="G3152" s="6" t="s">
        <v>11</v>
      </c>
      <c r="H3152" s="6" t="s">
        <v>17</v>
      </c>
      <c r="I3152" s="6">
        <f>TabJogos[[#This Row],[PontosTime1]]-TabJogos[[#This Row],[PontosTime2]]</f>
        <v>3</v>
      </c>
    </row>
    <row r="3153" spans="1:9" ht="15" customHeight="1" x14ac:dyDescent="0.25">
      <c r="A3153" s="7">
        <v>3152</v>
      </c>
      <c r="B3153" s="1">
        <v>43563</v>
      </c>
      <c r="C3153" s="6" t="s">
        <v>28</v>
      </c>
      <c r="D3153" s="6" t="s">
        <v>32</v>
      </c>
      <c r="E3153" s="6">
        <v>0</v>
      </c>
      <c r="F3153" s="6">
        <v>3</v>
      </c>
      <c r="G3153" s="6" t="s">
        <v>59</v>
      </c>
      <c r="H3153" s="6" t="s">
        <v>11</v>
      </c>
      <c r="I3153" s="6">
        <f>TabJogos[[#This Row],[PontosTime1]]-TabJogos[[#This Row],[PontosTime2]]</f>
        <v>-3</v>
      </c>
    </row>
    <row r="3154" spans="1:9" ht="15" customHeight="1" x14ac:dyDescent="0.25">
      <c r="A3154" s="7">
        <v>3153</v>
      </c>
      <c r="B3154" s="1">
        <v>43563</v>
      </c>
      <c r="C3154" s="6" t="s">
        <v>11</v>
      </c>
      <c r="D3154" s="6" t="s">
        <v>32</v>
      </c>
      <c r="E3154" s="6">
        <v>2</v>
      </c>
      <c r="F3154" s="6">
        <v>3</v>
      </c>
      <c r="G3154" s="6" t="s">
        <v>59</v>
      </c>
      <c r="H3154" s="6" t="s">
        <v>17</v>
      </c>
      <c r="I3154" s="6">
        <f>TabJogos[[#This Row],[PontosTime1]]-TabJogos[[#This Row],[PontosTime2]]</f>
        <v>-1</v>
      </c>
    </row>
    <row r="3155" spans="1:9" ht="15" customHeight="1" x14ac:dyDescent="0.25">
      <c r="A3155" s="7">
        <v>3154</v>
      </c>
      <c r="B3155" s="1">
        <v>43563</v>
      </c>
      <c r="C3155" s="6" t="s">
        <v>9</v>
      </c>
      <c r="D3155" s="6" t="s">
        <v>59</v>
      </c>
      <c r="E3155" s="6">
        <v>1</v>
      </c>
      <c r="F3155" s="6">
        <v>3</v>
      </c>
      <c r="G3155" s="6" t="s">
        <v>17</v>
      </c>
      <c r="H3155" s="6" t="s">
        <v>28</v>
      </c>
      <c r="I3155" s="6">
        <f>TabJogos[[#This Row],[PontosTime1]]-TabJogos[[#This Row],[PontosTime2]]</f>
        <v>-2</v>
      </c>
    </row>
    <row r="3156" spans="1:9" ht="15" customHeight="1" x14ac:dyDescent="0.25">
      <c r="A3156" s="7">
        <v>3155</v>
      </c>
      <c r="B3156" s="1">
        <v>43563</v>
      </c>
      <c r="C3156" s="6" t="s">
        <v>59</v>
      </c>
      <c r="D3156" s="6" t="s">
        <v>28</v>
      </c>
      <c r="E3156" s="6">
        <v>4</v>
      </c>
      <c r="F3156" s="6">
        <v>0</v>
      </c>
      <c r="G3156" s="6" t="s">
        <v>17</v>
      </c>
      <c r="H3156" s="6" t="s">
        <v>11</v>
      </c>
      <c r="I3156" s="6">
        <f>TabJogos[[#This Row],[PontosTime1]]-TabJogos[[#This Row],[PontosTime2]]</f>
        <v>4</v>
      </c>
    </row>
    <row r="3157" spans="1:9" ht="15" customHeight="1" x14ac:dyDescent="0.25">
      <c r="A3157" s="7">
        <v>3156</v>
      </c>
      <c r="B3157" s="1">
        <v>43564</v>
      </c>
      <c r="C3157" s="6" t="s">
        <v>13</v>
      </c>
      <c r="D3157" s="6" t="s">
        <v>17</v>
      </c>
      <c r="E3157" s="6">
        <v>1</v>
      </c>
      <c r="F3157" s="6">
        <v>3</v>
      </c>
      <c r="G3157" s="6" t="s">
        <v>27</v>
      </c>
      <c r="H3157" s="6" t="s">
        <v>9</v>
      </c>
      <c r="I3157" s="6">
        <f>TabJogos[[#This Row],[PontosTime1]]-TabJogos[[#This Row],[PontosTime2]]</f>
        <v>-2</v>
      </c>
    </row>
    <row r="3158" spans="1:9" ht="15" customHeight="1" x14ac:dyDescent="0.25">
      <c r="A3158" s="7">
        <v>3157</v>
      </c>
      <c r="B3158" s="1">
        <v>43564</v>
      </c>
      <c r="C3158" s="6" t="s">
        <v>13</v>
      </c>
      <c r="D3158" s="6" t="s">
        <v>9</v>
      </c>
      <c r="E3158" s="6">
        <v>3</v>
      </c>
      <c r="F3158" s="6">
        <v>1</v>
      </c>
      <c r="G3158" s="6" t="s">
        <v>27</v>
      </c>
      <c r="H3158" s="6" t="s">
        <v>11</v>
      </c>
      <c r="I3158" s="6">
        <f>TabJogos[[#This Row],[PontosTime1]]-TabJogos[[#This Row],[PontosTime2]]</f>
        <v>2</v>
      </c>
    </row>
    <row r="3159" spans="1:9" ht="15" customHeight="1" x14ac:dyDescent="0.25">
      <c r="A3159" s="7">
        <v>3158</v>
      </c>
      <c r="B3159" s="1">
        <v>43564</v>
      </c>
      <c r="C3159" s="6" t="s">
        <v>13</v>
      </c>
      <c r="D3159" s="6" t="s">
        <v>27</v>
      </c>
      <c r="E3159" s="6">
        <v>3</v>
      </c>
      <c r="F3159" s="6">
        <v>0</v>
      </c>
      <c r="G3159" s="6" t="s">
        <v>17</v>
      </c>
      <c r="H3159" s="6" t="s">
        <v>9</v>
      </c>
      <c r="I3159" s="6">
        <f>TabJogos[[#This Row],[PontosTime1]]-TabJogos[[#This Row],[PontosTime2]]</f>
        <v>3</v>
      </c>
    </row>
    <row r="3160" spans="1:9" ht="15" customHeight="1" x14ac:dyDescent="0.25">
      <c r="A3160" s="7">
        <v>3159</v>
      </c>
      <c r="B3160" s="1">
        <v>43564</v>
      </c>
      <c r="C3160" s="6" t="s">
        <v>27</v>
      </c>
      <c r="D3160" s="6" t="s">
        <v>41</v>
      </c>
      <c r="E3160" s="6">
        <v>4</v>
      </c>
      <c r="F3160" s="6">
        <v>2</v>
      </c>
      <c r="G3160" s="6" t="s">
        <v>13</v>
      </c>
      <c r="H3160" s="6" t="s">
        <v>11</v>
      </c>
      <c r="I3160" s="6">
        <f>TabJogos[[#This Row],[PontosTime1]]-TabJogos[[#This Row],[PontosTime2]]</f>
        <v>2</v>
      </c>
    </row>
    <row r="3161" spans="1:9" ht="15" customHeight="1" x14ac:dyDescent="0.25">
      <c r="A3161" s="7">
        <v>3160</v>
      </c>
      <c r="B3161" s="1">
        <v>43564</v>
      </c>
      <c r="C3161" s="6" t="s">
        <v>27</v>
      </c>
      <c r="D3161" s="6" t="s">
        <v>28</v>
      </c>
      <c r="E3161" s="6">
        <v>4</v>
      </c>
      <c r="F3161" s="6">
        <v>1</v>
      </c>
      <c r="G3161" s="6" t="s">
        <v>9</v>
      </c>
      <c r="H3161" s="6" t="s">
        <v>41</v>
      </c>
      <c r="I3161" s="6">
        <f>TabJogos[[#This Row],[PontosTime1]]-TabJogos[[#This Row],[PontosTime2]]</f>
        <v>3</v>
      </c>
    </row>
    <row r="3162" spans="1:9" ht="15" customHeight="1" x14ac:dyDescent="0.25">
      <c r="A3162" s="7">
        <v>3161</v>
      </c>
      <c r="B3162" s="1">
        <v>43564</v>
      </c>
      <c r="C3162" s="6" t="s">
        <v>11</v>
      </c>
      <c r="D3162" s="6" t="s">
        <v>28</v>
      </c>
      <c r="E3162" s="6">
        <v>3</v>
      </c>
      <c r="F3162" s="6">
        <v>1</v>
      </c>
      <c r="G3162" s="6" t="s">
        <v>17</v>
      </c>
      <c r="H3162" s="6" t="s">
        <v>27</v>
      </c>
      <c r="I3162" s="6">
        <f>TabJogos[[#This Row],[PontosTime1]]-TabJogos[[#This Row],[PontosTime2]]</f>
        <v>2</v>
      </c>
    </row>
    <row r="3163" spans="1:9" ht="15" customHeight="1" x14ac:dyDescent="0.25">
      <c r="A3163" s="7">
        <v>3162</v>
      </c>
      <c r="B3163" s="1">
        <v>43564</v>
      </c>
      <c r="C3163" s="6" t="s">
        <v>13</v>
      </c>
      <c r="D3163" s="6" t="s">
        <v>28</v>
      </c>
      <c r="E3163" s="6">
        <v>1</v>
      </c>
      <c r="F3163" s="6">
        <v>3</v>
      </c>
      <c r="G3163" s="6" t="s">
        <v>9</v>
      </c>
      <c r="H3163" s="6" t="s">
        <v>11</v>
      </c>
      <c r="I3163" s="6">
        <f>TabJogos[[#This Row],[PontosTime1]]-TabJogos[[#This Row],[PontosTime2]]</f>
        <v>-2</v>
      </c>
    </row>
    <row r="3164" spans="1:9" ht="15" customHeight="1" x14ac:dyDescent="0.25">
      <c r="A3164" s="7">
        <v>3163</v>
      </c>
      <c r="B3164" s="1">
        <v>43564</v>
      </c>
      <c r="C3164" s="6" t="s">
        <v>11</v>
      </c>
      <c r="D3164" s="6" t="s">
        <v>41</v>
      </c>
      <c r="E3164" s="6">
        <v>3</v>
      </c>
      <c r="F3164" s="6">
        <v>2</v>
      </c>
      <c r="G3164" s="6" t="s">
        <v>27</v>
      </c>
      <c r="H3164" s="6" t="s">
        <v>9</v>
      </c>
      <c r="I3164" s="6">
        <f>TabJogos[[#This Row],[PontosTime1]]-TabJogos[[#This Row],[PontosTime2]]</f>
        <v>1</v>
      </c>
    </row>
    <row r="3165" spans="1:9" ht="15" customHeight="1" x14ac:dyDescent="0.25">
      <c r="A3165" s="7">
        <v>3164</v>
      </c>
      <c r="B3165" s="1">
        <v>43564</v>
      </c>
      <c r="C3165" s="6" t="s">
        <v>11</v>
      </c>
      <c r="D3165" s="6" t="s">
        <v>17</v>
      </c>
      <c r="E3165" s="6">
        <v>3</v>
      </c>
      <c r="F3165" s="6">
        <v>0</v>
      </c>
      <c r="G3165" s="6" t="s">
        <v>41</v>
      </c>
      <c r="H3165" s="6" t="s">
        <v>28</v>
      </c>
      <c r="I3165" s="6">
        <f>TabJogos[[#This Row],[PontosTime1]]-TabJogos[[#This Row],[PontosTime2]]</f>
        <v>3</v>
      </c>
    </row>
    <row r="3166" spans="1:9" ht="15" customHeight="1" x14ac:dyDescent="0.25">
      <c r="A3166" s="7">
        <v>3165</v>
      </c>
      <c r="B3166" s="1">
        <v>43564</v>
      </c>
      <c r="C3166" s="6" t="s">
        <v>11</v>
      </c>
      <c r="D3166" s="6" t="s">
        <v>27</v>
      </c>
      <c r="E3166" s="6">
        <v>3</v>
      </c>
      <c r="F3166" s="6">
        <v>0</v>
      </c>
      <c r="G3166" s="6" t="s">
        <v>17</v>
      </c>
      <c r="H3166" s="6" t="s">
        <v>13</v>
      </c>
      <c r="I3166" s="6">
        <f>TabJogos[[#This Row],[PontosTime1]]-TabJogos[[#This Row],[PontosTime2]]</f>
        <v>3</v>
      </c>
    </row>
    <row r="3167" spans="1:9" ht="15" customHeight="1" x14ac:dyDescent="0.25">
      <c r="A3167" s="7">
        <v>3166</v>
      </c>
      <c r="B3167" s="1">
        <v>43564</v>
      </c>
      <c r="C3167" s="6" t="s">
        <v>11</v>
      </c>
      <c r="D3167" s="6" t="s">
        <v>9</v>
      </c>
      <c r="E3167" s="6">
        <v>4</v>
      </c>
      <c r="F3167" s="6">
        <v>0</v>
      </c>
      <c r="G3167" s="6" t="s">
        <v>41</v>
      </c>
      <c r="H3167" s="6" t="s">
        <v>27</v>
      </c>
      <c r="I3167" s="6">
        <f>TabJogos[[#This Row],[PontosTime1]]-TabJogos[[#This Row],[PontosTime2]]</f>
        <v>4</v>
      </c>
    </row>
    <row r="3168" spans="1:9" ht="15" customHeight="1" x14ac:dyDescent="0.25">
      <c r="A3168" s="7">
        <v>3167</v>
      </c>
      <c r="B3168" s="1">
        <v>43564</v>
      </c>
      <c r="C3168" s="6" t="s">
        <v>11</v>
      </c>
      <c r="D3168" s="6" t="s">
        <v>13</v>
      </c>
      <c r="E3168" s="6">
        <v>3</v>
      </c>
      <c r="F3168" s="6">
        <v>2</v>
      </c>
      <c r="G3168" s="6" t="s">
        <v>27</v>
      </c>
      <c r="H3168" s="6" t="s">
        <v>9</v>
      </c>
      <c r="I3168" s="6">
        <f>TabJogos[[#This Row],[PontosTime1]]-TabJogos[[#This Row],[PontosTime2]]</f>
        <v>1</v>
      </c>
    </row>
    <row r="3169" spans="1:9" ht="15" customHeight="1" x14ac:dyDescent="0.25">
      <c r="A3169" s="7">
        <v>3168</v>
      </c>
      <c r="B3169" s="1">
        <v>43564</v>
      </c>
      <c r="C3169" s="6" t="s">
        <v>11</v>
      </c>
      <c r="D3169" s="6" t="s">
        <v>27</v>
      </c>
      <c r="E3169" s="6">
        <v>0</v>
      </c>
      <c r="F3169" s="6">
        <v>3</v>
      </c>
      <c r="G3169" s="6" t="s">
        <v>9</v>
      </c>
      <c r="H3169" s="6" t="s">
        <v>13</v>
      </c>
      <c r="I3169" s="6">
        <f>TabJogos[[#This Row],[PontosTime1]]-TabJogos[[#This Row],[PontosTime2]]</f>
        <v>-3</v>
      </c>
    </row>
    <row r="3170" spans="1:9" ht="15" customHeight="1" x14ac:dyDescent="0.25">
      <c r="A3170" s="7">
        <v>3169</v>
      </c>
      <c r="B3170" s="1">
        <v>43565</v>
      </c>
      <c r="C3170" s="6" t="s">
        <v>11</v>
      </c>
      <c r="D3170" s="6" t="s">
        <v>18</v>
      </c>
      <c r="E3170" s="6">
        <v>3</v>
      </c>
      <c r="F3170" s="6">
        <v>2</v>
      </c>
      <c r="G3170" s="6" t="s">
        <v>17</v>
      </c>
      <c r="H3170" s="6" t="s">
        <v>13</v>
      </c>
      <c r="I3170" s="6">
        <f>TabJogos[[#This Row],[PontosTime1]]-TabJogos[[#This Row],[PontosTime2]]</f>
        <v>1</v>
      </c>
    </row>
    <row r="3171" spans="1:9" ht="15" customHeight="1" x14ac:dyDescent="0.25">
      <c r="A3171" s="7">
        <v>3170</v>
      </c>
      <c r="B3171" s="1">
        <v>43565</v>
      </c>
      <c r="C3171" s="6" t="s">
        <v>17</v>
      </c>
      <c r="D3171" s="6" t="s">
        <v>18</v>
      </c>
      <c r="E3171" s="6">
        <v>1</v>
      </c>
      <c r="F3171" s="6">
        <v>4</v>
      </c>
      <c r="G3171" s="6" t="s">
        <v>13</v>
      </c>
      <c r="H3171" s="6" t="s">
        <v>11</v>
      </c>
      <c r="I3171" s="6">
        <f>TabJogos[[#This Row],[PontosTime1]]-TabJogos[[#This Row],[PontosTime2]]</f>
        <v>-3</v>
      </c>
    </row>
    <row r="3172" spans="1:9" ht="15" customHeight="1" x14ac:dyDescent="0.25">
      <c r="A3172" s="7">
        <v>3171</v>
      </c>
      <c r="B3172" s="1">
        <v>43565</v>
      </c>
      <c r="C3172" s="6" t="s">
        <v>41</v>
      </c>
      <c r="D3172" s="6" t="s">
        <v>11</v>
      </c>
      <c r="E3172" s="6">
        <v>0</v>
      </c>
      <c r="F3172" s="6">
        <v>4</v>
      </c>
      <c r="G3172" s="6" t="s">
        <v>13</v>
      </c>
      <c r="H3172" s="6" t="s">
        <v>18</v>
      </c>
      <c r="I3172" s="6">
        <f>TabJogos[[#This Row],[PontosTime1]]-TabJogos[[#This Row],[PontosTime2]]</f>
        <v>-4</v>
      </c>
    </row>
    <row r="3173" spans="1:9" ht="15" customHeight="1" x14ac:dyDescent="0.25">
      <c r="A3173" s="7">
        <v>3172</v>
      </c>
      <c r="B3173" s="1">
        <v>43565</v>
      </c>
      <c r="C3173" s="6" t="s">
        <v>13</v>
      </c>
      <c r="D3173" s="6" t="s">
        <v>41</v>
      </c>
      <c r="E3173" s="6">
        <v>3</v>
      </c>
      <c r="F3173" s="6">
        <v>1</v>
      </c>
      <c r="G3173" s="6" t="s">
        <v>11</v>
      </c>
      <c r="H3173" s="6" t="s">
        <v>18</v>
      </c>
      <c r="I3173" s="6">
        <f>TabJogos[[#This Row],[PontosTime1]]-TabJogos[[#This Row],[PontosTime2]]</f>
        <v>2</v>
      </c>
    </row>
    <row r="3174" spans="1:9" ht="15" customHeight="1" x14ac:dyDescent="0.25">
      <c r="A3174" s="7">
        <v>3173</v>
      </c>
      <c r="B3174" s="1">
        <v>43565</v>
      </c>
      <c r="C3174" s="6" t="s">
        <v>13</v>
      </c>
      <c r="D3174" s="6" t="s">
        <v>11</v>
      </c>
      <c r="E3174" s="6">
        <v>0</v>
      </c>
      <c r="F3174" s="6">
        <v>3</v>
      </c>
      <c r="G3174" s="6" t="s">
        <v>41</v>
      </c>
      <c r="H3174" s="6" t="s">
        <v>18</v>
      </c>
      <c r="I3174" s="6">
        <f>TabJogos[[#This Row],[PontosTime1]]-TabJogos[[#This Row],[PontosTime2]]</f>
        <v>-3</v>
      </c>
    </row>
    <row r="3175" spans="1:9" ht="15" customHeight="1" x14ac:dyDescent="0.25">
      <c r="A3175" s="7">
        <v>3174</v>
      </c>
      <c r="B3175" s="1">
        <v>43565</v>
      </c>
      <c r="C3175" s="6" t="s">
        <v>13</v>
      </c>
      <c r="D3175" s="6" t="s">
        <v>18</v>
      </c>
      <c r="E3175" s="6">
        <v>4</v>
      </c>
      <c r="F3175" s="6">
        <v>2</v>
      </c>
      <c r="G3175" s="6" t="s">
        <v>41</v>
      </c>
      <c r="H3175" s="6" t="s">
        <v>11</v>
      </c>
      <c r="I3175" s="6">
        <f>TabJogos[[#This Row],[PontosTime1]]-TabJogos[[#This Row],[PontosTime2]]</f>
        <v>2</v>
      </c>
    </row>
    <row r="3176" spans="1:9" ht="15" customHeight="1" x14ac:dyDescent="0.25">
      <c r="A3176" s="7">
        <v>3175</v>
      </c>
      <c r="B3176" s="1">
        <v>43565</v>
      </c>
      <c r="C3176" s="6" t="s">
        <v>11</v>
      </c>
      <c r="D3176" s="6" t="s">
        <v>18</v>
      </c>
      <c r="E3176" s="6">
        <v>3</v>
      </c>
      <c r="F3176" s="6">
        <v>2</v>
      </c>
      <c r="G3176" s="6" t="s">
        <v>41</v>
      </c>
      <c r="H3176" s="6" t="s">
        <v>13</v>
      </c>
      <c r="I3176" s="6">
        <f>TabJogos[[#This Row],[PontosTime1]]-TabJogos[[#This Row],[PontosTime2]]</f>
        <v>1</v>
      </c>
    </row>
    <row r="3177" spans="1:9" ht="15" customHeight="1" x14ac:dyDescent="0.25">
      <c r="A3177" s="7">
        <v>3176</v>
      </c>
      <c r="B3177" s="1">
        <v>43565</v>
      </c>
      <c r="C3177" s="6" t="s">
        <v>13</v>
      </c>
      <c r="D3177" s="6" t="s">
        <v>11</v>
      </c>
      <c r="E3177" s="6">
        <v>2</v>
      </c>
      <c r="F3177" s="6">
        <v>3</v>
      </c>
      <c r="G3177" s="6" t="s">
        <v>18</v>
      </c>
      <c r="H3177" s="6" t="s">
        <v>41</v>
      </c>
      <c r="I3177" s="6">
        <f>TabJogos[[#This Row],[PontosTime1]]-TabJogos[[#This Row],[PontosTime2]]</f>
        <v>-1</v>
      </c>
    </row>
    <row r="3178" spans="1:9" ht="15" customHeight="1" x14ac:dyDescent="0.25">
      <c r="A3178" s="7">
        <v>3177</v>
      </c>
      <c r="B3178" s="1">
        <v>43565</v>
      </c>
      <c r="C3178" s="6" t="s">
        <v>11</v>
      </c>
      <c r="D3178" s="6" t="s">
        <v>41</v>
      </c>
      <c r="E3178" s="6">
        <v>5</v>
      </c>
      <c r="F3178" s="6">
        <v>1</v>
      </c>
      <c r="G3178" s="6" t="s">
        <v>13</v>
      </c>
      <c r="H3178" s="6" t="s">
        <v>18</v>
      </c>
      <c r="I3178" s="6">
        <f>TabJogos[[#This Row],[PontosTime1]]-TabJogos[[#This Row],[PontosTime2]]</f>
        <v>4</v>
      </c>
    </row>
    <row r="3179" spans="1:9" ht="15" customHeight="1" x14ac:dyDescent="0.25">
      <c r="A3179" s="7">
        <v>3178</v>
      </c>
      <c r="B3179" s="1">
        <v>43565</v>
      </c>
      <c r="C3179" s="6" t="s">
        <v>11</v>
      </c>
      <c r="D3179" s="6" t="s">
        <v>18</v>
      </c>
      <c r="E3179" s="6">
        <v>3</v>
      </c>
      <c r="F3179" s="6">
        <v>0</v>
      </c>
      <c r="G3179" s="6" t="s">
        <v>41</v>
      </c>
      <c r="H3179" s="6" t="s">
        <v>13</v>
      </c>
      <c r="I3179" s="6">
        <f>TabJogos[[#This Row],[PontosTime1]]-TabJogos[[#This Row],[PontosTime2]]</f>
        <v>3</v>
      </c>
    </row>
    <row r="3180" spans="1:9" ht="15" customHeight="1" x14ac:dyDescent="0.25">
      <c r="A3180" s="7">
        <v>3179</v>
      </c>
      <c r="B3180" s="1">
        <v>43565</v>
      </c>
      <c r="C3180" s="6" t="s">
        <v>11</v>
      </c>
      <c r="D3180" s="6" t="s">
        <v>13</v>
      </c>
      <c r="E3180" s="6">
        <v>3</v>
      </c>
      <c r="F3180" s="6">
        <v>2</v>
      </c>
      <c r="G3180" s="6" t="s">
        <v>41</v>
      </c>
      <c r="H3180" s="6" t="s">
        <v>18</v>
      </c>
      <c r="I3180" s="6">
        <f>TabJogos[[#This Row],[PontosTime1]]-TabJogos[[#This Row],[PontosTime2]]</f>
        <v>1</v>
      </c>
    </row>
    <row r="3181" spans="1:9" ht="15" customHeight="1" x14ac:dyDescent="0.25">
      <c r="A3181" s="7">
        <v>3180</v>
      </c>
      <c r="B3181" s="1">
        <v>43565</v>
      </c>
      <c r="C3181" s="6" t="s">
        <v>13</v>
      </c>
      <c r="D3181" s="6" t="s">
        <v>18</v>
      </c>
      <c r="E3181" s="6">
        <v>3</v>
      </c>
      <c r="F3181" s="6">
        <v>1</v>
      </c>
      <c r="G3181" s="6" t="s">
        <v>11</v>
      </c>
      <c r="H3181" s="6" t="s">
        <v>41</v>
      </c>
      <c r="I3181" s="6">
        <f>TabJogos[[#This Row],[PontosTime1]]-TabJogos[[#This Row],[PontosTime2]]</f>
        <v>2</v>
      </c>
    </row>
    <row r="3182" spans="1:9" ht="15" customHeight="1" x14ac:dyDescent="0.25">
      <c r="A3182" s="7">
        <v>3181</v>
      </c>
      <c r="B3182" s="1">
        <v>43565</v>
      </c>
      <c r="C3182" s="6" t="s">
        <v>11</v>
      </c>
      <c r="D3182" s="6" t="s">
        <v>18</v>
      </c>
      <c r="E3182" s="6">
        <v>2</v>
      </c>
      <c r="F3182" s="6">
        <v>3</v>
      </c>
      <c r="G3182" s="6" t="s">
        <v>13</v>
      </c>
      <c r="H3182" s="6" t="s">
        <v>41</v>
      </c>
      <c r="I3182" s="6">
        <f>TabJogos[[#This Row],[PontosTime1]]-TabJogos[[#This Row],[PontosTime2]]</f>
        <v>-1</v>
      </c>
    </row>
    <row r="3183" spans="1:9" ht="15" customHeight="1" x14ac:dyDescent="0.25">
      <c r="A3183" s="7">
        <v>3182</v>
      </c>
      <c r="B3183" s="1">
        <v>43565</v>
      </c>
      <c r="C3183" s="6" t="s">
        <v>9</v>
      </c>
      <c r="D3183" s="6" t="s">
        <v>18</v>
      </c>
      <c r="E3183" s="6">
        <v>2</v>
      </c>
      <c r="F3183" s="6">
        <v>3</v>
      </c>
      <c r="G3183" s="6" t="s">
        <v>13</v>
      </c>
      <c r="H3183" s="6" t="s">
        <v>11</v>
      </c>
      <c r="I3183" s="6">
        <f>TabJogos[[#This Row],[PontosTime1]]-TabJogos[[#This Row],[PontosTime2]]</f>
        <v>-1</v>
      </c>
    </row>
    <row r="3184" spans="1:9" ht="15" customHeight="1" x14ac:dyDescent="0.25">
      <c r="A3184" s="7">
        <v>3183</v>
      </c>
      <c r="B3184" s="1">
        <v>43565</v>
      </c>
      <c r="C3184" s="6" t="s">
        <v>11</v>
      </c>
      <c r="D3184" s="6" t="s">
        <v>9</v>
      </c>
      <c r="E3184" s="6">
        <v>4</v>
      </c>
      <c r="F3184" s="6">
        <v>1</v>
      </c>
      <c r="G3184" s="6" t="s">
        <v>13</v>
      </c>
      <c r="H3184" s="6" t="s">
        <v>18</v>
      </c>
      <c r="I3184" s="6">
        <f>TabJogos[[#This Row],[PontosTime1]]-TabJogos[[#This Row],[PontosTime2]]</f>
        <v>3</v>
      </c>
    </row>
    <row r="3185" spans="1:9" ht="15" customHeight="1" x14ac:dyDescent="0.25">
      <c r="A3185" s="7">
        <v>3184</v>
      </c>
      <c r="B3185" s="1">
        <v>43565</v>
      </c>
      <c r="C3185" s="6" t="s">
        <v>11</v>
      </c>
      <c r="D3185" s="6" t="s">
        <v>18</v>
      </c>
      <c r="E3185" s="6">
        <v>4</v>
      </c>
      <c r="F3185" s="6">
        <v>0</v>
      </c>
      <c r="G3185" s="6" t="s">
        <v>13</v>
      </c>
      <c r="H3185" s="6" t="s">
        <v>9</v>
      </c>
      <c r="I3185" s="6">
        <f>TabJogos[[#This Row],[PontosTime1]]-TabJogos[[#This Row],[PontosTime2]]</f>
        <v>4</v>
      </c>
    </row>
    <row r="3186" spans="1:9" ht="15" customHeight="1" x14ac:dyDescent="0.25">
      <c r="A3186" s="7">
        <v>3185</v>
      </c>
      <c r="B3186" s="1">
        <v>43565</v>
      </c>
      <c r="C3186" s="6" t="s">
        <v>11</v>
      </c>
      <c r="D3186" s="6" t="s">
        <v>13</v>
      </c>
      <c r="E3186" s="6">
        <v>2</v>
      </c>
      <c r="F3186" s="6">
        <v>3</v>
      </c>
      <c r="G3186" s="6" t="s">
        <v>18</v>
      </c>
      <c r="H3186" s="6" t="s">
        <v>9</v>
      </c>
      <c r="I3186" s="6">
        <f>TabJogos[[#This Row],[PontosTime1]]-TabJogos[[#This Row],[PontosTime2]]</f>
        <v>-1</v>
      </c>
    </row>
    <row r="3187" spans="1:9" ht="15" customHeight="1" x14ac:dyDescent="0.25">
      <c r="A3187" s="7">
        <v>3186</v>
      </c>
      <c r="B3187" s="1">
        <v>43565</v>
      </c>
      <c r="C3187" s="6" t="s">
        <v>9</v>
      </c>
      <c r="D3187" s="6" t="s">
        <v>11</v>
      </c>
      <c r="E3187" s="6">
        <v>6</v>
      </c>
      <c r="F3187" s="6">
        <v>0</v>
      </c>
      <c r="G3187" s="6" t="s">
        <v>18</v>
      </c>
      <c r="H3187" s="6" t="s">
        <v>13</v>
      </c>
      <c r="I3187" s="6">
        <f>TabJogos[[#This Row],[PontosTime1]]-TabJogos[[#This Row],[PontosTime2]]</f>
        <v>6</v>
      </c>
    </row>
    <row r="3188" spans="1:9" ht="15" customHeight="1" x14ac:dyDescent="0.25">
      <c r="A3188" s="7">
        <v>3187</v>
      </c>
      <c r="B3188" s="1">
        <v>43565</v>
      </c>
      <c r="C3188" s="6" t="s">
        <v>11</v>
      </c>
      <c r="D3188" s="6" t="s">
        <v>18</v>
      </c>
      <c r="E3188" s="6">
        <v>3</v>
      </c>
      <c r="F3188" s="6">
        <v>2</v>
      </c>
      <c r="G3188" s="6" t="s">
        <v>13</v>
      </c>
      <c r="H3188" s="6" t="s">
        <v>9</v>
      </c>
      <c r="I3188" s="6">
        <f>TabJogos[[#This Row],[PontosTime1]]-TabJogos[[#This Row],[PontosTime2]]</f>
        <v>1</v>
      </c>
    </row>
    <row r="3189" spans="1:9" ht="15" customHeight="1" x14ac:dyDescent="0.25">
      <c r="A3189" s="7">
        <v>3188</v>
      </c>
      <c r="B3189" s="1">
        <v>43565</v>
      </c>
      <c r="C3189" s="6" t="s">
        <v>18</v>
      </c>
      <c r="D3189" s="6" t="s">
        <v>9</v>
      </c>
      <c r="E3189" s="6">
        <v>4</v>
      </c>
      <c r="F3189" s="6">
        <v>0</v>
      </c>
      <c r="G3189" s="6" t="s">
        <v>11</v>
      </c>
      <c r="H3189" s="6" t="s">
        <v>13</v>
      </c>
      <c r="I3189" s="6">
        <f>TabJogos[[#This Row],[PontosTime1]]-TabJogos[[#This Row],[PontosTime2]]</f>
        <v>4</v>
      </c>
    </row>
    <row r="3190" spans="1:9" ht="15" customHeight="1" x14ac:dyDescent="0.25">
      <c r="A3190" s="7">
        <v>3189</v>
      </c>
      <c r="B3190" s="1">
        <v>43565</v>
      </c>
      <c r="C3190" s="6" t="s">
        <v>18</v>
      </c>
      <c r="D3190" s="6" t="s">
        <v>13</v>
      </c>
      <c r="E3190" s="6">
        <v>4</v>
      </c>
      <c r="F3190" s="6">
        <v>1</v>
      </c>
      <c r="G3190" s="6" t="s">
        <v>11</v>
      </c>
      <c r="H3190" s="6" t="s">
        <v>9</v>
      </c>
      <c r="I3190" s="6">
        <f>TabJogos[[#This Row],[PontosTime1]]-TabJogos[[#This Row],[PontosTime2]]</f>
        <v>3</v>
      </c>
    </row>
    <row r="3191" spans="1:9" ht="15" customHeight="1" x14ac:dyDescent="0.25">
      <c r="A3191" s="7">
        <v>3190</v>
      </c>
      <c r="B3191" s="1">
        <v>43565</v>
      </c>
      <c r="C3191" s="6" t="s">
        <v>11</v>
      </c>
      <c r="D3191" s="6" t="s">
        <v>18</v>
      </c>
      <c r="E3191" s="6">
        <v>3</v>
      </c>
      <c r="F3191" s="6">
        <v>0</v>
      </c>
      <c r="G3191" s="6" t="s">
        <v>13</v>
      </c>
      <c r="H3191" s="6" t="s">
        <v>9</v>
      </c>
      <c r="I3191" s="6">
        <f>TabJogos[[#This Row],[PontosTime1]]-TabJogos[[#This Row],[PontosTime2]]</f>
        <v>3</v>
      </c>
    </row>
    <row r="3192" spans="1:9" ht="15" customHeight="1" x14ac:dyDescent="0.25">
      <c r="A3192" s="7">
        <v>3191</v>
      </c>
      <c r="B3192" s="1">
        <v>43566</v>
      </c>
      <c r="C3192" s="6" t="s">
        <v>13</v>
      </c>
      <c r="D3192" s="6" t="s">
        <v>16</v>
      </c>
      <c r="E3192" s="6">
        <v>3</v>
      </c>
      <c r="F3192" s="6">
        <v>1</v>
      </c>
      <c r="G3192" s="6" t="s">
        <v>11</v>
      </c>
      <c r="H3192" s="6" t="s">
        <v>28</v>
      </c>
      <c r="I3192" s="6">
        <f>TabJogos[[#This Row],[PontosTime1]]-TabJogos[[#This Row],[PontosTime2]]</f>
        <v>2</v>
      </c>
    </row>
    <row r="3193" spans="1:9" ht="15" customHeight="1" x14ac:dyDescent="0.25">
      <c r="A3193" s="7">
        <v>3192</v>
      </c>
      <c r="B3193" s="1">
        <v>43566</v>
      </c>
      <c r="C3193" s="6" t="s">
        <v>13</v>
      </c>
      <c r="D3193" s="6" t="s">
        <v>11</v>
      </c>
      <c r="E3193" s="6">
        <v>0</v>
      </c>
      <c r="F3193" s="6">
        <v>3</v>
      </c>
      <c r="G3193" s="6" t="s">
        <v>41</v>
      </c>
      <c r="H3193" s="6" t="s">
        <v>16</v>
      </c>
      <c r="I3193" s="6">
        <f>TabJogos[[#This Row],[PontosTime1]]-TabJogos[[#This Row],[PontosTime2]]</f>
        <v>-3</v>
      </c>
    </row>
    <row r="3194" spans="1:9" ht="15" customHeight="1" x14ac:dyDescent="0.25">
      <c r="A3194" s="7">
        <v>3193</v>
      </c>
      <c r="B3194" s="1">
        <v>43566</v>
      </c>
      <c r="C3194" s="6" t="s">
        <v>41</v>
      </c>
      <c r="D3194" s="6" t="s">
        <v>28</v>
      </c>
      <c r="E3194" s="6">
        <v>3</v>
      </c>
      <c r="F3194" s="6">
        <v>0</v>
      </c>
      <c r="G3194" s="6" t="s">
        <v>11</v>
      </c>
      <c r="H3194" s="6" t="s">
        <v>16</v>
      </c>
      <c r="I3194" s="6">
        <f>TabJogos[[#This Row],[PontosTime1]]-TabJogos[[#This Row],[PontosTime2]]</f>
        <v>3</v>
      </c>
    </row>
    <row r="3195" spans="1:9" ht="15" customHeight="1" x14ac:dyDescent="0.25">
      <c r="A3195" s="7">
        <v>3194</v>
      </c>
      <c r="B3195" s="1">
        <v>43566</v>
      </c>
      <c r="C3195" s="6" t="s">
        <v>41</v>
      </c>
      <c r="D3195" s="6" t="s">
        <v>13</v>
      </c>
      <c r="E3195" s="6">
        <v>3</v>
      </c>
      <c r="F3195" s="6">
        <v>1</v>
      </c>
      <c r="G3195" s="6" t="s">
        <v>41</v>
      </c>
      <c r="H3195" s="6" t="s">
        <v>28</v>
      </c>
      <c r="I3195" s="6">
        <f>TabJogos[[#This Row],[PontosTime1]]-TabJogos[[#This Row],[PontosTime2]]</f>
        <v>2</v>
      </c>
    </row>
    <row r="3196" spans="1:9" ht="15" customHeight="1" x14ac:dyDescent="0.25">
      <c r="A3196" s="7">
        <v>3195</v>
      </c>
      <c r="B3196" s="1">
        <v>43566</v>
      </c>
      <c r="C3196" s="6" t="s">
        <v>41</v>
      </c>
      <c r="D3196" s="6" t="s">
        <v>32</v>
      </c>
      <c r="E3196" s="6">
        <v>2</v>
      </c>
      <c r="F3196" s="6">
        <v>3</v>
      </c>
      <c r="G3196" s="6" t="s">
        <v>11</v>
      </c>
      <c r="H3196" s="6" t="s">
        <v>13</v>
      </c>
      <c r="I3196" s="6">
        <f>TabJogos[[#This Row],[PontosTime1]]-TabJogos[[#This Row],[PontosTime2]]</f>
        <v>-1</v>
      </c>
    </row>
    <row r="3197" spans="1:9" ht="15" customHeight="1" x14ac:dyDescent="0.25">
      <c r="A3197" s="7">
        <v>3196</v>
      </c>
      <c r="B3197" s="1">
        <v>43566</v>
      </c>
      <c r="C3197" s="6" t="s">
        <v>41</v>
      </c>
      <c r="D3197" s="6" t="s">
        <v>9</v>
      </c>
      <c r="E3197" s="6">
        <v>2</v>
      </c>
      <c r="F3197" s="6">
        <v>3</v>
      </c>
      <c r="G3197" s="6" t="s">
        <v>32</v>
      </c>
      <c r="H3197" s="6" t="s">
        <v>28</v>
      </c>
      <c r="I3197" s="6">
        <f>TabJogos[[#This Row],[PontosTime1]]-TabJogos[[#This Row],[PontosTime2]]</f>
        <v>-1</v>
      </c>
    </row>
    <row r="3198" spans="1:9" ht="15" customHeight="1" x14ac:dyDescent="0.25">
      <c r="A3198" s="7">
        <v>3197</v>
      </c>
      <c r="B3198" s="1">
        <v>43566</v>
      </c>
      <c r="C3198" s="6" t="s">
        <v>13</v>
      </c>
      <c r="D3198" s="6" t="s">
        <v>32</v>
      </c>
      <c r="E3198" s="6">
        <v>1</v>
      </c>
      <c r="F3198" s="6">
        <v>3</v>
      </c>
      <c r="G3198" s="6" t="s">
        <v>28</v>
      </c>
      <c r="H3198" s="6" t="s">
        <v>18</v>
      </c>
      <c r="I3198" s="6">
        <f>TabJogos[[#This Row],[PontosTime1]]-TabJogos[[#This Row],[PontosTime2]]</f>
        <v>-2</v>
      </c>
    </row>
    <row r="3199" spans="1:9" ht="15" customHeight="1" x14ac:dyDescent="0.25">
      <c r="A3199" s="7">
        <v>3198</v>
      </c>
      <c r="B3199" s="1">
        <v>43566</v>
      </c>
      <c r="C3199" s="6" t="s">
        <v>17</v>
      </c>
      <c r="D3199" s="6" t="s">
        <v>28</v>
      </c>
      <c r="E3199" s="6">
        <v>1</v>
      </c>
      <c r="F3199" s="6">
        <v>3</v>
      </c>
      <c r="G3199" s="6" t="s">
        <v>18</v>
      </c>
      <c r="H3199" s="6" t="s">
        <v>11</v>
      </c>
      <c r="I3199" s="6">
        <f>TabJogos[[#This Row],[PontosTime1]]-TabJogos[[#This Row],[PontosTime2]]</f>
        <v>-2</v>
      </c>
    </row>
    <row r="3200" spans="1:9" ht="15" customHeight="1" x14ac:dyDescent="0.25">
      <c r="A3200" s="7">
        <v>3199</v>
      </c>
      <c r="B3200" s="1">
        <v>43566</v>
      </c>
      <c r="C3200" s="6" t="s">
        <v>13</v>
      </c>
      <c r="D3200" s="6" t="s">
        <v>18</v>
      </c>
      <c r="E3200" s="6">
        <v>2</v>
      </c>
      <c r="F3200" s="6">
        <v>3</v>
      </c>
      <c r="G3200" s="6" t="s">
        <v>11</v>
      </c>
      <c r="H3200" s="6" t="s">
        <v>9</v>
      </c>
      <c r="I3200" s="6">
        <f>TabJogos[[#This Row],[PontosTime1]]-TabJogos[[#This Row],[PontosTime2]]</f>
        <v>-1</v>
      </c>
    </row>
    <row r="3201" spans="1:9" ht="15" customHeight="1" x14ac:dyDescent="0.25">
      <c r="A3201" s="7">
        <v>3200</v>
      </c>
      <c r="B3201" s="1">
        <v>43566</v>
      </c>
      <c r="C3201" s="6" t="s">
        <v>17</v>
      </c>
      <c r="D3201" s="6" t="s">
        <v>11</v>
      </c>
      <c r="E3201" s="6">
        <v>2</v>
      </c>
      <c r="F3201" s="6">
        <v>3</v>
      </c>
      <c r="G3201" s="6" t="s">
        <v>28</v>
      </c>
      <c r="H3201" s="6" t="s">
        <v>9</v>
      </c>
      <c r="I3201" s="6">
        <f>TabJogos[[#This Row],[PontosTime1]]-TabJogos[[#This Row],[PontosTime2]]</f>
        <v>-1</v>
      </c>
    </row>
    <row r="3202" spans="1:9" ht="15" customHeight="1" x14ac:dyDescent="0.25">
      <c r="A3202" s="7">
        <v>3201</v>
      </c>
      <c r="B3202" s="1">
        <v>43566</v>
      </c>
      <c r="C3202" s="6" t="s">
        <v>9</v>
      </c>
      <c r="D3202" s="6" t="s">
        <v>18</v>
      </c>
      <c r="E3202" s="6">
        <v>4</v>
      </c>
      <c r="F3202" s="6">
        <v>1</v>
      </c>
      <c r="G3202" s="6" t="s">
        <v>13</v>
      </c>
      <c r="H3202" s="6" t="s">
        <v>28</v>
      </c>
      <c r="I3202" s="6">
        <f>TabJogos[[#This Row],[PontosTime1]]-TabJogos[[#This Row],[PontosTime2]]</f>
        <v>3</v>
      </c>
    </row>
    <row r="3203" spans="1:9" ht="15" customHeight="1" x14ac:dyDescent="0.25">
      <c r="A3203" s="7">
        <v>3202</v>
      </c>
      <c r="B3203" s="1">
        <v>43566</v>
      </c>
      <c r="C3203" s="6" t="s">
        <v>9</v>
      </c>
      <c r="D3203" s="6" t="s">
        <v>13</v>
      </c>
      <c r="E3203" s="6">
        <v>3</v>
      </c>
      <c r="F3203" s="6">
        <v>0</v>
      </c>
      <c r="G3203" s="6" t="s">
        <v>11</v>
      </c>
      <c r="H3203" s="6" t="s">
        <v>18</v>
      </c>
      <c r="I3203" s="6">
        <f>TabJogos[[#This Row],[PontosTime1]]-TabJogos[[#This Row],[PontosTime2]]</f>
        <v>3</v>
      </c>
    </row>
    <row r="3204" spans="1:9" ht="15" customHeight="1" x14ac:dyDescent="0.25">
      <c r="A3204" s="7">
        <v>3203</v>
      </c>
      <c r="B3204" s="1">
        <v>43566</v>
      </c>
      <c r="C3204" s="6" t="s">
        <v>13</v>
      </c>
      <c r="D3204" s="6" t="s">
        <v>11</v>
      </c>
      <c r="E3204" s="6">
        <v>4</v>
      </c>
      <c r="F3204" s="6">
        <v>0</v>
      </c>
      <c r="G3204" s="6" t="s">
        <v>9</v>
      </c>
      <c r="H3204" s="6" t="s">
        <v>28</v>
      </c>
      <c r="I3204" s="6">
        <f>TabJogos[[#This Row],[PontosTime1]]-TabJogos[[#This Row],[PontosTime2]]</f>
        <v>4</v>
      </c>
    </row>
    <row r="3205" spans="1:9" ht="15" customHeight="1" x14ac:dyDescent="0.25">
      <c r="A3205" s="7">
        <v>3204</v>
      </c>
      <c r="B3205" s="1">
        <v>43566</v>
      </c>
      <c r="C3205" s="6" t="s">
        <v>18</v>
      </c>
      <c r="D3205" s="6" t="s">
        <v>13</v>
      </c>
      <c r="E3205" s="6">
        <v>1</v>
      </c>
      <c r="F3205" s="6">
        <v>3</v>
      </c>
      <c r="G3205" s="6" t="s">
        <v>11</v>
      </c>
      <c r="H3205" s="6" t="s">
        <v>28</v>
      </c>
      <c r="I3205" s="6">
        <f>TabJogos[[#This Row],[PontosTime1]]-TabJogos[[#This Row],[PontosTime2]]</f>
        <v>-2</v>
      </c>
    </row>
    <row r="3206" spans="1:9" ht="15" customHeight="1" x14ac:dyDescent="0.25">
      <c r="A3206" s="7">
        <v>3205</v>
      </c>
      <c r="B3206" s="1">
        <v>43566</v>
      </c>
      <c r="C3206" s="6" t="s">
        <v>13</v>
      </c>
      <c r="D3206" s="6" t="s">
        <v>28</v>
      </c>
      <c r="E3206" s="6">
        <v>3</v>
      </c>
      <c r="F3206" s="6">
        <v>0</v>
      </c>
      <c r="G3206" s="6" t="s">
        <v>11</v>
      </c>
      <c r="H3206" s="6" t="s">
        <v>18</v>
      </c>
      <c r="I3206" s="6">
        <f>TabJogos[[#This Row],[PontosTime1]]-TabJogos[[#This Row],[PontosTime2]]</f>
        <v>3</v>
      </c>
    </row>
    <row r="3207" spans="1:9" ht="15" customHeight="1" x14ac:dyDescent="0.25">
      <c r="A3207" s="7">
        <v>3206</v>
      </c>
      <c r="B3207" s="1">
        <v>43566</v>
      </c>
      <c r="C3207" s="6" t="s">
        <v>11</v>
      </c>
      <c r="D3207" s="6" t="s">
        <v>13</v>
      </c>
      <c r="E3207" s="6">
        <v>3</v>
      </c>
      <c r="F3207" s="6">
        <v>1</v>
      </c>
      <c r="G3207" s="6" t="s">
        <v>28</v>
      </c>
      <c r="H3207" s="6" t="s">
        <v>18</v>
      </c>
      <c r="I3207" s="6">
        <f>TabJogos[[#This Row],[PontosTime1]]-TabJogos[[#This Row],[PontosTime2]]</f>
        <v>2</v>
      </c>
    </row>
    <row r="3208" spans="1:9" ht="15" customHeight="1" x14ac:dyDescent="0.25">
      <c r="A3208" s="7">
        <v>3207</v>
      </c>
      <c r="B3208" s="1">
        <v>43566</v>
      </c>
      <c r="C3208" s="6" t="s">
        <v>11</v>
      </c>
      <c r="D3208" s="6" t="s">
        <v>28</v>
      </c>
      <c r="E3208" s="6">
        <v>3</v>
      </c>
      <c r="F3208" s="6">
        <v>2</v>
      </c>
      <c r="G3208" s="6" t="s">
        <v>18</v>
      </c>
      <c r="H3208" s="6" t="s">
        <v>13</v>
      </c>
      <c r="I3208" s="6">
        <f>TabJogos[[#This Row],[PontosTime1]]-TabJogos[[#This Row],[PontosTime2]]</f>
        <v>1</v>
      </c>
    </row>
    <row r="3209" spans="1:9" ht="15" customHeight="1" x14ac:dyDescent="0.25">
      <c r="A3209" s="7">
        <v>3208</v>
      </c>
      <c r="B3209" s="1">
        <v>43566</v>
      </c>
      <c r="C3209" s="6" t="s">
        <v>11</v>
      </c>
      <c r="D3209" s="6" t="s">
        <v>18</v>
      </c>
      <c r="E3209" s="6">
        <v>3</v>
      </c>
      <c r="F3209" s="6">
        <v>1</v>
      </c>
      <c r="G3209" s="6" t="s">
        <v>13</v>
      </c>
      <c r="H3209" s="6" t="s">
        <v>28</v>
      </c>
      <c r="I3209" s="6">
        <f>TabJogos[[#This Row],[PontosTime1]]-TabJogos[[#This Row],[PontosTime2]]</f>
        <v>2</v>
      </c>
    </row>
    <row r="3210" spans="1:9" ht="15" customHeight="1" x14ac:dyDescent="0.25">
      <c r="A3210" s="7">
        <v>3209</v>
      </c>
      <c r="B3210" s="1">
        <v>43567</v>
      </c>
      <c r="C3210" s="6" t="s">
        <v>32</v>
      </c>
      <c r="D3210" s="6" t="s">
        <v>28</v>
      </c>
      <c r="E3210" s="6">
        <v>3</v>
      </c>
      <c r="F3210" s="6">
        <v>1</v>
      </c>
      <c r="G3210" s="6" t="s">
        <v>13</v>
      </c>
      <c r="H3210" s="6" t="s">
        <v>11</v>
      </c>
      <c r="I3210" s="6">
        <f>TabJogos[[#This Row],[PontosTime1]]-TabJogos[[#This Row],[PontosTime2]]</f>
        <v>2</v>
      </c>
    </row>
    <row r="3211" spans="1:9" ht="15" customHeight="1" x14ac:dyDescent="0.25">
      <c r="A3211" s="7">
        <v>3210</v>
      </c>
      <c r="B3211" s="1">
        <v>43567</v>
      </c>
      <c r="C3211" s="6" t="s">
        <v>28</v>
      </c>
      <c r="D3211" s="6" t="s">
        <v>13</v>
      </c>
      <c r="E3211" s="6">
        <v>3</v>
      </c>
      <c r="F3211" s="6">
        <v>1</v>
      </c>
      <c r="G3211" s="6" t="s">
        <v>32</v>
      </c>
      <c r="H3211" s="6" t="s">
        <v>11</v>
      </c>
      <c r="I3211" s="6">
        <f>TabJogos[[#This Row],[PontosTime1]]-TabJogos[[#This Row],[PontosTime2]]</f>
        <v>2</v>
      </c>
    </row>
    <row r="3212" spans="1:9" ht="15" customHeight="1" x14ac:dyDescent="0.25">
      <c r="A3212" s="7">
        <v>3211</v>
      </c>
      <c r="B3212" s="1">
        <v>43567</v>
      </c>
      <c r="C3212" s="6" t="s">
        <v>17</v>
      </c>
      <c r="D3212" s="6" t="s">
        <v>28</v>
      </c>
      <c r="E3212" s="6">
        <v>3</v>
      </c>
      <c r="F3212" s="6">
        <v>2</v>
      </c>
      <c r="G3212" s="6" t="s">
        <v>13</v>
      </c>
      <c r="H3212" s="6" t="s">
        <v>32</v>
      </c>
      <c r="I3212" s="6">
        <f>TabJogos[[#This Row],[PontosTime1]]-TabJogos[[#This Row],[PontosTime2]]</f>
        <v>1</v>
      </c>
    </row>
    <row r="3213" spans="1:9" ht="15" customHeight="1" x14ac:dyDescent="0.25">
      <c r="A3213" s="7">
        <v>3212</v>
      </c>
      <c r="B3213" s="1">
        <v>43567</v>
      </c>
      <c r="C3213" s="6" t="s">
        <v>17</v>
      </c>
      <c r="D3213" s="6" t="s">
        <v>32</v>
      </c>
      <c r="E3213" s="6">
        <v>4</v>
      </c>
      <c r="F3213" s="6">
        <v>0</v>
      </c>
      <c r="G3213" s="6" t="s">
        <v>11</v>
      </c>
      <c r="H3213" s="6" t="s">
        <v>28</v>
      </c>
      <c r="I3213" s="6">
        <f>TabJogos[[#This Row],[PontosTime1]]-TabJogos[[#This Row],[PontosTime2]]</f>
        <v>4</v>
      </c>
    </row>
    <row r="3214" spans="1:9" ht="15" customHeight="1" x14ac:dyDescent="0.25">
      <c r="A3214" s="7">
        <v>3213</v>
      </c>
      <c r="B3214" s="1">
        <v>43567</v>
      </c>
      <c r="C3214" s="6" t="s">
        <v>27</v>
      </c>
      <c r="D3214" s="6" t="s">
        <v>32</v>
      </c>
      <c r="E3214" s="6">
        <v>2</v>
      </c>
      <c r="F3214" s="6">
        <v>3</v>
      </c>
      <c r="G3214" s="6" t="s">
        <v>13</v>
      </c>
      <c r="H3214" s="6" t="s">
        <v>17</v>
      </c>
      <c r="I3214" s="6">
        <f>TabJogos[[#This Row],[PontosTime1]]-TabJogos[[#This Row],[PontosTime2]]</f>
        <v>-1</v>
      </c>
    </row>
    <row r="3215" spans="1:9" ht="15" customHeight="1" x14ac:dyDescent="0.25">
      <c r="A3215" s="7">
        <v>3214</v>
      </c>
      <c r="B3215" s="1">
        <v>43567</v>
      </c>
      <c r="C3215" s="6" t="s">
        <v>18</v>
      </c>
      <c r="D3215" s="6" t="s">
        <v>17</v>
      </c>
      <c r="E3215" s="6">
        <v>3</v>
      </c>
      <c r="F3215" s="6">
        <v>2</v>
      </c>
      <c r="G3215" s="6" t="s">
        <v>13</v>
      </c>
      <c r="H3215" s="6" t="s">
        <v>28</v>
      </c>
      <c r="I3215" s="6">
        <f>TabJogos[[#This Row],[PontosTime1]]-TabJogos[[#This Row],[PontosTime2]]</f>
        <v>1</v>
      </c>
    </row>
    <row r="3216" spans="1:9" ht="15" customHeight="1" x14ac:dyDescent="0.25">
      <c r="A3216" s="7">
        <v>3215</v>
      </c>
      <c r="B3216" s="1">
        <v>43567</v>
      </c>
      <c r="C3216" s="6" t="s">
        <v>11</v>
      </c>
      <c r="D3216" s="6" t="s">
        <v>18</v>
      </c>
      <c r="E3216" s="6">
        <v>2</v>
      </c>
      <c r="F3216" s="6">
        <v>3</v>
      </c>
      <c r="G3216" s="6" t="s">
        <v>17</v>
      </c>
      <c r="H3216" s="6" t="s">
        <v>27</v>
      </c>
      <c r="I3216" s="6">
        <f>TabJogos[[#This Row],[PontosTime1]]-TabJogos[[#This Row],[PontosTime2]]</f>
        <v>-1</v>
      </c>
    </row>
    <row r="3217" spans="1:9" ht="15" customHeight="1" x14ac:dyDescent="0.25">
      <c r="A3217" s="7">
        <v>3216</v>
      </c>
      <c r="B3217" s="1">
        <v>43567</v>
      </c>
      <c r="C3217" s="6" t="s">
        <v>17</v>
      </c>
      <c r="D3217" s="6" t="s">
        <v>13</v>
      </c>
      <c r="E3217" s="6">
        <v>2</v>
      </c>
      <c r="F3217" s="6">
        <v>4</v>
      </c>
      <c r="G3217" s="6" t="s">
        <v>28</v>
      </c>
      <c r="H3217" s="6" t="s">
        <v>27</v>
      </c>
      <c r="I3217" s="6">
        <f>TabJogos[[#This Row],[PontosTime1]]-TabJogos[[#This Row],[PontosTime2]]</f>
        <v>-2</v>
      </c>
    </row>
    <row r="3218" spans="1:9" ht="15" customHeight="1" x14ac:dyDescent="0.25">
      <c r="A3218" s="7">
        <v>3217</v>
      </c>
      <c r="B3218" s="1">
        <v>43567</v>
      </c>
      <c r="C3218" s="6" t="s">
        <v>11</v>
      </c>
      <c r="D3218" s="6" t="s">
        <v>27</v>
      </c>
      <c r="E3218" s="6">
        <v>0</v>
      </c>
      <c r="F3218" s="6">
        <v>3</v>
      </c>
      <c r="G3218" s="6" t="s">
        <v>18</v>
      </c>
      <c r="H3218" s="6" t="s">
        <v>28</v>
      </c>
      <c r="I3218" s="6">
        <f>TabJogos[[#This Row],[PontosTime1]]-TabJogos[[#This Row],[PontosTime2]]</f>
        <v>-3</v>
      </c>
    </row>
    <row r="3219" spans="1:9" ht="15" customHeight="1" x14ac:dyDescent="0.25">
      <c r="A3219" s="7">
        <v>3218</v>
      </c>
      <c r="B3219" s="1">
        <v>43567</v>
      </c>
      <c r="C3219" s="6" t="s">
        <v>13</v>
      </c>
      <c r="D3219" s="6" t="s">
        <v>18</v>
      </c>
      <c r="E3219" s="6">
        <v>4</v>
      </c>
      <c r="F3219" s="6">
        <v>2</v>
      </c>
      <c r="G3219" s="6" t="s">
        <v>11</v>
      </c>
      <c r="H3219" s="6" t="s">
        <v>28</v>
      </c>
      <c r="I3219" s="6">
        <f>TabJogos[[#This Row],[PontosTime1]]-TabJogos[[#This Row],[PontosTime2]]</f>
        <v>2</v>
      </c>
    </row>
    <row r="3220" spans="1:9" ht="15" customHeight="1" x14ac:dyDescent="0.25">
      <c r="A3220" s="7">
        <v>3219</v>
      </c>
      <c r="B3220" s="1">
        <v>43567</v>
      </c>
      <c r="C3220" s="6" t="s">
        <v>11</v>
      </c>
      <c r="D3220" s="6" t="s">
        <v>18</v>
      </c>
      <c r="E3220" s="6">
        <v>2</v>
      </c>
      <c r="F3220" s="6">
        <v>4</v>
      </c>
      <c r="G3220" s="6" t="s">
        <v>13</v>
      </c>
      <c r="H3220" s="6" t="s">
        <v>28</v>
      </c>
      <c r="I3220" s="6">
        <f>TabJogos[[#This Row],[PontosTime1]]-TabJogos[[#This Row],[PontosTime2]]</f>
        <v>-2</v>
      </c>
    </row>
    <row r="3221" spans="1:9" ht="15" customHeight="1" x14ac:dyDescent="0.25">
      <c r="A3221" s="7">
        <v>3220</v>
      </c>
      <c r="B3221" s="1">
        <v>43567</v>
      </c>
      <c r="C3221" s="6" t="s">
        <v>11</v>
      </c>
      <c r="D3221" s="6" t="s">
        <v>13</v>
      </c>
      <c r="E3221" s="6">
        <v>1</v>
      </c>
      <c r="F3221" s="6">
        <v>3</v>
      </c>
      <c r="G3221" s="6" t="s">
        <v>28</v>
      </c>
      <c r="H3221" s="6" t="s">
        <v>18</v>
      </c>
      <c r="I3221" s="6">
        <f>TabJogos[[#This Row],[PontosTime1]]-TabJogos[[#This Row],[PontosTime2]]</f>
        <v>-2</v>
      </c>
    </row>
    <row r="3222" spans="1:9" ht="15" customHeight="1" x14ac:dyDescent="0.25">
      <c r="A3222" s="7">
        <v>3221</v>
      </c>
      <c r="B3222" s="1">
        <v>43567</v>
      </c>
      <c r="C3222" s="6" t="s">
        <v>11</v>
      </c>
      <c r="D3222" s="6" t="s">
        <v>28</v>
      </c>
      <c r="E3222" s="6">
        <v>3</v>
      </c>
      <c r="F3222" s="6">
        <v>1</v>
      </c>
      <c r="G3222" s="6" t="s">
        <v>13</v>
      </c>
      <c r="H3222" s="6" t="s">
        <v>18</v>
      </c>
      <c r="I3222" s="6">
        <f>TabJogos[[#This Row],[PontosTime1]]-TabJogos[[#This Row],[PontosTime2]]</f>
        <v>2</v>
      </c>
    </row>
    <row r="3223" spans="1:9" ht="15" customHeight="1" x14ac:dyDescent="0.25">
      <c r="A3223" s="7">
        <v>3222</v>
      </c>
      <c r="B3223" s="1">
        <v>43570</v>
      </c>
      <c r="C3223" s="6" t="s">
        <v>13</v>
      </c>
      <c r="D3223" s="6" t="s">
        <v>18</v>
      </c>
      <c r="E3223" s="6">
        <v>4</v>
      </c>
      <c r="F3223" s="6">
        <v>2</v>
      </c>
      <c r="G3223" s="6" t="s">
        <v>11</v>
      </c>
      <c r="H3223" s="6" t="s">
        <v>27</v>
      </c>
      <c r="I3223" s="6">
        <f>TabJogos[[#This Row],[PontosTime1]]-TabJogos[[#This Row],[PontosTime2]]</f>
        <v>2</v>
      </c>
    </row>
    <row r="3224" spans="1:9" ht="15" customHeight="1" x14ac:dyDescent="0.25">
      <c r="A3224" s="7">
        <v>3223</v>
      </c>
      <c r="B3224" s="1">
        <v>43570</v>
      </c>
      <c r="C3224" s="6" t="s">
        <v>13</v>
      </c>
      <c r="D3224" s="6" t="s">
        <v>27</v>
      </c>
      <c r="E3224" s="6">
        <v>4</v>
      </c>
      <c r="F3224" s="6">
        <v>0</v>
      </c>
      <c r="G3224" s="6" t="s">
        <v>11</v>
      </c>
      <c r="H3224" s="6" t="s">
        <v>18</v>
      </c>
      <c r="I3224" s="6">
        <f>TabJogos[[#This Row],[PontosTime1]]-TabJogos[[#This Row],[PontosTime2]]</f>
        <v>4</v>
      </c>
    </row>
    <row r="3225" spans="1:9" ht="15" customHeight="1" x14ac:dyDescent="0.25">
      <c r="A3225" s="7">
        <v>3224</v>
      </c>
      <c r="B3225" s="1">
        <v>43570</v>
      </c>
      <c r="C3225" s="6" t="s">
        <v>13</v>
      </c>
      <c r="D3225" s="6" t="s">
        <v>11</v>
      </c>
      <c r="E3225" s="6">
        <v>3</v>
      </c>
      <c r="F3225" s="6">
        <v>0</v>
      </c>
      <c r="G3225" s="6" t="s">
        <v>27</v>
      </c>
      <c r="H3225" s="6" t="s">
        <v>18</v>
      </c>
      <c r="I3225" s="6">
        <f>TabJogos[[#This Row],[PontosTime1]]-TabJogos[[#This Row],[PontosTime2]]</f>
        <v>3</v>
      </c>
    </row>
    <row r="3226" spans="1:9" ht="15" customHeight="1" x14ac:dyDescent="0.25">
      <c r="A3226" s="7">
        <v>3225</v>
      </c>
      <c r="B3226" s="1">
        <v>43570</v>
      </c>
      <c r="C3226" s="6" t="s">
        <v>13</v>
      </c>
      <c r="D3226" s="6" t="s">
        <v>18</v>
      </c>
      <c r="E3226" s="6">
        <v>0</v>
      </c>
      <c r="F3226" s="6">
        <v>3</v>
      </c>
      <c r="G3226" s="6" t="s">
        <v>11</v>
      </c>
      <c r="H3226" s="6" t="s">
        <v>27</v>
      </c>
      <c r="I3226" s="6">
        <f>TabJogos[[#This Row],[PontosTime1]]-TabJogos[[#This Row],[PontosTime2]]</f>
        <v>-3</v>
      </c>
    </row>
    <row r="3227" spans="1:9" ht="15" customHeight="1" x14ac:dyDescent="0.25">
      <c r="A3227" s="7">
        <v>3226</v>
      </c>
      <c r="B3227" s="1">
        <v>43570</v>
      </c>
      <c r="C3227" s="6" t="s">
        <v>13</v>
      </c>
      <c r="D3227" s="6" t="s">
        <v>11</v>
      </c>
      <c r="E3227" s="6">
        <v>3</v>
      </c>
      <c r="F3227" s="6">
        <v>2</v>
      </c>
      <c r="G3227" s="6" t="s">
        <v>18</v>
      </c>
      <c r="H3227" s="6" t="s">
        <v>27</v>
      </c>
      <c r="I3227" s="6">
        <f>TabJogos[[#This Row],[PontosTime1]]-TabJogos[[#This Row],[PontosTime2]]</f>
        <v>1</v>
      </c>
    </row>
    <row r="3228" spans="1:9" ht="15" customHeight="1" x14ac:dyDescent="0.25">
      <c r="A3228" s="7">
        <v>3227</v>
      </c>
      <c r="B3228" s="1">
        <v>43570</v>
      </c>
      <c r="C3228" s="6" t="s">
        <v>11</v>
      </c>
      <c r="D3228" s="6" t="s">
        <v>18</v>
      </c>
      <c r="E3228" s="6">
        <v>4</v>
      </c>
      <c r="F3228" s="6">
        <v>2</v>
      </c>
      <c r="G3228" s="6" t="s">
        <v>27</v>
      </c>
      <c r="H3228" s="6" t="s">
        <v>13</v>
      </c>
      <c r="I3228" s="6">
        <f>TabJogos[[#This Row],[PontosTime1]]-TabJogos[[#This Row],[PontosTime2]]</f>
        <v>2</v>
      </c>
    </row>
    <row r="3229" spans="1:9" ht="15" customHeight="1" x14ac:dyDescent="0.25">
      <c r="A3229" s="7">
        <v>3228</v>
      </c>
      <c r="B3229" s="1">
        <v>43570</v>
      </c>
      <c r="C3229" s="6" t="s">
        <v>13</v>
      </c>
      <c r="D3229" s="6" t="s">
        <v>18</v>
      </c>
      <c r="E3229" s="6">
        <v>3</v>
      </c>
      <c r="F3229" s="6">
        <v>1</v>
      </c>
      <c r="G3229" s="6" t="s">
        <v>11</v>
      </c>
      <c r="H3229" s="6" t="s">
        <v>27</v>
      </c>
      <c r="I3229" s="6">
        <f>TabJogos[[#This Row],[PontosTime1]]-TabJogos[[#This Row],[PontosTime2]]</f>
        <v>2</v>
      </c>
    </row>
    <row r="3230" spans="1:9" ht="15" customHeight="1" x14ac:dyDescent="0.25">
      <c r="A3230" s="7">
        <v>3229</v>
      </c>
      <c r="B3230" s="1">
        <v>43570</v>
      </c>
      <c r="C3230" s="6" t="s">
        <v>13</v>
      </c>
      <c r="D3230" s="6" t="s">
        <v>11</v>
      </c>
      <c r="E3230" s="6">
        <v>3</v>
      </c>
      <c r="F3230" s="6">
        <v>2</v>
      </c>
      <c r="G3230" s="6" t="s">
        <v>27</v>
      </c>
      <c r="H3230" s="6" t="s">
        <v>18</v>
      </c>
      <c r="I3230" s="6">
        <f>TabJogos[[#This Row],[PontosTime1]]-TabJogos[[#This Row],[PontosTime2]]</f>
        <v>1</v>
      </c>
    </row>
    <row r="3231" spans="1:9" ht="15" customHeight="1" x14ac:dyDescent="0.25">
      <c r="A3231" s="7">
        <v>3230</v>
      </c>
      <c r="B3231" s="1">
        <v>43570</v>
      </c>
      <c r="C3231" s="6" t="s">
        <v>13</v>
      </c>
      <c r="D3231" s="6" t="s">
        <v>27</v>
      </c>
      <c r="E3231" s="6">
        <v>3</v>
      </c>
      <c r="F3231" s="6">
        <v>1</v>
      </c>
      <c r="G3231" s="6" t="s">
        <v>11</v>
      </c>
      <c r="H3231" s="6" t="s">
        <v>18</v>
      </c>
      <c r="I3231" s="6">
        <f>TabJogos[[#This Row],[PontosTime1]]-TabJogos[[#This Row],[PontosTime2]]</f>
        <v>2</v>
      </c>
    </row>
    <row r="3232" spans="1:9" ht="15" customHeight="1" x14ac:dyDescent="0.25">
      <c r="A3232" s="7">
        <v>3231</v>
      </c>
      <c r="B3232" s="1">
        <v>43571</v>
      </c>
      <c r="C3232" s="6" t="s">
        <v>13</v>
      </c>
      <c r="D3232" s="6" t="s">
        <v>28</v>
      </c>
      <c r="E3232" s="6">
        <v>1</v>
      </c>
      <c r="F3232" s="6">
        <v>5</v>
      </c>
      <c r="G3232" s="6" t="s">
        <v>27</v>
      </c>
      <c r="H3232" s="6" t="s">
        <v>11</v>
      </c>
      <c r="I3232" s="6">
        <f>TabJogos[[#This Row],[PontosTime1]]-TabJogos[[#This Row],[PontosTime2]]</f>
        <v>-4</v>
      </c>
    </row>
    <row r="3233" spans="1:9" ht="15" customHeight="1" x14ac:dyDescent="0.25">
      <c r="A3233" s="7">
        <v>3232</v>
      </c>
      <c r="B3233" s="1">
        <v>43571</v>
      </c>
      <c r="C3233" s="6" t="s">
        <v>11</v>
      </c>
      <c r="D3233" s="6" t="s">
        <v>28</v>
      </c>
      <c r="E3233" s="6">
        <v>4</v>
      </c>
      <c r="F3233" s="6">
        <v>0</v>
      </c>
      <c r="G3233" s="6" t="s">
        <v>27</v>
      </c>
      <c r="H3233" s="6" t="s">
        <v>13</v>
      </c>
      <c r="I3233" s="6">
        <f>TabJogos[[#This Row],[PontosTime1]]-TabJogos[[#This Row],[PontosTime2]]</f>
        <v>4</v>
      </c>
    </row>
    <row r="3234" spans="1:9" ht="15" customHeight="1" x14ac:dyDescent="0.25">
      <c r="A3234" s="7">
        <v>3233</v>
      </c>
      <c r="B3234" s="1">
        <v>43571</v>
      </c>
      <c r="C3234" s="6" t="s">
        <v>11</v>
      </c>
      <c r="D3234" s="6" t="s">
        <v>13</v>
      </c>
      <c r="E3234" s="6">
        <v>4</v>
      </c>
      <c r="F3234" s="6">
        <v>0</v>
      </c>
      <c r="G3234" s="6" t="s">
        <v>27</v>
      </c>
      <c r="H3234" s="6" t="s">
        <v>28</v>
      </c>
      <c r="I3234" s="6">
        <f>TabJogos[[#This Row],[PontosTime1]]-TabJogos[[#This Row],[PontosTime2]]</f>
        <v>4</v>
      </c>
    </row>
    <row r="3235" spans="1:9" ht="15" customHeight="1" x14ac:dyDescent="0.25">
      <c r="A3235" s="7">
        <v>3234</v>
      </c>
      <c r="B3235" s="1">
        <v>43571</v>
      </c>
      <c r="C3235" s="6" t="s">
        <v>11</v>
      </c>
      <c r="D3235" s="6" t="s">
        <v>27</v>
      </c>
      <c r="E3235" s="6">
        <v>3</v>
      </c>
      <c r="F3235" s="6">
        <v>0</v>
      </c>
      <c r="G3235" s="6" t="s">
        <v>28</v>
      </c>
      <c r="H3235" s="6" t="s">
        <v>13</v>
      </c>
      <c r="I3235" s="6">
        <f>TabJogos[[#This Row],[PontosTime1]]-TabJogos[[#This Row],[PontosTime2]]</f>
        <v>3</v>
      </c>
    </row>
    <row r="3236" spans="1:9" ht="15" customHeight="1" x14ac:dyDescent="0.25">
      <c r="A3236" s="7">
        <v>3235</v>
      </c>
      <c r="B3236" s="1">
        <v>43571</v>
      </c>
      <c r="C3236" s="6" t="s">
        <v>11</v>
      </c>
      <c r="D3236" s="6" t="s">
        <v>28</v>
      </c>
      <c r="E3236" s="6">
        <v>4</v>
      </c>
      <c r="F3236" s="6">
        <v>1</v>
      </c>
      <c r="G3236" s="6" t="s">
        <v>13</v>
      </c>
      <c r="H3236" s="6" t="s">
        <v>27</v>
      </c>
      <c r="I3236" s="6">
        <f>TabJogos[[#This Row],[PontosTime1]]-TabJogos[[#This Row],[PontosTime2]]</f>
        <v>3</v>
      </c>
    </row>
    <row r="3237" spans="1:9" ht="15" customHeight="1" x14ac:dyDescent="0.25">
      <c r="A3237" s="7">
        <v>3236</v>
      </c>
      <c r="B3237" s="1">
        <v>43571</v>
      </c>
      <c r="C3237" s="6" t="s">
        <v>11</v>
      </c>
      <c r="D3237" s="6" t="s">
        <v>13</v>
      </c>
      <c r="E3237" s="6">
        <v>4</v>
      </c>
      <c r="F3237" s="6">
        <v>0</v>
      </c>
      <c r="G3237" s="6" t="s">
        <v>28</v>
      </c>
      <c r="H3237" s="6" t="s">
        <v>27</v>
      </c>
      <c r="I3237" s="6">
        <f>TabJogos[[#This Row],[PontosTime1]]-TabJogos[[#This Row],[PontosTime2]]</f>
        <v>4</v>
      </c>
    </row>
    <row r="3238" spans="1:9" ht="15" customHeight="1" x14ac:dyDescent="0.25">
      <c r="A3238" s="7">
        <v>3237</v>
      </c>
      <c r="B3238" s="1">
        <v>43571</v>
      </c>
      <c r="C3238" s="6" t="s">
        <v>11</v>
      </c>
      <c r="D3238" s="6" t="s">
        <v>27</v>
      </c>
      <c r="E3238" s="6">
        <v>4</v>
      </c>
      <c r="F3238" s="6">
        <v>1</v>
      </c>
      <c r="G3238" s="6" t="s">
        <v>28</v>
      </c>
      <c r="H3238" s="6" t="s">
        <v>13</v>
      </c>
      <c r="I3238" s="6">
        <f>TabJogos[[#This Row],[PontosTime1]]-TabJogos[[#This Row],[PontosTime2]]</f>
        <v>3</v>
      </c>
    </row>
    <row r="3239" spans="1:9" ht="15" customHeight="1" x14ac:dyDescent="0.25">
      <c r="A3239" s="7">
        <v>3238</v>
      </c>
      <c r="B3239" s="1">
        <v>43571</v>
      </c>
      <c r="C3239" s="6" t="s">
        <v>13</v>
      </c>
      <c r="D3239" s="6" t="s">
        <v>27</v>
      </c>
      <c r="E3239" s="6">
        <v>3</v>
      </c>
      <c r="F3239" s="6">
        <v>1</v>
      </c>
      <c r="G3239" s="6" t="s">
        <v>11</v>
      </c>
      <c r="H3239" s="6" t="s">
        <v>28</v>
      </c>
      <c r="I3239" s="6">
        <f>TabJogos[[#This Row],[PontosTime1]]-TabJogos[[#This Row],[PontosTime2]]</f>
        <v>2</v>
      </c>
    </row>
    <row r="3240" spans="1:9" ht="15" customHeight="1" x14ac:dyDescent="0.25">
      <c r="A3240" s="7">
        <v>3239</v>
      </c>
      <c r="B3240" s="1">
        <v>43571</v>
      </c>
      <c r="C3240" s="6" t="s">
        <v>27</v>
      </c>
      <c r="D3240" s="6" t="s">
        <v>18</v>
      </c>
      <c r="E3240" s="6">
        <v>3</v>
      </c>
      <c r="F3240" s="6">
        <v>2</v>
      </c>
      <c r="G3240" s="6" t="s">
        <v>41</v>
      </c>
      <c r="H3240" s="6" t="s">
        <v>13</v>
      </c>
      <c r="I3240" s="6">
        <f>TabJogos[[#This Row],[PontosTime1]]-TabJogos[[#This Row],[PontosTime2]]</f>
        <v>1</v>
      </c>
    </row>
    <row r="3241" spans="1:9" ht="15" customHeight="1" x14ac:dyDescent="0.25">
      <c r="A3241" s="7">
        <v>3240</v>
      </c>
      <c r="B3241" s="1">
        <v>43571</v>
      </c>
      <c r="C3241" s="6" t="s">
        <v>11</v>
      </c>
      <c r="D3241" s="6" t="s">
        <v>18</v>
      </c>
      <c r="E3241" s="6">
        <v>4</v>
      </c>
      <c r="F3241" s="6">
        <v>2</v>
      </c>
      <c r="G3241" s="6" t="s">
        <v>27</v>
      </c>
      <c r="H3241" s="6" t="s">
        <v>28</v>
      </c>
      <c r="I3241" s="6">
        <f>TabJogos[[#This Row],[PontosTime1]]-TabJogos[[#This Row],[PontosTime2]]</f>
        <v>2</v>
      </c>
    </row>
    <row r="3242" spans="1:9" ht="15" customHeight="1" x14ac:dyDescent="0.25">
      <c r="A3242" s="7">
        <v>3241</v>
      </c>
      <c r="B3242" s="1">
        <v>43571</v>
      </c>
      <c r="C3242" s="6" t="s">
        <v>11</v>
      </c>
      <c r="D3242" s="6" t="s">
        <v>41</v>
      </c>
      <c r="E3242" s="6">
        <v>3</v>
      </c>
      <c r="F3242" s="6">
        <v>0</v>
      </c>
      <c r="G3242" s="6" t="s">
        <v>13</v>
      </c>
      <c r="H3242" s="6" t="s">
        <v>18</v>
      </c>
      <c r="I3242" s="6">
        <f>TabJogos[[#This Row],[PontosTime1]]-TabJogos[[#This Row],[PontosTime2]]</f>
        <v>3</v>
      </c>
    </row>
    <row r="3243" spans="1:9" ht="15" customHeight="1" x14ac:dyDescent="0.25">
      <c r="A3243" s="7">
        <v>3242</v>
      </c>
      <c r="B3243" s="1">
        <v>43571</v>
      </c>
      <c r="C3243" s="6" t="s">
        <v>28</v>
      </c>
      <c r="D3243" s="6" t="s">
        <v>41</v>
      </c>
      <c r="E3243" s="6">
        <v>3</v>
      </c>
      <c r="F3243" s="6">
        <v>0</v>
      </c>
      <c r="G3243" s="6" t="s">
        <v>11</v>
      </c>
      <c r="H3243" s="6" t="s">
        <v>13</v>
      </c>
      <c r="I3243" s="6">
        <f>TabJogos[[#This Row],[PontosTime1]]-TabJogos[[#This Row],[PontosTime2]]</f>
        <v>3</v>
      </c>
    </row>
    <row r="3244" spans="1:9" ht="15" customHeight="1" x14ac:dyDescent="0.25">
      <c r="A3244" s="7">
        <v>3243</v>
      </c>
      <c r="B3244" s="1">
        <v>43571</v>
      </c>
      <c r="C3244" s="6" t="s">
        <v>11</v>
      </c>
      <c r="D3244" s="6" t="s">
        <v>18</v>
      </c>
      <c r="E3244" s="6">
        <v>1</v>
      </c>
      <c r="F3244" s="6">
        <v>3</v>
      </c>
      <c r="G3244" s="6" t="s">
        <v>28</v>
      </c>
      <c r="H3244" s="6" t="s">
        <v>13</v>
      </c>
      <c r="I3244" s="6">
        <f>TabJogos[[#This Row],[PontosTime1]]-TabJogos[[#This Row],[PontosTime2]]</f>
        <v>-2</v>
      </c>
    </row>
    <row r="3245" spans="1:9" ht="15" customHeight="1" x14ac:dyDescent="0.25">
      <c r="A3245" s="7">
        <v>3244</v>
      </c>
      <c r="B3245" s="1">
        <v>43571</v>
      </c>
      <c r="C3245" s="6" t="s">
        <v>28</v>
      </c>
      <c r="D3245" s="6" t="s">
        <v>11</v>
      </c>
      <c r="E3245" s="6">
        <v>2</v>
      </c>
      <c r="F3245" s="6">
        <v>3</v>
      </c>
      <c r="G3245" s="6" t="s">
        <v>13</v>
      </c>
      <c r="H3245" s="6" t="s">
        <v>18</v>
      </c>
      <c r="I3245" s="6">
        <f>TabJogos[[#This Row],[PontosTime1]]-TabJogos[[#This Row],[PontosTime2]]</f>
        <v>-1</v>
      </c>
    </row>
    <row r="3246" spans="1:9" ht="15" customHeight="1" x14ac:dyDescent="0.25">
      <c r="A3246" s="7">
        <v>3245</v>
      </c>
      <c r="B3246" s="1">
        <v>43571</v>
      </c>
      <c r="C3246" s="6" t="s">
        <v>28</v>
      </c>
      <c r="D3246" s="6" t="s">
        <v>18</v>
      </c>
      <c r="E3246" s="6">
        <v>3</v>
      </c>
      <c r="F3246" s="6">
        <v>1</v>
      </c>
      <c r="G3246" s="6" t="s">
        <v>11</v>
      </c>
      <c r="H3246" s="6" t="s">
        <v>13</v>
      </c>
      <c r="I3246" s="6">
        <f>TabJogos[[#This Row],[PontosTime1]]-TabJogos[[#This Row],[PontosTime2]]</f>
        <v>2</v>
      </c>
    </row>
    <row r="3247" spans="1:9" ht="15" customHeight="1" x14ac:dyDescent="0.25">
      <c r="A3247" s="7">
        <v>3246</v>
      </c>
      <c r="B3247" s="1">
        <v>43571</v>
      </c>
      <c r="C3247" s="6" t="s">
        <v>11</v>
      </c>
      <c r="D3247" s="6" t="s">
        <v>18</v>
      </c>
      <c r="E3247" s="6">
        <v>1</v>
      </c>
      <c r="F3247" s="6">
        <v>3</v>
      </c>
      <c r="G3247" s="6" t="s">
        <v>28</v>
      </c>
      <c r="H3247" s="6" t="s">
        <v>13</v>
      </c>
      <c r="I3247" s="6">
        <f>TabJogos[[#This Row],[PontosTime1]]-TabJogos[[#This Row],[PontosTime2]]</f>
        <v>-2</v>
      </c>
    </row>
    <row r="3248" spans="1:9" ht="15" customHeight="1" x14ac:dyDescent="0.25">
      <c r="A3248" s="7">
        <v>3247</v>
      </c>
      <c r="B3248" s="1">
        <v>43572</v>
      </c>
      <c r="C3248" s="6" t="s">
        <v>60</v>
      </c>
      <c r="D3248" s="6" t="s">
        <v>41</v>
      </c>
      <c r="E3248" s="6">
        <v>0</v>
      </c>
      <c r="F3248" s="6">
        <v>3</v>
      </c>
      <c r="G3248" s="6" t="s">
        <v>28</v>
      </c>
      <c r="H3248" s="6" t="s">
        <v>18</v>
      </c>
      <c r="I3248" s="6">
        <f>TabJogos[[#This Row],[PontosTime1]]-TabJogos[[#This Row],[PontosTime2]]</f>
        <v>-3</v>
      </c>
    </row>
    <row r="3249" spans="1:9" ht="15" customHeight="1" x14ac:dyDescent="0.25">
      <c r="A3249" s="7">
        <v>3248</v>
      </c>
      <c r="B3249" s="1">
        <v>43572</v>
      </c>
      <c r="C3249" s="6" t="s">
        <v>60</v>
      </c>
      <c r="D3249" s="6" t="s">
        <v>18</v>
      </c>
      <c r="E3249" s="6">
        <v>3</v>
      </c>
      <c r="F3249" s="6">
        <v>1</v>
      </c>
      <c r="G3249" s="6" t="s">
        <v>28</v>
      </c>
      <c r="H3249" s="6" t="s">
        <v>41</v>
      </c>
      <c r="I3249" s="6">
        <f>TabJogos[[#This Row],[PontosTime1]]-TabJogos[[#This Row],[PontosTime2]]</f>
        <v>2</v>
      </c>
    </row>
    <row r="3250" spans="1:9" ht="15" customHeight="1" x14ac:dyDescent="0.25">
      <c r="A3250" s="7">
        <v>3249</v>
      </c>
      <c r="B3250" s="1">
        <v>43572</v>
      </c>
      <c r="C3250" s="6" t="s">
        <v>41</v>
      </c>
      <c r="D3250" s="6" t="s">
        <v>18</v>
      </c>
      <c r="E3250" s="6">
        <v>5</v>
      </c>
      <c r="F3250" s="6">
        <v>2</v>
      </c>
      <c r="G3250" s="6" t="s">
        <v>28</v>
      </c>
      <c r="H3250" s="6" t="s">
        <v>60</v>
      </c>
      <c r="I3250" s="6">
        <f>TabJogos[[#This Row],[PontosTime1]]-TabJogos[[#This Row],[PontosTime2]]</f>
        <v>3</v>
      </c>
    </row>
    <row r="3251" spans="1:9" ht="15" customHeight="1" x14ac:dyDescent="0.25">
      <c r="A3251" s="7">
        <v>3250</v>
      </c>
      <c r="B3251" s="1">
        <v>43572</v>
      </c>
      <c r="C3251" s="6" t="s">
        <v>28</v>
      </c>
      <c r="D3251" s="6" t="s">
        <v>18</v>
      </c>
      <c r="E3251" s="6">
        <v>1</v>
      </c>
      <c r="F3251" s="6">
        <v>3</v>
      </c>
      <c r="G3251" s="6" t="s">
        <v>13</v>
      </c>
      <c r="H3251" s="6" t="s">
        <v>41</v>
      </c>
      <c r="I3251" s="6">
        <f>TabJogos[[#This Row],[PontosTime1]]-TabJogos[[#This Row],[PontosTime2]]</f>
        <v>-2</v>
      </c>
    </row>
    <row r="3252" spans="1:9" ht="15" customHeight="1" x14ac:dyDescent="0.25">
      <c r="A3252" s="7">
        <v>3251</v>
      </c>
      <c r="B3252" s="1">
        <v>43572</v>
      </c>
      <c r="C3252" s="6" t="s">
        <v>41</v>
      </c>
      <c r="D3252" s="6" t="s">
        <v>18</v>
      </c>
      <c r="E3252" s="6">
        <v>3</v>
      </c>
      <c r="F3252" s="6">
        <v>2</v>
      </c>
      <c r="G3252" s="6" t="s">
        <v>13</v>
      </c>
      <c r="H3252" s="6" t="s">
        <v>60</v>
      </c>
      <c r="I3252" s="6">
        <f>TabJogos[[#This Row],[PontosTime1]]-TabJogos[[#This Row],[PontosTime2]]</f>
        <v>1</v>
      </c>
    </row>
    <row r="3253" spans="1:9" ht="15" customHeight="1" x14ac:dyDescent="0.25">
      <c r="A3253" s="7">
        <v>3252</v>
      </c>
      <c r="B3253" s="1">
        <v>43572</v>
      </c>
      <c r="C3253" s="6" t="s">
        <v>13</v>
      </c>
      <c r="D3253" s="6" t="s">
        <v>18</v>
      </c>
      <c r="E3253" s="6">
        <v>2</v>
      </c>
      <c r="F3253" s="6">
        <v>3</v>
      </c>
      <c r="G3253" s="6" t="s">
        <v>41</v>
      </c>
      <c r="H3253" s="6" t="s">
        <v>28</v>
      </c>
      <c r="I3253" s="6">
        <f>TabJogos[[#This Row],[PontosTime1]]-TabJogos[[#This Row],[PontosTime2]]</f>
        <v>-1</v>
      </c>
    </row>
    <row r="3254" spans="1:9" ht="15" customHeight="1" x14ac:dyDescent="0.25">
      <c r="A3254" s="7">
        <v>3253</v>
      </c>
      <c r="B3254" s="1">
        <v>43573</v>
      </c>
      <c r="C3254" s="6" t="s">
        <v>27</v>
      </c>
      <c r="D3254" s="6" t="s">
        <v>41</v>
      </c>
      <c r="E3254" s="6">
        <v>3</v>
      </c>
      <c r="F3254" s="6">
        <v>0</v>
      </c>
      <c r="G3254" s="6" t="s">
        <v>18</v>
      </c>
      <c r="H3254" s="6" t="s">
        <v>13</v>
      </c>
      <c r="I3254" s="6">
        <f>TabJogos[[#This Row],[PontosTime1]]-TabJogos[[#This Row],[PontosTime2]]</f>
        <v>3</v>
      </c>
    </row>
    <row r="3255" spans="1:9" ht="15" customHeight="1" x14ac:dyDescent="0.25">
      <c r="A3255" s="7">
        <v>3254</v>
      </c>
      <c r="B3255" s="1">
        <v>43573</v>
      </c>
      <c r="C3255" s="6" t="s">
        <v>41</v>
      </c>
      <c r="D3255" s="6" t="s">
        <v>18</v>
      </c>
      <c r="E3255" s="6">
        <v>3</v>
      </c>
      <c r="F3255" s="6">
        <v>1</v>
      </c>
      <c r="G3255" s="6" t="s">
        <v>27</v>
      </c>
      <c r="H3255" s="6" t="s">
        <v>28</v>
      </c>
      <c r="I3255" s="6">
        <f>TabJogos[[#This Row],[PontosTime1]]-TabJogos[[#This Row],[PontosTime2]]</f>
        <v>2</v>
      </c>
    </row>
    <row r="3256" spans="1:9" ht="15" customHeight="1" x14ac:dyDescent="0.25">
      <c r="A3256" s="7">
        <v>3255</v>
      </c>
      <c r="B3256" s="1">
        <v>43573</v>
      </c>
      <c r="C3256" s="6" t="s">
        <v>41</v>
      </c>
      <c r="D3256" s="6" t="s">
        <v>13</v>
      </c>
      <c r="E3256" s="6">
        <v>3</v>
      </c>
      <c r="F3256" s="6">
        <v>2</v>
      </c>
      <c r="G3256" s="6" t="s">
        <v>28</v>
      </c>
      <c r="H3256" s="6" t="s">
        <v>18</v>
      </c>
      <c r="I3256" s="6">
        <f>TabJogos[[#This Row],[PontosTime1]]-TabJogos[[#This Row],[PontosTime2]]</f>
        <v>1</v>
      </c>
    </row>
    <row r="3257" spans="1:9" ht="15" customHeight="1" x14ac:dyDescent="0.25">
      <c r="A3257" s="7">
        <v>3256</v>
      </c>
      <c r="B3257" s="1">
        <v>43573</v>
      </c>
      <c r="C3257" s="6" t="s">
        <v>13</v>
      </c>
      <c r="D3257" s="6" t="s">
        <v>27</v>
      </c>
      <c r="E3257" s="6">
        <v>4</v>
      </c>
      <c r="F3257" s="6">
        <v>0</v>
      </c>
      <c r="G3257" s="6" t="s">
        <v>41</v>
      </c>
      <c r="H3257" s="6" t="s">
        <v>18</v>
      </c>
      <c r="I3257" s="6">
        <f>TabJogos[[#This Row],[PontosTime1]]-TabJogos[[#This Row],[PontosTime2]]</f>
        <v>4</v>
      </c>
    </row>
    <row r="3258" spans="1:9" ht="15" customHeight="1" x14ac:dyDescent="0.25">
      <c r="A3258" s="7">
        <v>3257</v>
      </c>
      <c r="B3258" s="1">
        <v>43573</v>
      </c>
      <c r="C3258" s="6" t="s">
        <v>27</v>
      </c>
      <c r="D3258" s="6" t="s">
        <v>18</v>
      </c>
      <c r="E3258" s="6">
        <v>3</v>
      </c>
      <c r="F3258" s="6">
        <v>0</v>
      </c>
      <c r="G3258" s="6" t="s">
        <v>28</v>
      </c>
      <c r="H3258" s="6" t="s">
        <v>13</v>
      </c>
      <c r="I3258" s="6">
        <f>TabJogos[[#This Row],[PontosTime1]]-TabJogos[[#This Row],[PontosTime2]]</f>
        <v>3</v>
      </c>
    </row>
    <row r="3259" spans="1:9" ht="15" customHeight="1" x14ac:dyDescent="0.25">
      <c r="A3259" s="7">
        <v>3258</v>
      </c>
      <c r="B3259" s="1">
        <v>43573</v>
      </c>
      <c r="C3259" s="6" t="s">
        <v>27</v>
      </c>
      <c r="D3259" s="6" t="s">
        <v>13</v>
      </c>
      <c r="E3259" s="6">
        <v>5</v>
      </c>
      <c r="F3259" s="6">
        <v>2</v>
      </c>
      <c r="G3259" s="6" t="s">
        <v>28</v>
      </c>
      <c r="H3259" s="6" t="s">
        <v>18</v>
      </c>
      <c r="I3259" s="6">
        <f>TabJogos[[#This Row],[PontosTime1]]-TabJogos[[#This Row],[PontosTime2]]</f>
        <v>3</v>
      </c>
    </row>
    <row r="3260" spans="1:9" ht="15" customHeight="1" x14ac:dyDescent="0.25">
      <c r="A3260" s="7">
        <v>3259</v>
      </c>
      <c r="B3260" s="1">
        <v>43573</v>
      </c>
      <c r="C3260" s="6" t="s">
        <v>27</v>
      </c>
      <c r="D3260" s="6" t="s">
        <v>28</v>
      </c>
      <c r="E3260" s="6">
        <v>3</v>
      </c>
      <c r="F3260" s="6">
        <v>2</v>
      </c>
      <c r="G3260" s="6" t="s">
        <v>13</v>
      </c>
      <c r="H3260" s="6" t="s">
        <v>18</v>
      </c>
      <c r="I3260" s="6">
        <f>TabJogos[[#This Row],[PontosTime1]]-TabJogos[[#This Row],[PontosTime2]]</f>
        <v>1</v>
      </c>
    </row>
    <row r="3261" spans="1:9" ht="15" customHeight="1" x14ac:dyDescent="0.25">
      <c r="A3261" s="7">
        <v>3260</v>
      </c>
      <c r="B3261" s="1">
        <v>43573</v>
      </c>
      <c r="C3261" s="6" t="s">
        <v>27</v>
      </c>
      <c r="D3261" s="6" t="s">
        <v>18</v>
      </c>
      <c r="E3261" s="6">
        <v>0</v>
      </c>
      <c r="F3261" s="6">
        <v>4</v>
      </c>
      <c r="G3261" s="6" t="s">
        <v>13</v>
      </c>
      <c r="H3261" s="6" t="s">
        <v>28</v>
      </c>
      <c r="I3261" s="6">
        <f>TabJogos[[#This Row],[PontosTime1]]-TabJogos[[#This Row],[PontosTime2]]</f>
        <v>-4</v>
      </c>
    </row>
    <row r="3262" spans="1:9" ht="15" customHeight="1" x14ac:dyDescent="0.25">
      <c r="A3262" s="7">
        <v>3261</v>
      </c>
      <c r="B3262" s="1">
        <v>43573</v>
      </c>
      <c r="C3262" s="6" t="s">
        <v>27</v>
      </c>
      <c r="D3262" s="6" t="s">
        <v>13</v>
      </c>
      <c r="E3262" s="6">
        <v>2</v>
      </c>
      <c r="F3262" s="6">
        <v>3</v>
      </c>
      <c r="G3262" s="6" t="s">
        <v>28</v>
      </c>
      <c r="H3262" s="6" t="s">
        <v>18</v>
      </c>
      <c r="I3262" s="6">
        <f>TabJogos[[#This Row],[PontosTime1]]-TabJogos[[#This Row],[PontosTime2]]</f>
        <v>-1</v>
      </c>
    </row>
    <row r="3263" spans="1:9" ht="15" customHeight="1" x14ac:dyDescent="0.25">
      <c r="A3263" s="7">
        <v>3262</v>
      </c>
      <c r="B3263" s="1">
        <v>43577</v>
      </c>
      <c r="C3263" s="6" t="s">
        <v>28</v>
      </c>
      <c r="D3263" s="6" t="s">
        <v>13</v>
      </c>
      <c r="E3263" s="6">
        <v>2</v>
      </c>
      <c r="F3263" s="6">
        <v>3</v>
      </c>
      <c r="G3263" s="6" t="s">
        <v>9</v>
      </c>
      <c r="H3263" s="6" t="s">
        <v>18</v>
      </c>
      <c r="I3263" s="6">
        <f>TabJogos[[#This Row],[PontosTime1]]-TabJogos[[#This Row],[PontosTime2]]</f>
        <v>-1</v>
      </c>
    </row>
    <row r="3264" spans="1:9" ht="15" customHeight="1" x14ac:dyDescent="0.25">
      <c r="A3264" s="7">
        <v>3263</v>
      </c>
      <c r="B3264" s="1">
        <v>43577</v>
      </c>
      <c r="C3264" s="6" t="s">
        <v>9</v>
      </c>
      <c r="D3264" s="6" t="s">
        <v>28</v>
      </c>
      <c r="E3264" s="6">
        <v>4</v>
      </c>
      <c r="F3264" s="6">
        <v>1</v>
      </c>
      <c r="G3264" s="6" t="s">
        <v>13</v>
      </c>
      <c r="H3264" s="6" t="s">
        <v>18</v>
      </c>
      <c r="I3264" s="6">
        <f>TabJogos[[#This Row],[PontosTime1]]-TabJogos[[#This Row],[PontosTime2]]</f>
        <v>3</v>
      </c>
    </row>
    <row r="3265" spans="1:9" ht="15" customHeight="1" x14ac:dyDescent="0.25">
      <c r="A3265" s="7">
        <v>3264</v>
      </c>
      <c r="B3265" s="1">
        <v>43577</v>
      </c>
      <c r="C3265" s="6" t="s">
        <v>9</v>
      </c>
      <c r="D3265" s="6" t="s">
        <v>13</v>
      </c>
      <c r="E3265" s="6">
        <v>0</v>
      </c>
      <c r="F3265" s="6">
        <v>3</v>
      </c>
      <c r="G3265" s="6" t="s">
        <v>28</v>
      </c>
      <c r="H3265" s="6" t="s">
        <v>18</v>
      </c>
      <c r="I3265" s="6">
        <f>TabJogos[[#This Row],[PontosTime1]]-TabJogos[[#This Row],[PontosTime2]]</f>
        <v>-3</v>
      </c>
    </row>
    <row r="3266" spans="1:9" ht="15" customHeight="1" x14ac:dyDescent="0.25">
      <c r="A3266" s="7">
        <v>3265</v>
      </c>
      <c r="B3266" s="1">
        <v>43577</v>
      </c>
      <c r="C3266" s="6" t="s">
        <v>28</v>
      </c>
      <c r="D3266" s="6" t="s">
        <v>13</v>
      </c>
      <c r="E3266" s="6">
        <v>3</v>
      </c>
      <c r="F3266" s="6">
        <v>2</v>
      </c>
      <c r="G3266" s="6" t="s">
        <v>9</v>
      </c>
      <c r="H3266" s="6" t="s">
        <v>18</v>
      </c>
      <c r="I3266" s="6">
        <f>TabJogos[[#This Row],[PontosTime1]]-TabJogos[[#This Row],[PontosTime2]]</f>
        <v>1</v>
      </c>
    </row>
    <row r="3267" spans="1:9" ht="15" customHeight="1" x14ac:dyDescent="0.25">
      <c r="A3267" s="7">
        <v>3266</v>
      </c>
      <c r="B3267" s="1">
        <v>43577</v>
      </c>
      <c r="C3267" s="6" t="s">
        <v>28</v>
      </c>
      <c r="D3267" s="6" t="s">
        <v>60</v>
      </c>
      <c r="E3267" s="6">
        <v>0</v>
      </c>
      <c r="F3267" s="6">
        <v>3</v>
      </c>
      <c r="G3267" s="6" t="s">
        <v>13</v>
      </c>
      <c r="H3267" s="6" t="s">
        <v>41</v>
      </c>
      <c r="I3267" s="6">
        <f>TabJogos[[#This Row],[PontosTime1]]-TabJogos[[#This Row],[PontosTime2]]</f>
        <v>-3</v>
      </c>
    </row>
    <row r="3268" spans="1:9" ht="15" customHeight="1" x14ac:dyDescent="0.25">
      <c r="A3268" s="7">
        <v>3267</v>
      </c>
      <c r="B3268" s="1">
        <v>43577</v>
      </c>
      <c r="C3268" s="6" t="s">
        <v>9</v>
      </c>
      <c r="D3268" s="6" t="s">
        <v>41</v>
      </c>
      <c r="E3268" s="6">
        <v>3</v>
      </c>
      <c r="F3268" s="6">
        <v>1</v>
      </c>
      <c r="G3268" s="6" t="s">
        <v>13</v>
      </c>
      <c r="H3268" s="6" t="s">
        <v>60</v>
      </c>
      <c r="I3268" s="6">
        <f>TabJogos[[#This Row],[PontosTime1]]-TabJogos[[#This Row],[PontosTime2]]</f>
        <v>2</v>
      </c>
    </row>
    <row r="3269" spans="1:9" ht="15" customHeight="1" x14ac:dyDescent="0.25">
      <c r="A3269" s="7">
        <v>3268</v>
      </c>
      <c r="B3269" s="1">
        <v>43577</v>
      </c>
      <c r="C3269" s="6" t="s">
        <v>13</v>
      </c>
      <c r="D3269" s="6" t="s">
        <v>18</v>
      </c>
      <c r="E3269" s="6">
        <v>4</v>
      </c>
      <c r="F3269" s="6">
        <v>2</v>
      </c>
      <c r="G3269" s="6" t="s">
        <v>9</v>
      </c>
      <c r="H3269" s="6" t="s">
        <v>28</v>
      </c>
      <c r="I3269" s="6">
        <f>TabJogos[[#This Row],[PontosTime1]]-TabJogos[[#This Row],[PontosTime2]]</f>
        <v>2</v>
      </c>
    </row>
    <row r="3270" spans="1:9" ht="15" customHeight="1" x14ac:dyDescent="0.25">
      <c r="A3270" s="7">
        <v>3269</v>
      </c>
      <c r="B3270" s="1">
        <v>43577</v>
      </c>
      <c r="C3270" s="6" t="s">
        <v>13</v>
      </c>
      <c r="D3270" s="6" t="s">
        <v>9</v>
      </c>
      <c r="E3270" s="6">
        <v>3</v>
      </c>
      <c r="F3270" s="6">
        <v>1</v>
      </c>
      <c r="G3270" s="6" t="s">
        <v>18</v>
      </c>
      <c r="H3270" s="6" t="s">
        <v>28</v>
      </c>
      <c r="I3270" s="6">
        <f>TabJogos[[#This Row],[PontosTime1]]-TabJogos[[#This Row],[PontosTime2]]</f>
        <v>2</v>
      </c>
    </row>
    <row r="3271" spans="1:9" ht="15" customHeight="1" x14ac:dyDescent="0.25">
      <c r="A3271" s="7">
        <v>3270</v>
      </c>
      <c r="B3271" s="1">
        <v>43578</v>
      </c>
      <c r="C3271" s="6" t="s">
        <v>13</v>
      </c>
      <c r="D3271" s="6" t="s">
        <v>28</v>
      </c>
      <c r="E3271" s="6">
        <v>1</v>
      </c>
      <c r="F3271" s="6">
        <v>3</v>
      </c>
      <c r="G3271" s="6" t="s">
        <v>9</v>
      </c>
      <c r="H3271" s="6" t="s">
        <v>18</v>
      </c>
      <c r="I3271" s="6">
        <f>TabJogos[[#This Row],[PontosTime1]]-TabJogos[[#This Row],[PontosTime2]]</f>
        <v>-2</v>
      </c>
    </row>
    <row r="3272" spans="1:9" ht="15" customHeight="1" x14ac:dyDescent="0.25">
      <c r="A3272" s="7">
        <v>3271</v>
      </c>
      <c r="B3272" s="1">
        <v>43578</v>
      </c>
      <c r="C3272" s="6" t="s">
        <v>9</v>
      </c>
      <c r="D3272" s="6" t="s">
        <v>28</v>
      </c>
      <c r="E3272" s="6">
        <v>2</v>
      </c>
      <c r="F3272" s="6">
        <v>3</v>
      </c>
      <c r="G3272" s="6" t="s">
        <v>13</v>
      </c>
      <c r="H3272" s="6" t="s">
        <v>18</v>
      </c>
      <c r="I3272" s="6">
        <f>TabJogos[[#This Row],[PontosTime1]]-TabJogos[[#This Row],[PontosTime2]]</f>
        <v>-1</v>
      </c>
    </row>
    <row r="3273" spans="1:9" ht="15" customHeight="1" x14ac:dyDescent="0.25">
      <c r="A3273" s="7">
        <v>3272</v>
      </c>
      <c r="B3273" s="1">
        <v>43578</v>
      </c>
      <c r="C3273" s="6" t="s">
        <v>13</v>
      </c>
      <c r="D3273" s="6" t="s">
        <v>32</v>
      </c>
      <c r="E3273" s="6">
        <v>4</v>
      </c>
      <c r="F3273" s="6">
        <v>2</v>
      </c>
      <c r="G3273" s="6" t="s">
        <v>18</v>
      </c>
      <c r="H3273" s="6" t="s">
        <v>28</v>
      </c>
      <c r="I3273" s="6">
        <f>TabJogos[[#This Row],[PontosTime1]]-TabJogos[[#This Row],[PontosTime2]]</f>
        <v>2</v>
      </c>
    </row>
    <row r="3274" spans="1:9" ht="15" customHeight="1" x14ac:dyDescent="0.25">
      <c r="A3274" s="7">
        <v>3273</v>
      </c>
      <c r="B3274" s="1">
        <v>43578</v>
      </c>
      <c r="C3274" s="6" t="s">
        <v>13</v>
      </c>
      <c r="D3274" s="6" t="s">
        <v>9</v>
      </c>
      <c r="E3274" s="6">
        <v>3</v>
      </c>
      <c r="F3274" s="6">
        <v>2</v>
      </c>
      <c r="G3274" s="6" t="s">
        <v>32</v>
      </c>
      <c r="H3274" s="6" t="s">
        <v>18</v>
      </c>
      <c r="I3274" s="6">
        <f>TabJogos[[#This Row],[PontosTime1]]-TabJogos[[#This Row],[PontosTime2]]</f>
        <v>1</v>
      </c>
    </row>
    <row r="3275" spans="1:9" ht="15" customHeight="1" x14ac:dyDescent="0.25">
      <c r="A3275" s="7">
        <v>3274</v>
      </c>
      <c r="B3275" s="1">
        <v>43578</v>
      </c>
      <c r="C3275" s="6" t="s">
        <v>9</v>
      </c>
      <c r="D3275" s="6" t="s">
        <v>32</v>
      </c>
      <c r="E3275" s="6">
        <v>3</v>
      </c>
      <c r="F3275" s="6">
        <v>2</v>
      </c>
      <c r="G3275" s="6" t="s">
        <v>28</v>
      </c>
      <c r="H3275" s="6" t="s">
        <v>13</v>
      </c>
      <c r="I3275" s="6">
        <f>TabJogos[[#This Row],[PontosTime1]]-TabJogos[[#This Row],[PontosTime2]]</f>
        <v>1</v>
      </c>
    </row>
    <row r="3276" spans="1:9" ht="15" customHeight="1" x14ac:dyDescent="0.25">
      <c r="A3276" s="7">
        <v>3275</v>
      </c>
      <c r="B3276" s="1">
        <v>43578</v>
      </c>
      <c r="C3276" s="6" t="s">
        <v>9</v>
      </c>
      <c r="D3276" s="6" t="s">
        <v>18</v>
      </c>
      <c r="E3276" s="6">
        <v>3</v>
      </c>
      <c r="F3276" s="6">
        <v>2</v>
      </c>
      <c r="G3276" s="6" t="s">
        <v>32</v>
      </c>
      <c r="H3276" s="6" t="s">
        <v>13</v>
      </c>
      <c r="I3276" s="6">
        <f>TabJogos[[#This Row],[PontosTime1]]-TabJogos[[#This Row],[PontosTime2]]</f>
        <v>1</v>
      </c>
    </row>
    <row r="3277" spans="1:9" ht="15" customHeight="1" x14ac:dyDescent="0.25">
      <c r="A3277" s="7">
        <v>3276</v>
      </c>
      <c r="B3277" s="1">
        <v>43578</v>
      </c>
      <c r="C3277" s="6" t="s">
        <v>18</v>
      </c>
      <c r="D3277" s="6" t="s">
        <v>13</v>
      </c>
      <c r="E3277" s="6">
        <v>4</v>
      </c>
      <c r="F3277" s="6">
        <v>0</v>
      </c>
      <c r="G3277" s="6" t="s">
        <v>9</v>
      </c>
      <c r="H3277" s="6" t="s">
        <v>28</v>
      </c>
      <c r="I3277" s="6">
        <f>TabJogos[[#This Row],[PontosTime1]]-TabJogos[[#This Row],[PontosTime2]]</f>
        <v>4</v>
      </c>
    </row>
    <row r="3278" spans="1:9" ht="15" customHeight="1" x14ac:dyDescent="0.25">
      <c r="A3278" s="7">
        <v>3277</v>
      </c>
      <c r="B3278" s="1">
        <v>43578</v>
      </c>
      <c r="C3278" s="6" t="s">
        <v>28</v>
      </c>
      <c r="D3278" s="6" t="s">
        <v>18</v>
      </c>
      <c r="E3278" s="6">
        <v>0</v>
      </c>
      <c r="F3278" s="6">
        <v>3</v>
      </c>
      <c r="G3278" s="6" t="s">
        <v>13</v>
      </c>
      <c r="H3278" s="6" t="s">
        <v>32</v>
      </c>
      <c r="I3278" s="6">
        <f>TabJogos[[#This Row],[PontosTime1]]-TabJogos[[#This Row],[PontosTime2]]</f>
        <v>-3</v>
      </c>
    </row>
    <row r="3279" spans="1:9" ht="15" customHeight="1" x14ac:dyDescent="0.25">
      <c r="A3279" s="7">
        <v>3278</v>
      </c>
      <c r="B3279" s="1">
        <v>43578</v>
      </c>
      <c r="C3279" s="6" t="s">
        <v>13</v>
      </c>
      <c r="D3279" s="6" t="s">
        <v>9</v>
      </c>
      <c r="E3279" s="6">
        <v>3</v>
      </c>
      <c r="F3279" s="6">
        <v>0</v>
      </c>
      <c r="G3279" s="6" t="s">
        <v>18</v>
      </c>
      <c r="H3279" s="6" t="s">
        <v>32</v>
      </c>
      <c r="I3279" s="6">
        <f>TabJogos[[#This Row],[PontosTime1]]-TabJogos[[#This Row],[PontosTime2]]</f>
        <v>3</v>
      </c>
    </row>
    <row r="3280" spans="1:9" ht="15" customHeight="1" x14ac:dyDescent="0.25">
      <c r="A3280" s="7">
        <v>3279</v>
      </c>
      <c r="B3280" s="1">
        <v>43578</v>
      </c>
      <c r="C3280" s="6" t="s">
        <v>9</v>
      </c>
      <c r="D3280" s="6" t="s">
        <v>32</v>
      </c>
      <c r="E3280" s="6">
        <v>3</v>
      </c>
      <c r="F3280" s="6">
        <v>2</v>
      </c>
      <c r="G3280" s="6" t="s">
        <v>13</v>
      </c>
      <c r="H3280" s="6" t="s">
        <v>28</v>
      </c>
      <c r="I3280" s="6">
        <f>TabJogos[[#This Row],[PontosTime1]]-TabJogos[[#This Row],[PontosTime2]]</f>
        <v>1</v>
      </c>
    </row>
    <row r="3281" spans="1:9" ht="15" customHeight="1" x14ac:dyDescent="0.25">
      <c r="A3281" s="7">
        <v>3280</v>
      </c>
      <c r="B3281" s="1">
        <v>43578</v>
      </c>
      <c r="C3281" s="6" t="s">
        <v>9</v>
      </c>
      <c r="D3281" s="6" t="s">
        <v>18</v>
      </c>
      <c r="E3281" s="6">
        <v>3</v>
      </c>
      <c r="F3281" s="6">
        <v>1</v>
      </c>
      <c r="G3281" s="6" t="s">
        <v>13</v>
      </c>
      <c r="H3281" s="6" t="s">
        <v>32</v>
      </c>
      <c r="I3281" s="6">
        <f>TabJogos[[#This Row],[PontosTime1]]-TabJogos[[#This Row],[PontosTime2]]</f>
        <v>2</v>
      </c>
    </row>
    <row r="3282" spans="1:9" ht="15" customHeight="1" x14ac:dyDescent="0.25">
      <c r="A3282" s="7">
        <v>3281</v>
      </c>
      <c r="B3282" s="1">
        <v>43578</v>
      </c>
      <c r="C3282" s="6" t="s">
        <v>9</v>
      </c>
      <c r="D3282" s="6" t="s">
        <v>28</v>
      </c>
      <c r="E3282" s="6">
        <v>1</v>
      </c>
      <c r="F3282" s="6">
        <v>3</v>
      </c>
      <c r="G3282" s="6" t="s">
        <v>41</v>
      </c>
      <c r="H3282" s="6" t="s">
        <v>18</v>
      </c>
      <c r="I3282" s="6">
        <f>TabJogos[[#This Row],[PontosTime1]]-TabJogos[[#This Row],[PontosTime2]]</f>
        <v>-2</v>
      </c>
    </row>
    <row r="3283" spans="1:9" ht="15" customHeight="1" x14ac:dyDescent="0.25">
      <c r="A3283" s="7">
        <v>3282</v>
      </c>
      <c r="B3283" s="1">
        <v>43578</v>
      </c>
      <c r="C3283" s="6" t="s">
        <v>13</v>
      </c>
      <c r="D3283" s="6" t="s">
        <v>41</v>
      </c>
      <c r="E3283" s="6">
        <v>3</v>
      </c>
      <c r="F3283" s="6">
        <v>0</v>
      </c>
      <c r="G3283" s="6" t="s">
        <v>18</v>
      </c>
      <c r="H3283" s="6" t="s">
        <v>32</v>
      </c>
      <c r="I3283" s="6">
        <f>TabJogos[[#This Row],[PontosTime1]]-TabJogos[[#This Row],[PontosTime2]]</f>
        <v>3</v>
      </c>
    </row>
    <row r="3284" spans="1:9" ht="15" customHeight="1" x14ac:dyDescent="0.25">
      <c r="A3284" s="7">
        <v>3283</v>
      </c>
      <c r="B3284" s="1">
        <v>43578</v>
      </c>
      <c r="C3284" s="6" t="s">
        <v>9</v>
      </c>
      <c r="D3284" s="6" t="s">
        <v>41</v>
      </c>
      <c r="E3284" s="6">
        <v>3</v>
      </c>
      <c r="F3284" s="6">
        <v>2</v>
      </c>
      <c r="G3284" s="6" t="s">
        <v>13</v>
      </c>
      <c r="H3284" s="6" t="s">
        <v>28</v>
      </c>
      <c r="I3284" s="6">
        <f>TabJogos[[#This Row],[PontosTime1]]-TabJogos[[#This Row],[PontosTime2]]</f>
        <v>1</v>
      </c>
    </row>
    <row r="3285" spans="1:9" ht="15" customHeight="1" x14ac:dyDescent="0.25">
      <c r="A3285" s="7">
        <v>3284</v>
      </c>
      <c r="B3285" s="1">
        <v>43578</v>
      </c>
      <c r="C3285" s="6" t="s">
        <v>13</v>
      </c>
      <c r="D3285" s="6" t="s">
        <v>18</v>
      </c>
      <c r="E3285" s="6">
        <v>4</v>
      </c>
      <c r="F3285" s="6">
        <v>0</v>
      </c>
      <c r="G3285" s="6" t="s">
        <v>9</v>
      </c>
      <c r="H3285" s="6" t="s">
        <v>28</v>
      </c>
      <c r="I3285" s="6">
        <f>TabJogos[[#This Row],[PontosTime1]]-TabJogos[[#This Row],[PontosTime2]]</f>
        <v>4</v>
      </c>
    </row>
    <row r="3286" spans="1:9" ht="15" customHeight="1" x14ac:dyDescent="0.25">
      <c r="A3286" s="7">
        <v>3285</v>
      </c>
      <c r="B3286" s="1">
        <v>43578</v>
      </c>
      <c r="C3286" s="6" t="s">
        <v>28</v>
      </c>
      <c r="D3286" s="6" t="s">
        <v>18</v>
      </c>
      <c r="E3286" s="6">
        <v>3</v>
      </c>
      <c r="F3286" s="6">
        <v>1</v>
      </c>
      <c r="G3286" s="6" t="s">
        <v>9</v>
      </c>
      <c r="H3286" s="6" t="s">
        <v>13</v>
      </c>
      <c r="I3286" s="6">
        <f>TabJogos[[#This Row],[PontosTime1]]-TabJogos[[#This Row],[PontosTime2]]</f>
        <v>2</v>
      </c>
    </row>
    <row r="3287" spans="1:9" ht="15" customHeight="1" x14ac:dyDescent="0.25">
      <c r="A3287" s="7">
        <v>3286</v>
      </c>
      <c r="B3287" s="1">
        <v>43578</v>
      </c>
      <c r="C3287" s="6" t="s">
        <v>9</v>
      </c>
      <c r="D3287" s="6" t="s">
        <v>18</v>
      </c>
      <c r="E3287" s="6">
        <v>3</v>
      </c>
      <c r="F3287" s="6">
        <v>1</v>
      </c>
      <c r="G3287" s="6" t="s">
        <v>13</v>
      </c>
      <c r="H3287" s="6" t="s">
        <v>28</v>
      </c>
      <c r="I3287" s="6">
        <f>TabJogos[[#This Row],[PontosTime1]]-TabJogos[[#This Row],[PontosTime2]]</f>
        <v>2</v>
      </c>
    </row>
    <row r="3288" spans="1:9" ht="15" customHeight="1" x14ac:dyDescent="0.25">
      <c r="A3288" s="7">
        <v>3287</v>
      </c>
      <c r="B3288" s="1">
        <v>43579</v>
      </c>
      <c r="C3288" s="6" t="s">
        <v>13</v>
      </c>
      <c r="D3288" s="6" t="s">
        <v>32</v>
      </c>
      <c r="E3288" s="6">
        <v>3</v>
      </c>
      <c r="F3288" s="6">
        <v>1</v>
      </c>
      <c r="G3288" s="6" t="s">
        <v>28</v>
      </c>
      <c r="H3288" s="6" t="s">
        <v>41</v>
      </c>
      <c r="I3288" s="6">
        <f>TabJogos[[#This Row],[PontosTime1]]-TabJogos[[#This Row],[PontosTime2]]</f>
        <v>2</v>
      </c>
    </row>
    <row r="3289" spans="1:9" ht="15" customHeight="1" x14ac:dyDescent="0.25">
      <c r="A3289" s="7">
        <v>3288</v>
      </c>
      <c r="B3289" s="1">
        <v>43579</v>
      </c>
      <c r="C3289" s="6" t="s">
        <v>13</v>
      </c>
      <c r="D3289" s="6" t="s">
        <v>41</v>
      </c>
      <c r="E3289" s="6">
        <v>0</v>
      </c>
      <c r="F3289" s="6">
        <v>4</v>
      </c>
      <c r="G3289" s="6" t="s">
        <v>28</v>
      </c>
      <c r="H3289" s="6" t="s">
        <v>32</v>
      </c>
      <c r="I3289" s="6">
        <f>TabJogos[[#This Row],[PontosTime1]]-TabJogos[[#This Row],[PontosTime2]]</f>
        <v>-4</v>
      </c>
    </row>
    <row r="3290" spans="1:9" ht="15" customHeight="1" x14ac:dyDescent="0.25">
      <c r="A3290" s="7">
        <v>3289</v>
      </c>
      <c r="B3290" s="1">
        <v>43579</v>
      </c>
      <c r="C3290" s="6" t="s">
        <v>32</v>
      </c>
      <c r="D3290" s="6" t="s">
        <v>41</v>
      </c>
      <c r="E3290" s="6">
        <v>3</v>
      </c>
      <c r="F3290" s="6">
        <v>0</v>
      </c>
      <c r="G3290" s="6" t="s">
        <v>13</v>
      </c>
      <c r="H3290" s="6" t="s">
        <v>28</v>
      </c>
      <c r="I3290" s="6">
        <f>TabJogos[[#This Row],[PontosTime1]]-TabJogos[[#This Row],[PontosTime2]]</f>
        <v>3</v>
      </c>
    </row>
    <row r="3291" spans="1:9" ht="15" customHeight="1" x14ac:dyDescent="0.25">
      <c r="A3291" s="7">
        <v>3290</v>
      </c>
      <c r="B3291" s="1">
        <v>43579</v>
      </c>
      <c r="C3291" s="6" t="s">
        <v>41</v>
      </c>
      <c r="D3291" s="6" t="s">
        <v>28</v>
      </c>
      <c r="E3291" s="6">
        <v>2</v>
      </c>
      <c r="F3291" s="6">
        <v>5</v>
      </c>
      <c r="G3291" s="6" t="s">
        <v>32</v>
      </c>
      <c r="H3291" s="6" t="s">
        <v>13</v>
      </c>
      <c r="I3291" s="6">
        <f>TabJogos[[#This Row],[PontosTime1]]-TabJogos[[#This Row],[PontosTime2]]</f>
        <v>-3</v>
      </c>
    </row>
    <row r="3292" spans="1:9" ht="15" customHeight="1" x14ac:dyDescent="0.25">
      <c r="A3292" s="7">
        <v>3291</v>
      </c>
      <c r="B3292" s="1">
        <v>43579</v>
      </c>
      <c r="C3292" s="6" t="s">
        <v>13</v>
      </c>
      <c r="D3292" s="6" t="s">
        <v>41</v>
      </c>
      <c r="E3292" s="6">
        <v>3</v>
      </c>
      <c r="F3292" s="6">
        <v>1</v>
      </c>
      <c r="G3292" s="6" t="s">
        <v>32</v>
      </c>
      <c r="H3292" s="6" t="s">
        <v>28</v>
      </c>
      <c r="I3292" s="6">
        <f>TabJogos[[#This Row],[PontosTime1]]-TabJogos[[#This Row],[PontosTime2]]</f>
        <v>2</v>
      </c>
    </row>
    <row r="3293" spans="1:9" ht="15" customHeight="1" x14ac:dyDescent="0.25">
      <c r="A3293" s="7">
        <v>3292</v>
      </c>
      <c r="B3293" s="1">
        <v>43579</v>
      </c>
      <c r="C3293" s="6" t="s">
        <v>41</v>
      </c>
      <c r="D3293" s="6" t="s">
        <v>32</v>
      </c>
      <c r="E3293" s="6">
        <v>0</v>
      </c>
      <c r="F3293" s="6">
        <v>3</v>
      </c>
      <c r="G3293" s="6" t="s">
        <v>28</v>
      </c>
      <c r="H3293" s="6" t="s">
        <v>13</v>
      </c>
      <c r="I3293" s="6">
        <f>TabJogos[[#This Row],[PontosTime1]]-TabJogos[[#This Row],[PontosTime2]]</f>
        <v>-3</v>
      </c>
    </row>
    <row r="3294" spans="1:9" ht="15" customHeight="1" x14ac:dyDescent="0.25">
      <c r="A3294" s="7">
        <v>3293</v>
      </c>
      <c r="B3294" s="1">
        <v>43579</v>
      </c>
      <c r="C3294" s="6" t="s">
        <v>13</v>
      </c>
      <c r="D3294" s="6" t="s">
        <v>32</v>
      </c>
      <c r="E3294" s="6">
        <v>3</v>
      </c>
      <c r="F3294" s="6">
        <v>2</v>
      </c>
      <c r="G3294" s="6" t="s">
        <v>41</v>
      </c>
      <c r="H3294" s="6" t="s">
        <v>28</v>
      </c>
      <c r="I3294" s="6">
        <f>TabJogos[[#This Row],[PontosTime1]]-TabJogos[[#This Row],[PontosTime2]]</f>
        <v>1</v>
      </c>
    </row>
    <row r="3295" spans="1:9" ht="15" customHeight="1" x14ac:dyDescent="0.25">
      <c r="A3295" s="7">
        <v>3294</v>
      </c>
      <c r="B3295" s="1">
        <v>43579</v>
      </c>
      <c r="C3295" s="6" t="s">
        <v>13</v>
      </c>
      <c r="D3295" s="6" t="s">
        <v>41</v>
      </c>
      <c r="E3295" s="6">
        <v>3</v>
      </c>
      <c r="F3295" s="6">
        <v>0</v>
      </c>
      <c r="G3295" s="6" t="s">
        <v>32</v>
      </c>
      <c r="H3295" s="6" t="s">
        <v>28</v>
      </c>
      <c r="I3295" s="6">
        <f>TabJogos[[#This Row],[PontosTime1]]-TabJogos[[#This Row],[PontosTime2]]</f>
        <v>3</v>
      </c>
    </row>
    <row r="3296" spans="1:9" ht="15" customHeight="1" x14ac:dyDescent="0.25">
      <c r="A3296" s="7">
        <v>3295</v>
      </c>
      <c r="B3296" s="1">
        <v>43579</v>
      </c>
      <c r="C3296" s="6" t="s">
        <v>41</v>
      </c>
      <c r="D3296" s="6" t="s">
        <v>32</v>
      </c>
      <c r="E3296" s="6">
        <v>3</v>
      </c>
      <c r="F3296" s="6">
        <v>0</v>
      </c>
      <c r="G3296" s="6" t="s">
        <v>28</v>
      </c>
      <c r="H3296" s="6" t="s">
        <v>13</v>
      </c>
      <c r="I3296" s="6">
        <f>TabJogos[[#This Row],[PontosTime1]]-TabJogos[[#This Row],[PontosTime2]]</f>
        <v>3</v>
      </c>
    </row>
    <row r="3297" spans="1:9" ht="15" customHeight="1" x14ac:dyDescent="0.25">
      <c r="A3297" s="7">
        <v>3296</v>
      </c>
      <c r="B3297" s="1">
        <v>43580</v>
      </c>
      <c r="C3297" s="6" t="s">
        <v>13</v>
      </c>
      <c r="D3297" s="6" t="s">
        <v>9</v>
      </c>
      <c r="E3297" s="6">
        <v>1</v>
      </c>
      <c r="F3297" s="6">
        <v>3</v>
      </c>
      <c r="G3297" s="6" t="s">
        <v>28</v>
      </c>
      <c r="H3297" s="6" t="s">
        <v>60</v>
      </c>
      <c r="I3297" s="6">
        <f>TabJogos[[#This Row],[PontosTime1]]-TabJogos[[#This Row],[PontosTime2]]</f>
        <v>-2</v>
      </c>
    </row>
    <row r="3298" spans="1:9" ht="15" customHeight="1" x14ac:dyDescent="0.25">
      <c r="A3298" s="7">
        <v>3297</v>
      </c>
      <c r="B3298" s="1">
        <v>43580</v>
      </c>
      <c r="C3298" s="6" t="s">
        <v>28</v>
      </c>
      <c r="D3298" s="6" t="s">
        <v>58</v>
      </c>
      <c r="E3298" s="6">
        <v>2</v>
      </c>
      <c r="F3298" s="6">
        <v>3</v>
      </c>
      <c r="G3298" s="6" t="s">
        <v>32</v>
      </c>
      <c r="H3298" s="6" t="s">
        <v>60</v>
      </c>
      <c r="I3298" s="6">
        <f>TabJogos[[#This Row],[PontosTime1]]-TabJogos[[#This Row],[PontosTime2]]</f>
        <v>-1</v>
      </c>
    </row>
    <row r="3299" spans="1:9" ht="15" customHeight="1" x14ac:dyDescent="0.25">
      <c r="A3299" s="7">
        <v>3298</v>
      </c>
      <c r="B3299" s="1">
        <v>43580</v>
      </c>
      <c r="C3299" s="6" t="s">
        <v>32</v>
      </c>
      <c r="D3299" s="6" t="s">
        <v>9</v>
      </c>
      <c r="E3299" s="6">
        <v>3</v>
      </c>
      <c r="F3299" s="6">
        <v>1</v>
      </c>
      <c r="G3299" s="6" t="s">
        <v>13</v>
      </c>
      <c r="H3299" s="6" t="s">
        <v>60</v>
      </c>
      <c r="I3299" s="6">
        <f>TabJogos[[#This Row],[PontosTime1]]-TabJogos[[#This Row],[PontosTime2]]</f>
        <v>2</v>
      </c>
    </row>
    <row r="3300" spans="1:9" ht="15" customHeight="1" x14ac:dyDescent="0.25">
      <c r="A3300" s="7">
        <v>3299</v>
      </c>
      <c r="B3300" s="1">
        <v>43580</v>
      </c>
      <c r="C3300" s="6" t="s">
        <v>28</v>
      </c>
      <c r="D3300" s="6" t="s">
        <v>32</v>
      </c>
      <c r="E3300" s="6">
        <v>3</v>
      </c>
      <c r="F3300" s="6">
        <v>0</v>
      </c>
      <c r="G3300" s="6" t="s">
        <v>58</v>
      </c>
      <c r="H3300" s="6" t="s">
        <v>9</v>
      </c>
      <c r="I3300" s="6">
        <f>TabJogos[[#This Row],[PontosTime1]]-TabJogos[[#This Row],[PontosTime2]]</f>
        <v>3</v>
      </c>
    </row>
    <row r="3301" spans="1:9" ht="15" customHeight="1" x14ac:dyDescent="0.25">
      <c r="A3301" s="7">
        <v>3300</v>
      </c>
      <c r="B3301" s="1">
        <v>43580</v>
      </c>
      <c r="C3301" s="6" t="s">
        <v>32</v>
      </c>
      <c r="D3301" s="6" t="s">
        <v>13</v>
      </c>
      <c r="E3301" s="6">
        <v>3</v>
      </c>
      <c r="F3301" s="6">
        <v>2</v>
      </c>
      <c r="G3301" s="6" t="s">
        <v>60</v>
      </c>
      <c r="H3301" s="6" t="s">
        <v>28</v>
      </c>
      <c r="I3301" s="6">
        <f>TabJogos[[#This Row],[PontosTime1]]-TabJogos[[#This Row],[PontosTime2]]</f>
        <v>1</v>
      </c>
    </row>
    <row r="3302" spans="1:9" ht="15" customHeight="1" x14ac:dyDescent="0.25">
      <c r="A3302" s="7">
        <v>3301</v>
      </c>
      <c r="B3302" s="1">
        <v>43580</v>
      </c>
      <c r="C3302" s="6" t="s">
        <v>32</v>
      </c>
      <c r="D3302" s="6" t="s">
        <v>18</v>
      </c>
      <c r="E3302" s="6">
        <v>2</v>
      </c>
      <c r="F3302" s="6">
        <v>3</v>
      </c>
      <c r="G3302" s="6" t="s">
        <v>9</v>
      </c>
      <c r="H3302" s="6" t="s">
        <v>13</v>
      </c>
      <c r="I3302" s="6">
        <f>TabJogos[[#This Row],[PontosTime1]]-TabJogos[[#This Row],[PontosTime2]]</f>
        <v>-1</v>
      </c>
    </row>
    <row r="3303" spans="1:9" ht="15" customHeight="1" x14ac:dyDescent="0.25">
      <c r="A3303" s="7">
        <v>3302</v>
      </c>
      <c r="B3303" s="1">
        <v>43580</v>
      </c>
      <c r="C3303" s="6" t="s">
        <v>60</v>
      </c>
      <c r="D3303" s="6" t="s">
        <v>9</v>
      </c>
      <c r="E3303" s="6">
        <v>0</v>
      </c>
      <c r="F3303" s="6">
        <v>4</v>
      </c>
      <c r="G3303" s="6" t="s">
        <v>28</v>
      </c>
      <c r="H3303" s="6" t="s">
        <v>13</v>
      </c>
      <c r="I3303" s="6">
        <f>TabJogos[[#This Row],[PontosTime1]]-TabJogos[[#This Row],[PontosTime2]]</f>
        <v>-4</v>
      </c>
    </row>
    <row r="3304" spans="1:9" ht="15" customHeight="1" x14ac:dyDescent="0.25">
      <c r="A3304" s="7">
        <v>3303</v>
      </c>
      <c r="B3304" s="1">
        <v>43580</v>
      </c>
      <c r="C3304" s="6" t="s">
        <v>18</v>
      </c>
      <c r="D3304" s="6" t="s">
        <v>13</v>
      </c>
      <c r="E3304" s="6">
        <v>3</v>
      </c>
      <c r="F3304" s="6">
        <v>0</v>
      </c>
      <c r="G3304" s="6" t="s">
        <v>9</v>
      </c>
      <c r="H3304" s="6" t="s">
        <v>28</v>
      </c>
      <c r="I3304" s="6">
        <f>TabJogos[[#This Row],[PontosTime1]]-TabJogos[[#This Row],[PontosTime2]]</f>
        <v>3</v>
      </c>
    </row>
    <row r="3305" spans="1:9" ht="15" customHeight="1" x14ac:dyDescent="0.25">
      <c r="A3305" s="7">
        <v>3304</v>
      </c>
      <c r="B3305" s="1">
        <v>43580</v>
      </c>
      <c r="C3305" s="6" t="s">
        <v>60</v>
      </c>
      <c r="D3305" s="6" t="s">
        <v>18</v>
      </c>
      <c r="E3305" s="6">
        <v>3</v>
      </c>
      <c r="F3305" s="6">
        <v>2</v>
      </c>
      <c r="G3305" s="6" t="s">
        <v>13</v>
      </c>
      <c r="H3305" s="6" t="s">
        <v>32</v>
      </c>
      <c r="I3305" s="6">
        <f>TabJogos[[#This Row],[PontosTime1]]-TabJogos[[#This Row],[PontosTime2]]</f>
        <v>1</v>
      </c>
    </row>
    <row r="3306" spans="1:9" ht="15" customHeight="1" x14ac:dyDescent="0.25">
      <c r="A3306" s="7">
        <v>3305</v>
      </c>
      <c r="B3306" s="1">
        <v>43580</v>
      </c>
      <c r="C3306" s="6" t="s">
        <v>18</v>
      </c>
      <c r="D3306" s="6" t="s">
        <v>9</v>
      </c>
      <c r="E3306" s="6">
        <v>4</v>
      </c>
      <c r="F3306" s="6">
        <v>2</v>
      </c>
      <c r="G3306" s="6" t="s">
        <v>28</v>
      </c>
      <c r="H3306" s="6" t="s">
        <v>60</v>
      </c>
      <c r="I3306" s="6">
        <f>TabJogos[[#This Row],[PontosTime1]]-TabJogos[[#This Row],[PontosTime2]]</f>
        <v>2</v>
      </c>
    </row>
    <row r="3307" spans="1:9" ht="15" customHeight="1" x14ac:dyDescent="0.25">
      <c r="A3307" s="7">
        <v>3306</v>
      </c>
      <c r="B3307" s="1">
        <v>43580</v>
      </c>
      <c r="C3307" s="6" t="s">
        <v>41</v>
      </c>
      <c r="D3307" s="6" t="s">
        <v>9</v>
      </c>
      <c r="E3307" s="6">
        <v>3</v>
      </c>
      <c r="F3307" s="6">
        <v>1</v>
      </c>
      <c r="G3307" s="6" t="s">
        <v>60</v>
      </c>
      <c r="H3307" s="6" t="s">
        <v>13</v>
      </c>
      <c r="I3307" s="6">
        <f>TabJogos[[#This Row],[PontosTime1]]-TabJogos[[#This Row],[PontosTime2]]</f>
        <v>2</v>
      </c>
    </row>
    <row r="3308" spans="1:9" ht="15" customHeight="1" x14ac:dyDescent="0.25">
      <c r="A3308" s="7">
        <v>3307</v>
      </c>
      <c r="B3308" s="1">
        <v>43581</v>
      </c>
      <c r="C3308" s="6" t="s">
        <v>13</v>
      </c>
      <c r="D3308" s="6" t="s">
        <v>41</v>
      </c>
      <c r="E3308" s="6">
        <v>0</v>
      </c>
      <c r="F3308" s="6">
        <v>3</v>
      </c>
      <c r="G3308" s="6" t="s">
        <v>18</v>
      </c>
      <c r="H3308" s="6" t="s">
        <v>28</v>
      </c>
      <c r="I3308" s="6">
        <f>TabJogos[[#This Row],[PontosTime1]]-TabJogos[[#This Row],[PontosTime2]]</f>
        <v>-3</v>
      </c>
    </row>
    <row r="3309" spans="1:9" ht="15" customHeight="1" x14ac:dyDescent="0.25">
      <c r="A3309" s="7">
        <v>3308</v>
      </c>
      <c r="B3309" s="1">
        <v>43581</v>
      </c>
      <c r="C3309" s="6" t="s">
        <v>18</v>
      </c>
      <c r="D3309" s="6" t="s">
        <v>41</v>
      </c>
      <c r="E3309" s="6">
        <v>3</v>
      </c>
      <c r="F3309" s="6">
        <v>2</v>
      </c>
      <c r="G3309" s="6" t="s">
        <v>13</v>
      </c>
      <c r="H3309" s="6" t="s">
        <v>28</v>
      </c>
      <c r="I3309" s="6">
        <f>TabJogos[[#This Row],[PontosTime1]]-TabJogos[[#This Row],[PontosTime2]]</f>
        <v>1</v>
      </c>
    </row>
    <row r="3310" spans="1:9" ht="15" customHeight="1" x14ac:dyDescent="0.25">
      <c r="A3310" s="7">
        <v>3309</v>
      </c>
      <c r="B3310" s="1">
        <v>43581</v>
      </c>
      <c r="C3310" s="6" t="s">
        <v>28</v>
      </c>
      <c r="D3310" s="6" t="s">
        <v>41</v>
      </c>
      <c r="E3310" s="6">
        <v>1</v>
      </c>
      <c r="F3310" s="6">
        <v>3</v>
      </c>
      <c r="G3310" s="6" t="s">
        <v>60</v>
      </c>
      <c r="H3310" s="6" t="s">
        <v>13</v>
      </c>
      <c r="I3310" s="6">
        <f>TabJogos[[#This Row],[PontosTime1]]-TabJogos[[#This Row],[PontosTime2]]</f>
        <v>-2</v>
      </c>
    </row>
    <row r="3311" spans="1:9" ht="15" customHeight="1" x14ac:dyDescent="0.25">
      <c r="A3311" s="7">
        <v>3310</v>
      </c>
      <c r="B3311" s="1">
        <v>43581</v>
      </c>
      <c r="C3311" s="6" t="s">
        <v>13</v>
      </c>
      <c r="D3311" s="6" t="s">
        <v>18</v>
      </c>
      <c r="E3311" s="6">
        <v>3</v>
      </c>
      <c r="F3311" s="6">
        <v>1</v>
      </c>
      <c r="G3311" s="6" t="s">
        <v>60</v>
      </c>
      <c r="H3311" s="6" t="s">
        <v>41</v>
      </c>
      <c r="I3311" s="6">
        <f>TabJogos[[#This Row],[PontosTime1]]-TabJogos[[#This Row],[PontosTime2]]</f>
        <v>2</v>
      </c>
    </row>
    <row r="3312" spans="1:9" ht="15" customHeight="1" x14ac:dyDescent="0.25">
      <c r="A3312" s="7">
        <v>3311</v>
      </c>
      <c r="B3312" s="1">
        <v>43581</v>
      </c>
      <c r="C3312" s="6" t="s">
        <v>13</v>
      </c>
      <c r="D3312" s="6" t="s">
        <v>60</v>
      </c>
      <c r="E3312" s="6">
        <v>3</v>
      </c>
      <c r="F3312" s="6">
        <v>1</v>
      </c>
      <c r="G3312" s="6" t="s">
        <v>28</v>
      </c>
      <c r="H3312" s="6" t="s">
        <v>18</v>
      </c>
      <c r="I3312" s="6">
        <f>TabJogos[[#This Row],[PontosTime1]]-TabJogos[[#This Row],[PontosTime2]]</f>
        <v>2</v>
      </c>
    </row>
    <row r="3313" spans="1:9" ht="15" customHeight="1" x14ac:dyDescent="0.25">
      <c r="A3313" s="7">
        <v>3312</v>
      </c>
      <c r="B3313" s="1">
        <v>43581</v>
      </c>
      <c r="C3313" s="6" t="s">
        <v>18</v>
      </c>
      <c r="D3313" s="6" t="s">
        <v>60</v>
      </c>
      <c r="E3313" s="6">
        <v>3</v>
      </c>
      <c r="F3313" s="6">
        <v>0</v>
      </c>
      <c r="G3313" s="6" t="s">
        <v>13</v>
      </c>
      <c r="H3313" s="6" t="s">
        <v>41</v>
      </c>
      <c r="I3313" s="6">
        <f>TabJogos[[#This Row],[PontosTime1]]-TabJogos[[#This Row],[PontosTime2]]</f>
        <v>3</v>
      </c>
    </row>
    <row r="3314" spans="1:9" ht="15" customHeight="1" x14ac:dyDescent="0.25">
      <c r="A3314" s="7">
        <v>3313</v>
      </c>
      <c r="B3314" s="1">
        <v>43581</v>
      </c>
      <c r="C3314" s="6" t="s">
        <v>13</v>
      </c>
      <c r="D3314" s="6" t="s">
        <v>18</v>
      </c>
      <c r="E3314" s="6">
        <v>0</v>
      </c>
      <c r="F3314" s="6">
        <v>3</v>
      </c>
      <c r="G3314" s="6" t="s">
        <v>60</v>
      </c>
      <c r="H3314" s="6" t="s">
        <v>28</v>
      </c>
      <c r="I3314" s="6">
        <f>TabJogos[[#This Row],[PontosTime1]]-TabJogos[[#This Row],[PontosTime2]]</f>
        <v>-3</v>
      </c>
    </row>
    <row r="3315" spans="1:9" ht="15" customHeight="1" x14ac:dyDescent="0.25">
      <c r="A3315" s="7">
        <v>3314</v>
      </c>
      <c r="B3315" s="1">
        <v>43584</v>
      </c>
      <c r="C3315" s="6" t="s">
        <v>17</v>
      </c>
      <c r="D3315" s="6" t="s">
        <v>28</v>
      </c>
      <c r="E3315" s="6">
        <v>3</v>
      </c>
      <c r="F3315" s="6">
        <v>1</v>
      </c>
      <c r="G3315" s="6" t="s">
        <v>60</v>
      </c>
      <c r="H3315" s="6" t="s">
        <v>13</v>
      </c>
      <c r="I3315" s="6">
        <f>TabJogos[[#This Row],[PontosTime1]]-TabJogos[[#This Row],[PontosTime2]]</f>
        <v>2</v>
      </c>
    </row>
    <row r="3316" spans="1:9" ht="15" customHeight="1" x14ac:dyDescent="0.25">
      <c r="A3316" s="7">
        <v>3315</v>
      </c>
      <c r="B3316" s="1">
        <v>43584</v>
      </c>
      <c r="C3316" s="6" t="s">
        <v>17</v>
      </c>
      <c r="D3316" s="6" t="s">
        <v>60</v>
      </c>
      <c r="E3316" s="6">
        <v>1</v>
      </c>
      <c r="F3316" s="6">
        <v>3</v>
      </c>
      <c r="G3316" s="6" t="s">
        <v>13</v>
      </c>
      <c r="H3316" s="6" t="s">
        <v>28</v>
      </c>
      <c r="I3316" s="6">
        <f>TabJogos[[#This Row],[PontosTime1]]-TabJogos[[#This Row],[PontosTime2]]</f>
        <v>-2</v>
      </c>
    </row>
    <row r="3317" spans="1:9" ht="15" customHeight="1" x14ac:dyDescent="0.25">
      <c r="A3317" s="7">
        <v>3316</v>
      </c>
      <c r="B3317" s="1">
        <v>43584</v>
      </c>
      <c r="C3317" s="6" t="s">
        <v>17</v>
      </c>
      <c r="D3317" s="6" t="s">
        <v>13</v>
      </c>
      <c r="E3317" s="6">
        <v>0</v>
      </c>
      <c r="F3317" s="6">
        <v>3</v>
      </c>
      <c r="G3317" s="6" t="s">
        <v>28</v>
      </c>
      <c r="H3317" s="6" t="s">
        <v>60</v>
      </c>
      <c r="I3317" s="6">
        <f>TabJogos[[#This Row],[PontosTime1]]-TabJogos[[#This Row],[PontosTime2]]</f>
        <v>-3</v>
      </c>
    </row>
    <row r="3318" spans="1:9" ht="15" customHeight="1" x14ac:dyDescent="0.25">
      <c r="A3318" s="7">
        <v>3317</v>
      </c>
      <c r="B3318" s="1">
        <v>43584</v>
      </c>
      <c r="C3318" s="6" t="s">
        <v>13</v>
      </c>
      <c r="D3318" s="6" t="s">
        <v>60</v>
      </c>
      <c r="E3318" s="6">
        <v>3</v>
      </c>
      <c r="F3318" s="6">
        <v>0</v>
      </c>
      <c r="G3318" s="6" t="s">
        <v>28</v>
      </c>
      <c r="H3318" s="6" t="s">
        <v>17</v>
      </c>
      <c r="I3318" s="6">
        <f>TabJogos[[#This Row],[PontosTime1]]-TabJogos[[#This Row],[PontosTime2]]</f>
        <v>3</v>
      </c>
    </row>
    <row r="3319" spans="1:9" ht="15" customHeight="1" x14ac:dyDescent="0.25">
      <c r="A3319" s="7">
        <v>3318</v>
      </c>
      <c r="B3319" s="1">
        <v>43584</v>
      </c>
      <c r="C3319" s="6" t="s">
        <v>13</v>
      </c>
      <c r="D3319" s="6" t="s">
        <v>28</v>
      </c>
      <c r="E3319" s="6">
        <v>2</v>
      </c>
      <c r="F3319" s="6">
        <v>3</v>
      </c>
      <c r="G3319" s="6" t="s">
        <v>60</v>
      </c>
      <c r="H3319" s="6" t="s">
        <v>17</v>
      </c>
      <c r="I3319" s="6">
        <f>TabJogos[[#This Row],[PontosTime1]]-TabJogos[[#This Row],[PontosTime2]]</f>
        <v>-1</v>
      </c>
    </row>
    <row r="3320" spans="1:9" ht="15" customHeight="1" x14ac:dyDescent="0.25">
      <c r="A3320" s="7">
        <v>3319</v>
      </c>
      <c r="B3320" s="1">
        <v>43584</v>
      </c>
      <c r="C3320" s="6" t="s">
        <v>17</v>
      </c>
      <c r="D3320" s="6" t="s">
        <v>28</v>
      </c>
      <c r="E3320" s="6">
        <v>4</v>
      </c>
      <c r="F3320" s="6">
        <v>2</v>
      </c>
      <c r="G3320" s="6" t="s">
        <v>60</v>
      </c>
      <c r="H3320" s="6" t="s">
        <v>18</v>
      </c>
      <c r="I3320" s="6">
        <f>TabJogos[[#This Row],[PontosTime1]]-TabJogos[[#This Row],[PontosTime2]]</f>
        <v>2</v>
      </c>
    </row>
    <row r="3321" spans="1:9" ht="15" customHeight="1" x14ac:dyDescent="0.25">
      <c r="A3321" s="7">
        <v>3320</v>
      </c>
      <c r="B3321" s="1">
        <v>43584</v>
      </c>
      <c r="C3321" s="6" t="s">
        <v>28</v>
      </c>
      <c r="D3321" s="6" t="s">
        <v>9</v>
      </c>
      <c r="E3321" s="6">
        <v>0</v>
      </c>
      <c r="F3321" s="6">
        <v>3</v>
      </c>
      <c r="G3321" s="6" t="s">
        <v>13</v>
      </c>
      <c r="H3321" s="6" t="s">
        <v>17</v>
      </c>
      <c r="I3321" s="6">
        <f>TabJogos[[#This Row],[PontosTime1]]-TabJogos[[#This Row],[PontosTime2]]</f>
        <v>-3</v>
      </c>
    </row>
    <row r="3322" spans="1:9" ht="15" customHeight="1" x14ac:dyDescent="0.25">
      <c r="A3322" s="7">
        <v>3321</v>
      </c>
      <c r="B3322" s="1">
        <v>43584</v>
      </c>
      <c r="C3322" s="6" t="s">
        <v>32</v>
      </c>
      <c r="D3322" s="6" t="s">
        <v>18</v>
      </c>
      <c r="E3322" s="6">
        <v>3</v>
      </c>
      <c r="F3322" s="6">
        <v>0</v>
      </c>
      <c r="G3322" s="6" t="s">
        <v>9</v>
      </c>
      <c r="H3322" s="6" t="s">
        <v>41</v>
      </c>
      <c r="I3322" s="6">
        <f>TabJogos[[#This Row],[PontosTime1]]-TabJogos[[#This Row],[PontosTime2]]</f>
        <v>3</v>
      </c>
    </row>
    <row r="3323" spans="1:9" ht="15" customHeight="1" x14ac:dyDescent="0.25">
      <c r="A3323" s="7">
        <v>3322</v>
      </c>
      <c r="B3323" s="1">
        <v>43584</v>
      </c>
      <c r="C3323" s="6" t="s">
        <v>13</v>
      </c>
      <c r="D3323" s="6" t="s">
        <v>60</v>
      </c>
      <c r="E3323" s="6">
        <v>0</v>
      </c>
      <c r="F3323" s="6">
        <v>3</v>
      </c>
      <c r="G3323" s="6" t="s">
        <v>17</v>
      </c>
      <c r="H3323" s="6" t="s">
        <v>18</v>
      </c>
      <c r="I3323" s="6">
        <f>TabJogos[[#This Row],[PontosTime1]]-TabJogos[[#This Row],[PontosTime2]]</f>
        <v>-3</v>
      </c>
    </row>
    <row r="3324" spans="1:9" ht="15" customHeight="1" x14ac:dyDescent="0.25">
      <c r="A3324" s="7">
        <v>3323</v>
      </c>
      <c r="B3324" s="1">
        <v>43584</v>
      </c>
      <c r="C3324" s="6" t="s">
        <v>17</v>
      </c>
      <c r="D3324" s="6" t="s">
        <v>9</v>
      </c>
      <c r="E3324" s="6">
        <v>1</v>
      </c>
      <c r="F3324" s="6">
        <v>3</v>
      </c>
      <c r="G3324" s="6" t="s">
        <v>28</v>
      </c>
      <c r="H3324" s="6" t="s">
        <v>18</v>
      </c>
      <c r="I3324" s="6">
        <f>TabJogos[[#This Row],[PontosTime1]]-TabJogos[[#This Row],[PontosTime2]]</f>
        <v>-2</v>
      </c>
    </row>
    <row r="3325" spans="1:9" ht="15" customHeight="1" x14ac:dyDescent="0.25">
      <c r="A3325" s="7">
        <v>3324</v>
      </c>
      <c r="B3325" s="1">
        <v>43584</v>
      </c>
      <c r="C3325" s="6" t="s">
        <v>28</v>
      </c>
      <c r="D3325" s="6" t="s">
        <v>60</v>
      </c>
      <c r="E3325" s="6">
        <v>3</v>
      </c>
      <c r="F3325" s="6">
        <v>1</v>
      </c>
      <c r="G3325" s="6" t="s">
        <v>13</v>
      </c>
      <c r="H3325" s="6" t="s">
        <v>18</v>
      </c>
      <c r="I3325" s="6">
        <f>TabJogos[[#This Row],[PontosTime1]]-TabJogos[[#This Row],[PontosTime2]]</f>
        <v>2</v>
      </c>
    </row>
    <row r="3326" spans="1:9" ht="15" customHeight="1" x14ac:dyDescent="0.25">
      <c r="A3326" s="7">
        <v>3325</v>
      </c>
      <c r="B3326" s="1">
        <v>43584</v>
      </c>
      <c r="C3326" s="6" t="s">
        <v>32</v>
      </c>
      <c r="D3326" s="6" t="s">
        <v>13</v>
      </c>
      <c r="E3326" s="6">
        <v>0</v>
      </c>
      <c r="F3326" s="6">
        <v>3</v>
      </c>
      <c r="G3326" s="6" t="s">
        <v>18</v>
      </c>
      <c r="H3326" s="6" t="s">
        <v>41</v>
      </c>
      <c r="I3326" s="6">
        <f>TabJogos[[#This Row],[PontosTime1]]-TabJogos[[#This Row],[PontosTime2]]</f>
        <v>-3</v>
      </c>
    </row>
    <row r="3327" spans="1:9" ht="15" customHeight="1" x14ac:dyDescent="0.25">
      <c r="A3327" s="7">
        <v>3326</v>
      </c>
      <c r="B3327" s="1">
        <v>43584</v>
      </c>
      <c r="C3327" s="6" t="s">
        <v>13</v>
      </c>
      <c r="D3327" s="6" t="s">
        <v>9</v>
      </c>
      <c r="E3327" s="6">
        <v>1</v>
      </c>
      <c r="F3327" s="6">
        <v>3</v>
      </c>
      <c r="G3327" s="6" t="s">
        <v>18</v>
      </c>
      <c r="H3327" s="6" t="s">
        <v>32</v>
      </c>
      <c r="I3327" s="6">
        <f>TabJogos[[#This Row],[PontosTime1]]-TabJogos[[#This Row],[PontosTime2]]</f>
        <v>-2</v>
      </c>
    </row>
    <row r="3328" spans="1:9" ht="15" customHeight="1" x14ac:dyDescent="0.25">
      <c r="A3328" s="7">
        <v>3327</v>
      </c>
      <c r="B3328" s="1">
        <v>43584</v>
      </c>
      <c r="C3328" s="6" t="s">
        <v>32</v>
      </c>
      <c r="D3328" s="6" t="s">
        <v>9</v>
      </c>
      <c r="E3328" s="6">
        <v>3</v>
      </c>
      <c r="F3328" s="6">
        <v>0</v>
      </c>
      <c r="G3328" s="6" t="s">
        <v>18</v>
      </c>
      <c r="H3328" s="6" t="s">
        <v>60</v>
      </c>
      <c r="I3328" s="6">
        <f>TabJogos[[#This Row],[PontosTime1]]-TabJogos[[#This Row],[PontosTime2]]</f>
        <v>3</v>
      </c>
    </row>
    <row r="3329" spans="1:9" ht="15" customHeight="1" x14ac:dyDescent="0.25">
      <c r="A3329" s="7">
        <v>3328</v>
      </c>
      <c r="B3329" s="1">
        <v>43584</v>
      </c>
      <c r="C3329" s="6" t="s">
        <v>9</v>
      </c>
      <c r="D3329" s="6" t="s">
        <v>18</v>
      </c>
      <c r="E3329" s="6">
        <v>4</v>
      </c>
      <c r="F3329" s="6">
        <v>0</v>
      </c>
      <c r="G3329" s="6" t="s">
        <v>60</v>
      </c>
      <c r="H3329" s="6" t="s">
        <v>13</v>
      </c>
      <c r="I3329" s="6">
        <f>TabJogos[[#This Row],[PontosTime1]]-TabJogos[[#This Row],[PontosTime2]]</f>
        <v>4</v>
      </c>
    </row>
    <row r="3330" spans="1:9" ht="15" customHeight="1" x14ac:dyDescent="0.25">
      <c r="A3330" s="7">
        <v>3329</v>
      </c>
      <c r="B3330" s="1">
        <v>43584</v>
      </c>
      <c r="C3330" s="6" t="s">
        <v>9</v>
      </c>
      <c r="D3330" s="6" t="s">
        <v>60</v>
      </c>
      <c r="E3330" s="6">
        <v>3</v>
      </c>
      <c r="F3330" s="6">
        <v>2</v>
      </c>
      <c r="G3330" s="6" t="s">
        <v>13</v>
      </c>
      <c r="H3330" s="6" t="s">
        <v>18</v>
      </c>
      <c r="I3330" s="6">
        <f>TabJogos[[#This Row],[PontosTime1]]-TabJogos[[#This Row],[PontosTime2]]</f>
        <v>1</v>
      </c>
    </row>
    <row r="3331" spans="1:9" ht="15" customHeight="1" x14ac:dyDescent="0.25">
      <c r="A3331" s="7">
        <v>3330</v>
      </c>
      <c r="B3331" s="1">
        <v>43584</v>
      </c>
      <c r="C3331" s="6" t="s">
        <v>13</v>
      </c>
      <c r="D3331" s="6" t="s">
        <v>9</v>
      </c>
      <c r="E3331" s="6">
        <v>2</v>
      </c>
      <c r="F3331" s="6">
        <v>4</v>
      </c>
      <c r="G3331" s="6" t="s">
        <v>18</v>
      </c>
      <c r="H3331" s="6" t="s">
        <v>60</v>
      </c>
      <c r="I3331" s="6">
        <f>TabJogos[[#This Row],[PontosTime1]]-TabJogos[[#This Row],[PontosTime2]]</f>
        <v>-2</v>
      </c>
    </row>
    <row r="3332" spans="1:9" ht="15" customHeight="1" x14ac:dyDescent="0.25">
      <c r="A3332" s="7">
        <v>3331</v>
      </c>
      <c r="B3332" s="1">
        <v>43585</v>
      </c>
      <c r="C3332" s="6" t="s">
        <v>11</v>
      </c>
      <c r="D3332" s="6" t="s">
        <v>10</v>
      </c>
      <c r="E3332" s="6">
        <v>3</v>
      </c>
      <c r="F3332" s="6">
        <v>0</v>
      </c>
      <c r="G3332" s="6" t="s">
        <v>9</v>
      </c>
      <c r="H3332" s="6" t="s">
        <v>28</v>
      </c>
      <c r="I3332" s="6">
        <f>TabJogos[[#This Row],[PontosTime1]]-TabJogos[[#This Row],[PontosTime2]]</f>
        <v>3</v>
      </c>
    </row>
    <row r="3333" spans="1:9" ht="15" customHeight="1" x14ac:dyDescent="0.25">
      <c r="A3333" s="7">
        <v>3332</v>
      </c>
      <c r="B3333" s="1">
        <v>43585</v>
      </c>
      <c r="C3333" s="6" t="s">
        <v>13</v>
      </c>
      <c r="D3333" s="6" t="s">
        <v>10</v>
      </c>
      <c r="E3333" s="6">
        <v>3</v>
      </c>
      <c r="F3333" s="6">
        <v>1</v>
      </c>
      <c r="G3333" s="6" t="s">
        <v>11</v>
      </c>
      <c r="H3333" s="6" t="s">
        <v>17</v>
      </c>
      <c r="I3333" s="6">
        <f>TabJogos[[#This Row],[PontosTime1]]-TabJogos[[#This Row],[PontosTime2]]</f>
        <v>2</v>
      </c>
    </row>
    <row r="3334" spans="1:9" ht="15" customHeight="1" x14ac:dyDescent="0.25">
      <c r="A3334" s="7">
        <v>3333</v>
      </c>
      <c r="B3334" s="1">
        <v>43585</v>
      </c>
      <c r="C3334" s="6" t="s">
        <v>13</v>
      </c>
      <c r="D3334" s="6" t="s">
        <v>9</v>
      </c>
      <c r="E3334" s="6">
        <v>4</v>
      </c>
      <c r="F3334" s="6">
        <v>1</v>
      </c>
      <c r="G3334" s="6" t="s">
        <v>60</v>
      </c>
      <c r="H3334" s="6" t="s">
        <v>10</v>
      </c>
      <c r="I3334" s="6">
        <f>TabJogos[[#This Row],[PontosTime1]]-TabJogos[[#This Row],[PontosTime2]]</f>
        <v>3</v>
      </c>
    </row>
    <row r="3335" spans="1:9" ht="15" customHeight="1" x14ac:dyDescent="0.25">
      <c r="A3335" s="7">
        <v>3334</v>
      </c>
      <c r="B3335" s="1">
        <v>43585</v>
      </c>
      <c r="C3335" s="6" t="s">
        <v>9</v>
      </c>
      <c r="D3335" s="6" t="s">
        <v>17</v>
      </c>
      <c r="E3335" s="6">
        <v>0</v>
      </c>
      <c r="F3335" s="6">
        <v>3</v>
      </c>
      <c r="G3335" s="6" t="s">
        <v>13</v>
      </c>
      <c r="H3335" s="6" t="s">
        <v>28</v>
      </c>
      <c r="I3335" s="6">
        <f>TabJogos[[#This Row],[PontosTime1]]-TabJogos[[#This Row],[PontosTime2]]</f>
        <v>-3</v>
      </c>
    </row>
    <row r="3336" spans="1:9" ht="15" customHeight="1" x14ac:dyDescent="0.25">
      <c r="A3336" s="7">
        <v>3335</v>
      </c>
      <c r="B3336" s="1">
        <v>43585</v>
      </c>
      <c r="C3336" s="6" t="s">
        <v>10</v>
      </c>
      <c r="D3336" s="6" t="s">
        <v>28</v>
      </c>
      <c r="E3336" s="6">
        <v>1</v>
      </c>
      <c r="F3336" s="6">
        <v>3</v>
      </c>
      <c r="G3336" s="6" t="s">
        <v>11</v>
      </c>
      <c r="H3336" s="6" t="s">
        <v>13</v>
      </c>
      <c r="I3336" s="6">
        <f>TabJogos[[#This Row],[PontosTime1]]-TabJogos[[#This Row],[PontosTime2]]</f>
        <v>-2</v>
      </c>
    </row>
    <row r="3337" spans="1:9" ht="15" customHeight="1" x14ac:dyDescent="0.25">
      <c r="A3337" s="7">
        <v>3336</v>
      </c>
      <c r="B3337" s="1">
        <v>43585</v>
      </c>
      <c r="C3337" s="6" t="s">
        <v>13</v>
      </c>
      <c r="D3337" s="6" t="s">
        <v>17</v>
      </c>
      <c r="E3337" s="6">
        <v>3</v>
      </c>
      <c r="F3337" s="6">
        <v>1</v>
      </c>
      <c r="G3337" s="6" t="s">
        <v>11</v>
      </c>
      <c r="H3337" s="6" t="s">
        <v>60</v>
      </c>
      <c r="I3337" s="6">
        <f>TabJogos[[#This Row],[PontosTime1]]-TabJogos[[#This Row],[PontosTime2]]</f>
        <v>2</v>
      </c>
    </row>
    <row r="3338" spans="1:9" ht="15" customHeight="1" x14ac:dyDescent="0.25">
      <c r="A3338" s="7">
        <v>3337</v>
      </c>
      <c r="B3338" s="1">
        <v>43585</v>
      </c>
      <c r="C3338" s="6" t="s">
        <v>9</v>
      </c>
      <c r="D3338" s="6" t="s">
        <v>13</v>
      </c>
      <c r="E3338" s="6">
        <v>1</v>
      </c>
      <c r="F3338" s="6">
        <v>3</v>
      </c>
      <c r="G3338" s="6" t="s">
        <v>17</v>
      </c>
      <c r="H3338" s="6" t="s">
        <v>28</v>
      </c>
      <c r="I3338" s="6">
        <f>TabJogos[[#This Row],[PontosTime1]]-TabJogos[[#This Row],[PontosTime2]]</f>
        <v>-2</v>
      </c>
    </row>
    <row r="3339" spans="1:9" ht="15" customHeight="1" x14ac:dyDescent="0.25">
      <c r="A3339" s="7">
        <v>3338</v>
      </c>
      <c r="B3339" s="1">
        <v>43585</v>
      </c>
      <c r="C3339" s="6" t="s">
        <v>17</v>
      </c>
      <c r="D3339" s="6" t="s">
        <v>10</v>
      </c>
      <c r="E3339" s="6">
        <v>0</v>
      </c>
      <c r="F3339" s="6">
        <v>3</v>
      </c>
      <c r="G3339" s="6" t="s">
        <v>60</v>
      </c>
      <c r="H3339" s="6" t="s">
        <v>28</v>
      </c>
      <c r="I3339" s="6">
        <f>TabJogos[[#This Row],[PontosTime1]]-TabJogos[[#This Row],[PontosTime2]]</f>
        <v>-3</v>
      </c>
    </row>
    <row r="3340" spans="1:9" ht="15" customHeight="1" x14ac:dyDescent="0.25">
      <c r="A3340" s="7">
        <v>3339</v>
      </c>
      <c r="B3340" s="1">
        <v>43585</v>
      </c>
      <c r="C3340" s="6" t="s">
        <v>11</v>
      </c>
      <c r="D3340" s="6" t="s">
        <v>28</v>
      </c>
      <c r="E3340" s="6">
        <v>0</v>
      </c>
      <c r="F3340" s="6">
        <v>3</v>
      </c>
      <c r="G3340" s="6" t="s">
        <v>13</v>
      </c>
      <c r="H3340" s="6" t="s">
        <v>60</v>
      </c>
      <c r="I3340" s="6">
        <f>TabJogos[[#This Row],[PontosTime1]]-TabJogos[[#This Row],[PontosTime2]]</f>
        <v>-3</v>
      </c>
    </row>
    <row r="3341" spans="1:9" ht="15" customHeight="1" x14ac:dyDescent="0.25">
      <c r="A3341" s="7">
        <v>3340</v>
      </c>
      <c r="B3341" s="1">
        <v>43585</v>
      </c>
      <c r="C3341" s="6" t="s">
        <v>18</v>
      </c>
      <c r="D3341" s="6" t="s">
        <v>13</v>
      </c>
      <c r="E3341" s="6">
        <v>3</v>
      </c>
      <c r="F3341" s="6">
        <v>1</v>
      </c>
      <c r="G3341" s="6" t="s">
        <v>60</v>
      </c>
      <c r="H3341" s="6" t="s">
        <v>9</v>
      </c>
      <c r="I3341" s="6">
        <f>TabJogos[[#This Row],[PontosTime1]]-TabJogos[[#This Row],[PontosTime2]]</f>
        <v>2</v>
      </c>
    </row>
    <row r="3342" spans="1:9" ht="15" customHeight="1" x14ac:dyDescent="0.25">
      <c r="A3342" s="7">
        <v>3341</v>
      </c>
      <c r="B3342" s="1">
        <v>43585</v>
      </c>
      <c r="C3342" s="6" t="s">
        <v>41</v>
      </c>
      <c r="D3342" s="6" t="s">
        <v>18</v>
      </c>
      <c r="E3342" s="6">
        <v>2</v>
      </c>
      <c r="F3342" s="6">
        <v>3</v>
      </c>
      <c r="G3342" s="6" t="s">
        <v>11</v>
      </c>
      <c r="H3342" s="6" t="s">
        <v>13</v>
      </c>
      <c r="I3342" s="6">
        <f>TabJogos[[#This Row],[PontosTime1]]-TabJogos[[#This Row],[PontosTime2]]</f>
        <v>-1</v>
      </c>
    </row>
    <row r="3343" spans="1:9" ht="15" customHeight="1" x14ac:dyDescent="0.25">
      <c r="A3343" s="7">
        <v>3342</v>
      </c>
      <c r="B3343" s="1">
        <v>43585</v>
      </c>
      <c r="C3343" s="6" t="s">
        <v>13</v>
      </c>
      <c r="D3343" s="6" t="s">
        <v>28</v>
      </c>
      <c r="E3343" s="6">
        <v>4</v>
      </c>
      <c r="F3343" s="6">
        <v>0</v>
      </c>
      <c r="G3343" s="6" t="s">
        <v>60</v>
      </c>
      <c r="H3343" s="6" t="s">
        <v>11</v>
      </c>
      <c r="I3343" s="6">
        <f>TabJogos[[#This Row],[PontosTime1]]-TabJogos[[#This Row],[PontosTime2]]</f>
        <v>4</v>
      </c>
    </row>
    <row r="3344" spans="1:9" ht="15" customHeight="1" x14ac:dyDescent="0.25">
      <c r="A3344" s="7">
        <v>3343</v>
      </c>
      <c r="B3344" s="1">
        <v>43585</v>
      </c>
      <c r="C3344" s="6" t="s">
        <v>13</v>
      </c>
      <c r="D3344" s="6" t="s">
        <v>41</v>
      </c>
      <c r="E3344" s="6">
        <v>0</v>
      </c>
      <c r="F3344" s="6">
        <v>3</v>
      </c>
      <c r="G3344" s="6" t="s">
        <v>9</v>
      </c>
      <c r="H3344" s="6" t="s">
        <v>28</v>
      </c>
      <c r="I3344" s="6">
        <f>TabJogos[[#This Row],[PontosTime1]]-TabJogos[[#This Row],[PontosTime2]]</f>
        <v>-3</v>
      </c>
    </row>
    <row r="3345" spans="1:9" ht="15" customHeight="1" x14ac:dyDescent="0.25">
      <c r="A3345" s="7">
        <v>3344</v>
      </c>
      <c r="B3345" s="1">
        <v>43585</v>
      </c>
      <c r="C3345" s="6" t="s">
        <v>11</v>
      </c>
      <c r="D3345" s="6" t="s">
        <v>9</v>
      </c>
      <c r="E3345" s="6">
        <v>2</v>
      </c>
      <c r="F3345" s="6">
        <v>3</v>
      </c>
      <c r="G3345" s="6" t="s">
        <v>60</v>
      </c>
      <c r="H3345" s="6" t="s">
        <v>18</v>
      </c>
      <c r="I3345" s="6">
        <f>TabJogos[[#This Row],[PontosTime1]]-TabJogos[[#This Row],[PontosTime2]]</f>
        <v>-1</v>
      </c>
    </row>
    <row r="3346" spans="1:9" ht="15" customHeight="1" x14ac:dyDescent="0.25">
      <c r="A3346" s="7">
        <v>3345</v>
      </c>
      <c r="B3346" s="1">
        <v>43585</v>
      </c>
      <c r="C3346" s="6" t="s">
        <v>13</v>
      </c>
      <c r="D3346" s="6" t="s">
        <v>60</v>
      </c>
      <c r="E3346" s="6">
        <v>3</v>
      </c>
      <c r="F3346" s="6">
        <v>2</v>
      </c>
      <c r="G3346" s="6" t="s">
        <v>18</v>
      </c>
      <c r="H3346" s="6" t="s">
        <v>32</v>
      </c>
      <c r="I3346" s="6">
        <f>TabJogos[[#This Row],[PontosTime1]]-TabJogos[[#This Row],[PontosTime2]]</f>
        <v>1</v>
      </c>
    </row>
    <row r="3347" spans="1:9" ht="15" customHeight="1" x14ac:dyDescent="0.25">
      <c r="A3347" s="7">
        <v>3346</v>
      </c>
      <c r="B3347" s="1">
        <v>43585</v>
      </c>
      <c r="C3347" s="6" t="s">
        <v>60</v>
      </c>
      <c r="D3347" s="6" t="s">
        <v>32</v>
      </c>
      <c r="E3347" s="6">
        <v>3</v>
      </c>
      <c r="F3347" s="6">
        <v>0</v>
      </c>
      <c r="G3347" s="6" t="s">
        <v>11</v>
      </c>
      <c r="H3347" s="6" t="s">
        <v>13</v>
      </c>
      <c r="I3347" s="6">
        <f>TabJogos[[#This Row],[PontosTime1]]-TabJogos[[#This Row],[PontosTime2]]</f>
        <v>3</v>
      </c>
    </row>
    <row r="3348" spans="1:9" ht="15" customHeight="1" x14ac:dyDescent="0.25">
      <c r="A3348" s="7">
        <v>3347</v>
      </c>
      <c r="B3348" s="1">
        <v>43585</v>
      </c>
      <c r="C3348" s="6" t="s">
        <v>11</v>
      </c>
      <c r="D3348" s="6" t="s">
        <v>18</v>
      </c>
      <c r="E3348" s="6">
        <v>3</v>
      </c>
      <c r="F3348" s="6">
        <v>1</v>
      </c>
      <c r="G3348" s="6" t="s">
        <v>13</v>
      </c>
      <c r="H3348" s="6" t="s">
        <v>60</v>
      </c>
      <c r="I3348" s="6">
        <f>TabJogos[[#This Row],[PontosTime1]]-TabJogos[[#This Row],[PontosTime2]]</f>
        <v>2</v>
      </c>
    </row>
    <row r="3349" spans="1:9" ht="15" customHeight="1" x14ac:dyDescent="0.25">
      <c r="A3349" s="7">
        <v>3348</v>
      </c>
      <c r="B3349" s="1">
        <v>43585</v>
      </c>
      <c r="C3349" s="6" t="s">
        <v>11</v>
      </c>
      <c r="D3349" s="6" t="s">
        <v>60</v>
      </c>
      <c r="E3349" s="6">
        <v>4</v>
      </c>
      <c r="F3349" s="6">
        <v>1</v>
      </c>
      <c r="G3349" s="6" t="s">
        <v>13</v>
      </c>
      <c r="H3349" s="6" t="s">
        <v>18</v>
      </c>
      <c r="I3349" s="6">
        <f>TabJogos[[#This Row],[PontosTime1]]-TabJogos[[#This Row],[PontosTime2]]</f>
        <v>3</v>
      </c>
    </row>
    <row r="3350" spans="1:9" ht="15" customHeight="1" x14ac:dyDescent="0.25">
      <c r="A3350" s="7">
        <v>3349</v>
      </c>
      <c r="B3350" s="1">
        <v>43585</v>
      </c>
      <c r="C3350" s="6" t="s">
        <v>60</v>
      </c>
      <c r="D3350" s="6" t="s">
        <v>18</v>
      </c>
      <c r="E3350" s="6">
        <v>3</v>
      </c>
      <c r="F3350" s="6">
        <v>2</v>
      </c>
      <c r="G3350" s="6" t="s">
        <v>11</v>
      </c>
      <c r="H3350" s="6" t="s">
        <v>13</v>
      </c>
      <c r="I3350" s="6">
        <f>TabJogos[[#This Row],[PontosTime1]]-TabJogos[[#This Row],[PontosTime2]]</f>
        <v>1</v>
      </c>
    </row>
    <row r="3351" spans="1:9" ht="15" customHeight="1" x14ac:dyDescent="0.25">
      <c r="A3351" s="7">
        <v>3350</v>
      </c>
      <c r="B3351" s="1">
        <v>43585</v>
      </c>
      <c r="C3351" s="6" t="s">
        <v>18</v>
      </c>
      <c r="D3351" s="6" t="s">
        <v>11</v>
      </c>
      <c r="E3351" s="6">
        <v>4</v>
      </c>
      <c r="F3351" s="6">
        <v>0</v>
      </c>
      <c r="G3351" s="6" t="s">
        <v>60</v>
      </c>
      <c r="H3351" s="6" t="s">
        <v>13</v>
      </c>
      <c r="I3351" s="6">
        <f>TabJogos[[#This Row],[PontosTime1]]-TabJogos[[#This Row],[PontosTime2]]</f>
        <v>4</v>
      </c>
    </row>
    <row r="3352" spans="1:9" ht="15" customHeight="1" x14ac:dyDescent="0.25">
      <c r="A3352" s="7">
        <v>3351</v>
      </c>
      <c r="B3352" s="1">
        <v>43586</v>
      </c>
      <c r="C3352" s="6" t="s">
        <v>13</v>
      </c>
      <c r="D3352" s="6" t="s">
        <v>12</v>
      </c>
      <c r="E3352" s="6">
        <v>1</v>
      </c>
      <c r="F3352" s="6">
        <v>3</v>
      </c>
      <c r="G3352" s="6" t="s">
        <v>10</v>
      </c>
      <c r="H3352" s="6" t="s">
        <v>9</v>
      </c>
      <c r="I3352" s="6">
        <f>TabJogos[[#This Row],[PontosTime1]]-TabJogos[[#This Row],[PontosTime2]]</f>
        <v>-2</v>
      </c>
    </row>
    <row r="3353" spans="1:9" ht="15" customHeight="1" x14ac:dyDescent="0.25">
      <c r="A3353" s="7">
        <v>3352</v>
      </c>
      <c r="B3353" s="1">
        <v>43586</v>
      </c>
      <c r="C3353" s="6" t="s">
        <v>41</v>
      </c>
      <c r="D3353" s="6" t="s">
        <v>9</v>
      </c>
      <c r="E3353" s="6">
        <v>2</v>
      </c>
      <c r="F3353" s="6">
        <v>3</v>
      </c>
      <c r="G3353" s="6" t="s">
        <v>27</v>
      </c>
      <c r="H3353" s="6" t="s">
        <v>10</v>
      </c>
      <c r="I3353" s="6">
        <f>TabJogos[[#This Row],[PontosTime1]]-TabJogos[[#This Row],[PontosTime2]]</f>
        <v>-1</v>
      </c>
    </row>
    <row r="3354" spans="1:9" ht="15" customHeight="1" x14ac:dyDescent="0.25">
      <c r="A3354" s="7">
        <v>3353</v>
      </c>
      <c r="B3354" s="1">
        <v>43586</v>
      </c>
      <c r="C3354" s="6" t="s">
        <v>57</v>
      </c>
      <c r="D3354" s="6" t="s">
        <v>27</v>
      </c>
      <c r="E3354" s="6">
        <v>3</v>
      </c>
      <c r="F3354" s="6">
        <v>1</v>
      </c>
      <c r="G3354" s="6" t="s">
        <v>10</v>
      </c>
      <c r="H3354" s="6" t="s">
        <v>12</v>
      </c>
      <c r="I3354" s="6">
        <f>TabJogos[[#This Row],[PontosTime1]]-TabJogos[[#This Row],[PontosTime2]]</f>
        <v>2</v>
      </c>
    </row>
    <row r="3355" spans="1:9" ht="15" customHeight="1" x14ac:dyDescent="0.25">
      <c r="A3355" s="7">
        <v>3354</v>
      </c>
      <c r="B3355" s="1">
        <v>43586</v>
      </c>
      <c r="C3355" s="6" t="s">
        <v>11</v>
      </c>
      <c r="D3355" s="6" t="s">
        <v>32</v>
      </c>
      <c r="E3355" s="6">
        <v>3</v>
      </c>
      <c r="F3355" s="6">
        <v>2</v>
      </c>
      <c r="G3355" s="6" t="s">
        <v>13</v>
      </c>
      <c r="H3355" s="6" t="s">
        <v>28</v>
      </c>
      <c r="I3355" s="6">
        <f>TabJogos[[#This Row],[PontosTime1]]-TabJogos[[#This Row],[PontosTime2]]</f>
        <v>1</v>
      </c>
    </row>
    <row r="3356" spans="1:9" ht="15" customHeight="1" x14ac:dyDescent="0.25">
      <c r="A3356" s="7">
        <v>3355</v>
      </c>
      <c r="B3356" s="1">
        <v>43586</v>
      </c>
      <c r="C3356" s="6" t="s">
        <v>27</v>
      </c>
      <c r="D3356" s="6" t="s">
        <v>41</v>
      </c>
      <c r="E3356" s="6">
        <v>3</v>
      </c>
      <c r="F3356" s="6">
        <v>2</v>
      </c>
      <c r="G3356" s="6" t="s">
        <v>57</v>
      </c>
      <c r="H3356" s="6" t="s">
        <v>9</v>
      </c>
      <c r="I3356" s="6">
        <f>TabJogos[[#This Row],[PontosTime1]]-TabJogos[[#This Row],[PontosTime2]]</f>
        <v>1</v>
      </c>
    </row>
    <row r="3357" spans="1:9" ht="15" customHeight="1" x14ac:dyDescent="0.25">
      <c r="A3357" s="7">
        <v>3356</v>
      </c>
      <c r="B3357" s="1">
        <v>43586</v>
      </c>
      <c r="C3357" s="6" t="s">
        <v>11</v>
      </c>
      <c r="D3357" s="6" t="s">
        <v>10</v>
      </c>
      <c r="E3357" s="6">
        <v>2</v>
      </c>
      <c r="F3357" s="6">
        <v>3</v>
      </c>
      <c r="G3357" s="6" t="s">
        <v>12</v>
      </c>
      <c r="H3357" s="6" t="s">
        <v>32</v>
      </c>
      <c r="I3357" s="6">
        <f>TabJogos[[#This Row],[PontosTime1]]-TabJogos[[#This Row],[PontosTime2]]</f>
        <v>-1</v>
      </c>
    </row>
    <row r="3358" spans="1:9" ht="15" customHeight="1" x14ac:dyDescent="0.25">
      <c r="A3358" s="7">
        <v>3357</v>
      </c>
      <c r="B3358" s="1">
        <v>43586</v>
      </c>
      <c r="C3358" s="6" t="s">
        <v>13</v>
      </c>
      <c r="D3358" s="6" t="s">
        <v>27</v>
      </c>
      <c r="E3358" s="6">
        <v>1</v>
      </c>
      <c r="F3358" s="6">
        <v>4</v>
      </c>
      <c r="G3358" s="6" t="s">
        <v>41</v>
      </c>
      <c r="H3358" s="6" t="s">
        <v>28</v>
      </c>
      <c r="I3358" s="6">
        <f>TabJogos[[#This Row],[PontosTime1]]-TabJogos[[#This Row],[PontosTime2]]</f>
        <v>-3</v>
      </c>
    </row>
    <row r="3359" spans="1:9" ht="15" customHeight="1" x14ac:dyDescent="0.25">
      <c r="A3359" s="7">
        <v>3358</v>
      </c>
      <c r="B3359" s="1">
        <v>43586</v>
      </c>
      <c r="C3359" s="6" t="s">
        <v>12</v>
      </c>
      <c r="D3359" s="6" t="s">
        <v>9</v>
      </c>
      <c r="E3359" s="6">
        <v>4</v>
      </c>
      <c r="F3359" s="6">
        <v>2</v>
      </c>
      <c r="G3359" s="6" t="s">
        <v>32</v>
      </c>
      <c r="H3359" s="6" t="s">
        <v>18</v>
      </c>
      <c r="I3359" s="6">
        <f>TabJogos[[#This Row],[PontosTime1]]-TabJogos[[#This Row],[PontosTime2]]</f>
        <v>2</v>
      </c>
    </row>
    <row r="3360" spans="1:9" ht="15" customHeight="1" x14ac:dyDescent="0.25">
      <c r="A3360" s="7">
        <v>3359</v>
      </c>
      <c r="B3360" s="1">
        <v>43586</v>
      </c>
      <c r="C3360" s="6" t="s">
        <v>11</v>
      </c>
      <c r="D3360" s="6" t="s">
        <v>41</v>
      </c>
      <c r="E3360" s="6">
        <v>1</v>
      </c>
      <c r="F3360" s="6">
        <v>3</v>
      </c>
      <c r="G3360" s="6" t="s">
        <v>10</v>
      </c>
      <c r="H3360" s="6" t="s">
        <v>28</v>
      </c>
      <c r="I3360" s="6">
        <f>TabJogos[[#This Row],[PontosTime1]]-TabJogos[[#This Row],[PontosTime2]]</f>
        <v>-2</v>
      </c>
    </row>
    <row r="3361" spans="1:9" ht="15" customHeight="1" x14ac:dyDescent="0.25">
      <c r="A3361" s="7">
        <v>3360</v>
      </c>
      <c r="B3361" s="1">
        <v>43586</v>
      </c>
      <c r="C3361" s="6" t="s">
        <v>12</v>
      </c>
      <c r="D3361" s="6" t="s">
        <v>57</v>
      </c>
      <c r="E3361" s="6">
        <v>3</v>
      </c>
      <c r="F3361" s="6">
        <v>0</v>
      </c>
      <c r="G3361" s="6" t="s">
        <v>9</v>
      </c>
      <c r="H3361" s="6" t="s">
        <v>60</v>
      </c>
      <c r="I3361" s="6">
        <f>TabJogos[[#This Row],[PontosTime1]]-TabJogos[[#This Row],[PontosTime2]]</f>
        <v>3</v>
      </c>
    </row>
    <row r="3362" spans="1:9" ht="15" customHeight="1" x14ac:dyDescent="0.25">
      <c r="A3362" s="7">
        <v>3361</v>
      </c>
      <c r="B3362" s="1">
        <v>43586</v>
      </c>
      <c r="C3362" s="6" t="s">
        <v>10</v>
      </c>
      <c r="D3362" s="6" t="s">
        <v>13</v>
      </c>
      <c r="E3362" s="6">
        <v>3</v>
      </c>
      <c r="F3362" s="6">
        <v>0</v>
      </c>
      <c r="G3362" s="6" t="s">
        <v>28</v>
      </c>
      <c r="H3362" s="6" t="s">
        <v>16</v>
      </c>
      <c r="I3362" s="6">
        <f>TabJogos[[#This Row],[PontosTime1]]-TabJogos[[#This Row],[PontosTime2]]</f>
        <v>3</v>
      </c>
    </row>
    <row r="3363" spans="1:9" ht="15" customHeight="1" x14ac:dyDescent="0.25">
      <c r="A3363" s="7">
        <v>3362</v>
      </c>
      <c r="B3363" s="1">
        <v>43586</v>
      </c>
      <c r="C3363" s="6" t="s">
        <v>18</v>
      </c>
      <c r="D3363" s="6" t="s">
        <v>12</v>
      </c>
      <c r="E3363" s="6">
        <v>2</v>
      </c>
      <c r="F3363" s="6">
        <v>3</v>
      </c>
      <c r="G3363" s="6" t="s">
        <v>57</v>
      </c>
      <c r="H3363" s="6" t="s">
        <v>11</v>
      </c>
      <c r="I3363" s="6">
        <f>TabJogos[[#This Row],[PontosTime1]]-TabJogos[[#This Row],[PontosTime2]]</f>
        <v>-1</v>
      </c>
    </row>
    <row r="3364" spans="1:9" ht="15" customHeight="1" x14ac:dyDescent="0.25">
      <c r="A3364" s="7">
        <v>3363</v>
      </c>
      <c r="B3364" s="1">
        <v>43586</v>
      </c>
      <c r="C3364" s="6" t="s">
        <v>13</v>
      </c>
      <c r="D3364" s="6" t="s">
        <v>41</v>
      </c>
      <c r="E3364" s="6">
        <v>1</v>
      </c>
      <c r="F3364" s="6">
        <v>4</v>
      </c>
      <c r="G3364" s="6" t="s">
        <v>10</v>
      </c>
      <c r="H3364" s="6" t="s">
        <v>60</v>
      </c>
      <c r="I3364" s="6">
        <f>TabJogos[[#This Row],[PontosTime1]]-TabJogos[[#This Row],[PontosTime2]]</f>
        <v>-3</v>
      </c>
    </row>
    <row r="3365" spans="1:9" ht="15" customHeight="1" x14ac:dyDescent="0.25">
      <c r="A3365" s="7">
        <v>3364</v>
      </c>
      <c r="B3365" s="1">
        <v>43586</v>
      </c>
      <c r="C3365" s="6" t="s">
        <v>60</v>
      </c>
      <c r="D3365" s="6" t="s">
        <v>28</v>
      </c>
      <c r="E3365" s="6">
        <v>4</v>
      </c>
      <c r="F3365" s="6">
        <v>0</v>
      </c>
      <c r="G3365" s="6" t="s">
        <v>10</v>
      </c>
      <c r="H3365" s="6" t="s">
        <v>9</v>
      </c>
      <c r="I3365" s="6">
        <f>TabJogos[[#This Row],[PontosTime1]]-TabJogos[[#This Row],[PontosTime2]]</f>
        <v>4</v>
      </c>
    </row>
    <row r="3366" spans="1:9" ht="15" customHeight="1" x14ac:dyDescent="0.25">
      <c r="A3366" s="7">
        <v>3365</v>
      </c>
      <c r="B3366" s="1">
        <v>43586</v>
      </c>
      <c r="C3366" s="6" t="s">
        <v>13</v>
      </c>
      <c r="D3366" s="6" t="s">
        <v>11</v>
      </c>
      <c r="E3366" s="6">
        <v>3</v>
      </c>
      <c r="F3366" s="6">
        <v>0</v>
      </c>
      <c r="G3366" s="6" t="s">
        <v>41</v>
      </c>
      <c r="H3366" s="6" t="s">
        <v>57</v>
      </c>
      <c r="I3366" s="6">
        <f>TabJogos[[#This Row],[PontosTime1]]-TabJogos[[#This Row],[PontosTime2]]</f>
        <v>3</v>
      </c>
    </row>
    <row r="3367" spans="1:9" ht="15" customHeight="1" x14ac:dyDescent="0.25">
      <c r="A3367" s="7">
        <v>3366</v>
      </c>
      <c r="B3367" s="1">
        <v>43586</v>
      </c>
      <c r="C3367" s="6" t="s">
        <v>11</v>
      </c>
      <c r="D3367" s="6" t="s">
        <v>41</v>
      </c>
      <c r="E3367" s="6">
        <v>3</v>
      </c>
      <c r="F3367" s="6">
        <v>2</v>
      </c>
      <c r="G3367" s="6" t="s">
        <v>13</v>
      </c>
      <c r="H3367" s="6" t="s">
        <v>57</v>
      </c>
      <c r="I3367" s="6">
        <f>TabJogos[[#This Row],[PontosTime1]]-TabJogos[[#This Row],[PontosTime2]]</f>
        <v>1</v>
      </c>
    </row>
    <row r="3368" spans="1:9" ht="15" customHeight="1" x14ac:dyDescent="0.25">
      <c r="A3368" s="7">
        <v>3367</v>
      </c>
      <c r="B3368" s="1">
        <v>43586</v>
      </c>
      <c r="C3368" s="6" t="s">
        <v>28</v>
      </c>
      <c r="D3368" s="6" t="s">
        <v>9</v>
      </c>
      <c r="E3368" s="6">
        <v>4</v>
      </c>
      <c r="F3368" s="6">
        <v>2</v>
      </c>
      <c r="G3368" s="6" t="s">
        <v>60</v>
      </c>
      <c r="H3368" s="6" t="s">
        <v>18</v>
      </c>
      <c r="I3368" s="6">
        <f>TabJogos[[#This Row],[PontosTime1]]-TabJogos[[#This Row],[PontosTime2]]</f>
        <v>2</v>
      </c>
    </row>
    <row r="3369" spans="1:9" ht="15" customHeight="1" x14ac:dyDescent="0.25">
      <c r="A3369" s="7">
        <v>3368</v>
      </c>
      <c r="B3369" s="1">
        <v>43586</v>
      </c>
      <c r="C3369" s="6" t="s">
        <v>13</v>
      </c>
      <c r="D3369" s="6" t="s">
        <v>41</v>
      </c>
      <c r="E3369" s="6">
        <v>0</v>
      </c>
      <c r="F3369" s="6">
        <v>3</v>
      </c>
      <c r="G3369" s="6" t="s">
        <v>11</v>
      </c>
      <c r="H3369" s="6" t="s">
        <v>18</v>
      </c>
      <c r="I3369" s="6">
        <f>TabJogos[[#This Row],[PontosTime1]]-TabJogos[[#This Row],[PontosTime2]]</f>
        <v>-3</v>
      </c>
    </row>
    <row r="3370" spans="1:9" ht="15" customHeight="1" x14ac:dyDescent="0.25">
      <c r="A3370" s="7">
        <v>3369</v>
      </c>
      <c r="B3370" s="1">
        <v>43586</v>
      </c>
      <c r="C3370" s="6" t="s">
        <v>27</v>
      </c>
      <c r="D3370" s="6" t="s">
        <v>28</v>
      </c>
      <c r="E3370" s="6">
        <v>3</v>
      </c>
      <c r="F3370" s="6">
        <v>1</v>
      </c>
      <c r="G3370" s="6" t="s">
        <v>9</v>
      </c>
      <c r="H3370" s="6" t="s">
        <v>60</v>
      </c>
      <c r="I3370" s="6">
        <f>TabJogos[[#This Row],[PontosTime1]]-TabJogos[[#This Row],[PontosTime2]]</f>
        <v>2</v>
      </c>
    </row>
    <row r="3371" spans="1:9" ht="15" customHeight="1" x14ac:dyDescent="0.25">
      <c r="A3371" s="7">
        <v>3370</v>
      </c>
      <c r="B3371" s="1">
        <v>43586</v>
      </c>
      <c r="C3371" s="6" t="s">
        <v>18</v>
      </c>
      <c r="D3371" s="6" t="s">
        <v>41</v>
      </c>
      <c r="E3371" s="6">
        <v>3</v>
      </c>
      <c r="F3371" s="6">
        <v>1</v>
      </c>
      <c r="G3371" s="6" t="s">
        <v>13</v>
      </c>
      <c r="H3371" s="6" t="s">
        <v>11</v>
      </c>
      <c r="I3371" s="6">
        <f>TabJogos[[#This Row],[PontosTime1]]-TabJogos[[#This Row],[PontosTime2]]</f>
        <v>2</v>
      </c>
    </row>
    <row r="3372" spans="1:9" ht="15" customHeight="1" x14ac:dyDescent="0.25">
      <c r="A3372" s="7">
        <v>3371</v>
      </c>
      <c r="B3372" s="1">
        <v>43586</v>
      </c>
      <c r="C3372" s="6" t="s">
        <v>9</v>
      </c>
      <c r="D3372" s="6" t="s">
        <v>27</v>
      </c>
      <c r="E3372" s="6">
        <v>3</v>
      </c>
      <c r="F3372" s="6">
        <v>1</v>
      </c>
      <c r="G3372" s="6" t="s">
        <v>28</v>
      </c>
      <c r="H3372" s="6" t="s">
        <v>60</v>
      </c>
      <c r="I3372" s="6">
        <f>TabJogos[[#This Row],[PontosTime1]]-TabJogos[[#This Row],[PontosTime2]]</f>
        <v>2</v>
      </c>
    </row>
    <row r="3373" spans="1:9" ht="15" customHeight="1" x14ac:dyDescent="0.25">
      <c r="A3373" s="7">
        <v>3372</v>
      </c>
      <c r="B3373" s="1">
        <v>43586</v>
      </c>
      <c r="C3373" s="6" t="s">
        <v>41</v>
      </c>
      <c r="D3373" s="6" t="s">
        <v>11</v>
      </c>
      <c r="E3373" s="6">
        <v>3</v>
      </c>
      <c r="F3373" s="6">
        <v>0</v>
      </c>
      <c r="G3373" s="6" t="s">
        <v>18</v>
      </c>
      <c r="H3373" s="6" t="s">
        <v>13</v>
      </c>
      <c r="I3373" s="6">
        <f>TabJogos[[#This Row],[PontosTime1]]-TabJogos[[#This Row],[PontosTime2]]</f>
        <v>3</v>
      </c>
    </row>
    <row r="3374" spans="1:9" ht="15" customHeight="1" x14ac:dyDescent="0.25">
      <c r="A3374" s="7">
        <v>3373</v>
      </c>
      <c r="B3374" s="1">
        <v>43586</v>
      </c>
      <c r="C3374" s="6" t="s">
        <v>9</v>
      </c>
      <c r="D3374" s="6" t="s">
        <v>28</v>
      </c>
      <c r="E3374" s="6">
        <v>3</v>
      </c>
      <c r="F3374" s="6">
        <v>2</v>
      </c>
      <c r="G3374" s="6" t="s">
        <v>60</v>
      </c>
      <c r="H3374" s="6" t="s">
        <v>27</v>
      </c>
      <c r="I3374" s="6">
        <f>TabJogos[[#This Row],[PontosTime1]]-TabJogos[[#This Row],[PontosTime2]]</f>
        <v>1</v>
      </c>
    </row>
    <row r="3375" spans="1:9" ht="15" customHeight="1" x14ac:dyDescent="0.25">
      <c r="A3375" s="7">
        <v>3374</v>
      </c>
      <c r="B3375" s="1">
        <v>43586</v>
      </c>
      <c r="C3375" s="6" t="s">
        <v>9</v>
      </c>
      <c r="D3375" s="6" t="s">
        <v>18</v>
      </c>
      <c r="E3375" s="6">
        <v>3</v>
      </c>
      <c r="F3375" s="6">
        <v>0</v>
      </c>
      <c r="G3375" s="6" t="s">
        <v>13</v>
      </c>
      <c r="H3375" s="6" t="s">
        <v>11</v>
      </c>
      <c r="I3375" s="6">
        <f>TabJogos[[#This Row],[PontosTime1]]-TabJogos[[#This Row],[PontosTime2]]</f>
        <v>3</v>
      </c>
    </row>
    <row r="3376" spans="1:9" ht="15" customHeight="1" x14ac:dyDescent="0.25">
      <c r="A3376" s="7">
        <v>3375</v>
      </c>
      <c r="B3376" s="1">
        <v>43587</v>
      </c>
      <c r="C3376" s="6" t="s">
        <v>13</v>
      </c>
      <c r="D3376" s="6" t="s">
        <v>12</v>
      </c>
      <c r="E3376" s="6">
        <v>1</v>
      </c>
      <c r="F3376" s="6">
        <v>3</v>
      </c>
      <c r="G3376" s="6" t="s">
        <v>10</v>
      </c>
      <c r="H3376" s="6" t="s">
        <v>9</v>
      </c>
      <c r="I3376" s="6">
        <f>TabJogos[[#This Row],[PontosTime1]]-TabJogos[[#This Row],[PontosTime2]]</f>
        <v>-2</v>
      </c>
    </row>
    <row r="3377" spans="1:9" ht="15" customHeight="1" x14ac:dyDescent="0.25">
      <c r="A3377" s="7">
        <v>3376</v>
      </c>
      <c r="B3377" s="1">
        <v>43587</v>
      </c>
      <c r="C3377" s="6" t="s">
        <v>41</v>
      </c>
      <c r="D3377" s="6" t="s">
        <v>9</v>
      </c>
      <c r="E3377" s="6">
        <v>2</v>
      </c>
      <c r="F3377" s="6">
        <v>3</v>
      </c>
      <c r="G3377" s="6" t="s">
        <v>27</v>
      </c>
      <c r="H3377" s="6" t="s">
        <v>10</v>
      </c>
      <c r="I3377" s="6">
        <f>TabJogos[[#This Row],[PontosTime1]]-TabJogos[[#This Row],[PontosTime2]]</f>
        <v>-1</v>
      </c>
    </row>
    <row r="3378" spans="1:9" ht="15" customHeight="1" x14ac:dyDescent="0.25">
      <c r="A3378" s="7">
        <v>3377</v>
      </c>
      <c r="B3378" s="1">
        <v>43587</v>
      </c>
      <c r="C3378" s="6" t="s">
        <v>57</v>
      </c>
      <c r="D3378" s="6" t="s">
        <v>27</v>
      </c>
      <c r="E3378" s="6">
        <v>3</v>
      </c>
      <c r="F3378" s="6">
        <v>1</v>
      </c>
      <c r="G3378" s="6" t="s">
        <v>10</v>
      </c>
      <c r="H3378" s="6" t="s">
        <v>12</v>
      </c>
      <c r="I3378" s="6">
        <f>TabJogos[[#This Row],[PontosTime1]]-TabJogos[[#This Row],[PontosTime2]]</f>
        <v>2</v>
      </c>
    </row>
    <row r="3379" spans="1:9" ht="15" customHeight="1" x14ac:dyDescent="0.25">
      <c r="A3379" s="7">
        <v>3378</v>
      </c>
      <c r="B3379" s="1">
        <v>43587</v>
      </c>
      <c r="C3379" s="6" t="s">
        <v>11</v>
      </c>
      <c r="D3379" s="6" t="s">
        <v>32</v>
      </c>
      <c r="E3379" s="6">
        <v>3</v>
      </c>
      <c r="F3379" s="6">
        <v>2</v>
      </c>
      <c r="G3379" s="6" t="s">
        <v>13</v>
      </c>
      <c r="H3379" s="6" t="s">
        <v>28</v>
      </c>
      <c r="I3379" s="6">
        <f>TabJogos[[#This Row],[PontosTime1]]-TabJogos[[#This Row],[PontosTime2]]</f>
        <v>1</v>
      </c>
    </row>
    <row r="3380" spans="1:9" ht="15" customHeight="1" x14ac:dyDescent="0.25">
      <c r="A3380" s="7">
        <v>3379</v>
      </c>
      <c r="B3380" s="1">
        <v>43587</v>
      </c>
      <c r="C3380" s="6" t="s">
        <v>27</v>
      </c>
      <c r="D3380" s="6" t="s">
        <v>41</v>
      </c>
      <c r="E3380" s="6">
        <v>3</v>
      </c>
      <c r="F3380" s="6">
        <v>2</v>
      </c>
      <c r="G3380" s="6" t="s">
        <v>57</v>
      </c>
      <c r="H3380" s="6" t="s">
        <v>9</v>
      </c>
      <c r="I3380" s="6">
        <f>TabJogos[[#This Row],[PontosTime1]]-TabJogos[[#This Row],[PontosTime2]]</f>
        <v>1</v>
      </c>
    </row>
    <row r="3381" spans="1:9" ht="15" customHeight="1" x14ac:dyDescent="0.25">
      <c r="A3381" s="7">
        <v>3380</v>
      </c>
      <c r="B3381" s="1">
        <v>43587</v>
      </c>
      <c r="C3381" s="6" t="s">
        <v>11</v>
      </c>
      <c r="D3381" s="6" t="s">
        <v>10</v>
      </c>
      <c r="E3381" s="6">
        <v>2</v>
      </c>
      <c r="F3381" s="6">
        <v>3</v>
      </c>
      <c r="G3381" s="6" t="s">
        <v>12</v>
      </c>
      <c r="H3381" s="6" t="s">
        <v>32</v>
      </c>
      <c r="I3381" s="6">
        <f>TabJogos[[#This Row],[PontosTime1]]-TabJogos[[#This Row],[PontosTime2]]</f>
        <v>-1</v>
      </c>
    </row>
    <row r="3382" spans="1:9" ht="15" customHeight="1" x14ac:dyDescent="0.25">
      <c r="A3382" s="7">
        <v>3381</v>
      </c>
      <c r="B3382" s="1">
        <v>43587</v>
      </c>
      <c r="C3382" s="6" t="s">
        <v>13</v>
      </c>
      <c r="D3382" s="6" t="s">
        <v>27</v>
      </c>
      <c r="E3382" s="6">
        <v>1</v>
      </c>
      <c r="F3382" s="6">
        <v>4</v>
      </c>
      <c r="G3382" s="6" t="s">
        <v>41</v>
      </c>
      <c r="H3382" s="6" t="s">
        <v>28</v>
      </c>
      <c r="I3382" s="6">
        <f>TabJogos[[#This Row],[PontosTime1]]-TabJogos[[#This Row],[PontosTime2]]</f>
        <v>-3</v>
      </c>
    </row>
    <row r="3383" spans="1:9" ht="15" customHeight="1" x14ac:dyDescent="0.25">
      <c r="A3383" s="7">
        <v>3382</v>
      </c>
      <c r="B3383" s="1">
        <v>43587</v>
      </c>
      <c r="C3383" s="6" t="s">
        <v>12</v>
      </c>
      <c r="D3383" s="6" t="s">
        <v>9</v>
      </c>
      <c r="E3383" s="6">
        <v>4</v>
      </c>
      <c r="F3383" s="6">
        <v>2</v>
      </c>
      <c r="G3383" s="6" t="s">
        <v>32</v>
      </c>
      <c r="H3383" s="6" t="s">
        <v>18</v>
      </c>
      <c r="I3383" s="6">
        <f>TabJogos[[#This Row],[PontosTime1]]-TabJogos[[#This Row],[PontosTime2]]</f>
        <v>2</v>
      </c>
    </row>
    <row r="3384" spans="1:9" ht="15" customHeight="1" x14ac:dyDescent="0.25">
      <c r="A3384" s="7">
        <v>3383</v>
      </c>
      <c r="B3384" s="1">
        <v>43587</v>
      </c>
      <c r="C3384" s="6" t="s">
        <v>11</v>
      </c>
      <c r="D3384" s="6" t="s">
        <v>41</v>
      </c>
      <c r="E3384" s="6">
        <v>1</v>
      </c>
      <c r="F3384" s="6">
        <v>3</v>
      </c>
      <c r="G3384" s="6" t="s">
        <v>10</v>
      </c>
      <c r="H3384" s="6" t="s">
        <v>28</v>
      </c>
      <c r="I3384" s="6">
        <f>TabJogos[[#This Row],[PontosTime1]]-TabJogos[[#This Row],[PontosTime2]]</f>
        <v>-2</v>
      </c>
    </row>
    <row r="3385" spans="1:9" ht="15" customHeight="1" x14ac:dyDescent="0.25">
      <c r="A3385" s="7">
        <v>3384</v>
      </c>
      <c r="B3385" s="1">
        <v>43587</v>
      </c>
      <c r="C3385" s="6" t="s">
        <v>12</v>
      </c>
      <c r="D3385" s="6" t="s">
        <v>57</v>
      </c>
      <c r="E3385" s="6">
        <v>3</v>
      </c>
      <c r="F3385" s="6">
        <v>0</v>
      </c>
      <c r="G3385" s="6" t="s">
        <v>9</v>
      </c>
      <c r="H3385" s="6" t="s">
        <v>60</v>
      </c>
      <c r="I3385" s="6">
        <f>TabJogos[[#This Row],[PontosTime1]]-TabJogos[[#This Row],[PontosTime2]]</f>
        <v>3</v>
      </c>
    </row>
    <row r="3386" spans="1:9" ht="15" customHeight="1" x14ac:dyDescent="0.25">
      <c r="A3386" s="7">
        <v>3385</v>
      </c>
      <c r="B3386" s="1">
        <v>43587</v>
      </c>
      <c r="C3386" s="6" t="s">
        <v>10</v>
      </c>
      <c r="D3386" s="6" t="s">
        <v>13</v>
      </c>
      <c r="E3386" s="6">
        <v>3</v>
      </c>
      <c r="F3386" s="6">
        <v>0</v>
      </c>
      <c r="G3386" s="6" t="s">
        <v>28</v>
      </c>
      <c r="H3386" s="6" t="s">
        <v>16</v>
      </c>
      <c r="I3386" s="6">
        <f>TabJogos[[#This Row],[PontosTime1]]-TabJogos[[#This Row],[PontosTime2]]</f>
        <v>3</v>
      </c>
    </row>
    <row r="3387" spans="1:9" ht="15" customHeight="1" x14ac:dyDescent="0.25">
      <c r="A3387" s="7">
        <v>3386</v>
      </c>
      <c r="B3387" s="1">
        <v>43587</v>
      </c>
      <c r="C3387" s="6" t="s">
        <v>18</v>
      </c>
      <c r="D3387" s="6" t="s">
        <v>12</v>
      </c>
      <c r="E3387" s="6">
        <v>2</v>
      </c>
      <c r="F3387" s="6">
        <v>3</v>
      </c>
      <c r="G3387" s="6" t="s">
        <v>57</v>
      </c>
      <c r="H3387" s="6" t="s">
        <v>11</v>
      </c>
      <c r="I3387" s="6">
        <f>TabJogos[[#This Row],[PontosTime1]]-TabJogos[[#This Row],[PontosTime2]]</f>
        <v>-1</v>
      </c>
    </row>
    <row r="3388" spans="1:9" ht="15" customHeight="1" x14ac:dyDescent="0.25">
      <c r="A3388" s="7">
        <v>3387</v>
      </c>
      <c r="B3388" s="1">
        <v>43587</v>
      </c>
      <c r="C3388" s="6" t="s">
        <v>13</v>
      </c>
      <c r="D3388" s="6" t="s">
        <v>41</v>
      </c>
      <c r="E3388" s="6">
        <v>1</v>
      </c>
      <c r="F3388" s="6">
        <v>4</v>
      </c>
      <c r="G3388" s="6" t="s">
        <v>10</v>
      </c>
      <c r="H3388" s="6" t="s">
        <v>60</v>
      </c>
      <c r="I3388" s="6">
        <f>TabJogos[[#This Row],[PontosTime1]]-TabJogos[[#This Row],[PontosTime2]]</f>
        <v>-3</v>
      </c>
    </row>
    <row r="3389" spans="1:9" ht="15" customHeight="1" x14ac:dyDescent="0.25">
      <c r="A3389" s="7">
        <v>3388</v>
      </c>
      <c r="B3389" s="1">
        <v>43587</v>
      </c>
      <c r="C3389" s="6" t="s">
        <v>60</v>
      </c>
      <c r="D3389" s="6" t="s">
        <v>28</v>
      </c>
      <c r="E3389" s="6">
        <v>4</v>
      </c>
      <c r="F3389" s="6">
        <v>0</v>
      </c>
      <c r="G3389" s="6" t="s">
        <v>10</v>
      </c>
      <c r="H3389" s="6" t="s">
        <v>9</v>
      </c>
      <c r="I3389" s="6">
        <f>TabJogos[[#This Row],[PontosTime1]]-TabJogos[[#This Row],[PontosTime2]]</f>
        <v>4</v>
      </c>
    </row>
    <row r="3390" spans="1:9" ht="15" customHeight="1" x14ac:dyDescent="0.25">
      <c r="A3390" s="7">
        <v>3389</v>
      </c>
      <c r="B3390" s="1">
        <v>43587</v>
      </c>
      <c r="C3390" s="6" t="s">
        <v>13</v>
      </c>
      <c r="D3390" s="6" t="s">
        <v>11</v>
      </c>
      <c r="E3390" s="6">
        <v>3</v>
      </c>
      <c r="F3390" s="6">
        <v>0</v>
      </c>
      <c r="G3390" s="6" t="s">
        <v>41</v>
      </c>
      <c r="H3390" s="6" t="s">
        <v>57</v>
      </c>
      <c r="I3390" s="6">
        <f>TabJogos[[#This Row],[PontosTime1]]-TabJogos[[#This Row],[PontosTime2]]</f>
        <v>3</v>
      </c>
    </row>
    <row r="3391" spans="1:9" ht="15" customHeight="1" x14ac:dyDescent="0.25">
      <c r="A3391" s="7">
        <v>3390</v>
      </c>
      <c r="B3391" s="1">
        <v>43587</v>
      </c>
      <c r="C3391" s="6" t="s">
        <v>11</v>
      </c>
      <c r="D3391" s="6" t="s">
        <v>41</v>
      </c>
      <c r="E3391" s="6">
        <v>3</v>
      </c>
      <c r="F3391" s="6">
        <v>2</v>
      </c>
      <c r="G3391" s="6" t="s">
        <v>13</v>
      </c>
      <c r="H3391" s="6" t="s">
        <v>57</v>
      </c>
      <c r="I3391" s="6">
        <f>TabJogos[[#This Row],[PontosTime1]]-TabJogos[[#This Row],[PontosTime2]]</f>
        <v>1</v>
      </c>
    </row>
    <row r="3392" spans="1:9" ht="15" customHeight="1" x14ac:dyDescent="0.25">
      <c r="A3392" s="7">
        <v>3391</v>
      </c>
      <c r="B3392" s="1">
        <v>43587</v>
      </c>
      <c r="C3392" s="6" t="s">
        <v>28</v>
      </c>
      <c r="D3392" s="6" t="s">
        <v>9</v>
      </c>
      <c r="E3392" s="6">
        <v>4</v>
      </c>
      <c r="F3392" s="6">
        <v>2</v>
      </c>
      <c r="G3392" s="6" t="s">
        <v>60</v>
      </c>
      <c r="H3392" s="6" t="s">
        <v>18</v>
      </c>
      <c r="I3392" s="6">
        <f>TabJogos[[#This Row],[PontosTime1]]-TabJogos[[#This Row],[PontosTime2]]</f>
        <v>2</v>
      </c>
    </row>
    <row r="3393" spans="1:9" ht="15" customHeight="1" x14ac:dyDescent="0.25">
      <c r="A3393" s="7">
        <v>3392</v>
      </c>
      <c r="B3393" s="1">
        <v>43587</v>
      </c>
      <c r="C3393" s="6" t="s">
        <v>13</v>
      </c>
      <c r="D3393" s="6" t="s">
        <v>41</v>
      </c>
      <c r="E3393" s="6">
        <v>0</v>
      </c>
      <c r="F3393" s="6">
        <v>3</v>
      </c>
      <c r="G3393" s="6" t="s">
        <v>18</v>
      </c>
      <c r="H3393" s="6" t="s">
        <v>11</v>
      </c>
      <c r="I3393" s="6">
        <f>TabJogos[[#This Row],[PontosTime1]]-TabJogos[[#This Row],[PontosTime2]]</f>
        <v>-3</v>
      </c>
    </row>
    <row r="3394" spans="1:9" ht="15" customHeight="1" x14ac:dyDescent="0.25">
      <c r="A3394" s="7">
        <v>3393</v>
      </c>
      <c r="B3394" s="1">
        <v>43587</v>
      </c>
      <c r="C3394" s="6" t="s">
        <v>27</v>
      </c>
      <c r="D3394" s="6" t="s">
        <v>28</v>
      </c>
      <c r="E3394" s="6">
        <v>3</v>
      </c>
      <c r="F3394" s="6">
        <v>1</v>
      </c>
      <c r="G3394" s="6" t="s">
        <v>9</v>
      </c>
      <c r="H3394" s="6" t="s">
        <v>60</v>
      </c>
      <c r="I3394" s="6">
        <f>TabJogos[[#This Row],[PontosTime1]]-TabJogos[[#This Row],[PontosTime2]]</f>
        <v>2</v>
      </c>
    </row>
    <row r="3395" spans="1:9" ht="15" customHeight="1" x14ac:dyDescent="0.25">
      <c r="A3395" s="7">
        <v>3394</v>
      </c>
      <c r="B3395" s="1">
        <v>43587</v>
      </c>
      <c r="C3395" s="6" t="s">
        <v>18</v>
      </c>
      <c r="D3395" s="6" t="s">
        <v>41</v>
      </c>
      <c r="E3395" s="6">
        <v>3</v>
      </c>
      <c r="F3395" s="6">
        <v>1</v>
      </c>
      <c r="G3395" s="6" t="s">
        <v>13</v>
      </c>
      <c r="H3395" s="6" t="s">
        <v>11</v>
      </c>
      <c r="I3395" s="6">
        <f>TabJogos[[#This Row],[PontosTime1]]-TabJogos[[#This Row],[PontosTime2]]</f>
        <v>2</v>
      </c>
    </row>
    <row r="3396" spans="1:9" ht="15" customHeight="1" x14ac:dyDescent="0.25">
      <c r="A3396" s="7">
        <v>3395</v>
      </c>
      <c r="B3396" s="1">
        <v>43587</v>
      </c>
      <c r="C3396" s="6" t="s">
        <v>9</v>
      </c>
      <c r="D3396" s="6" t="s">
        <v>27</v>
      </c>
      <c r="E3396" s="6">
        <v>3</v>
      </c>
      <c r="F3396" s="6">
        <v>1</v>
      </c>
      <c r="G3396" s="6" t="s">
        <v>28</v>
      </c>
      <c r="H3396" s="6" t="s">
        <v>60</v>
      </c>
      <c r="I3396" s="6">
        <f>TabJogos[[#This Row],[PontosTime1]]-TabJogos[[#This Row],[PontosTime2]]</f>
        <v>2</v>
      </c>
    </row>
    <row r="3397" spans="1:9" ht="15" customHeight="1" x14ac:dyDescent="0.25">
      <c r="A3397" s="7">
        <v>3396</v>
      </c>
      <c r="B3397" s="1">
        <v>43587</v>
      </c>
      <c r="C3397" s="6" t="s">
        <v>41</v>
      </c>
      <c r="D3397" s="6" t="s">
        <v>11</v>
      </c>
      <c r="E3397" s="6">
        <v>3</v>
      </c>
      <c r="F3397" s="6">
        <v>0</v>
      </c>
      <c r="G3397" s="6" t="s">
        <v>18</v>
      </c>
      <c r="H3397" s="6" t="s">
        <v>13</v>
      </c>
      <c r="I3397" s="6">
        <f>TabJogos[[#This Row],[PontosTime1]]-TabJogos[[#This Row],[PontosTime2]]</f>
        <v>3</v>
      </c>
    </row>
    <row r="3398" spans="1:9" ht="15" customHeight="1" x14ac:dyDescent="0.25">
      <c r="A3398" s="7">
        <v>3397</v>
      </c>
      <c r="B3398" s="1">
        <v>43587</v>
      </c>
      <c r="C3398" s="6" t="s">
        <v>9</v>
      </c>
      <c r="D3398" s="6" t="s">
        <v>28</v>
      </c>
      <c r="E3398" s="6">
        <v>3</v>
      </c>
      <c r="F3398" s="6">
        <v>2</v>
      </c>
      <c r="G3398" s="6" t="s">
        <v>60</v>
      </c>
      <c r="H3398" s="6" t="s">
        <v>27</v>
      </c>
      <c r="I3398" s="6">
        <f>TabJogos[[#This Row],[PontosTime1]]-TabJogos[[#This Row],[PontosTime2]]</f>
        <v>1</v>
      </c>
    </row>
    <row r="3399" spans="1:9" ht="15" customHeight="1" x14ac:dyDescent="0.25">
      <c r="A3399" s="7">
        <v>3398</v>
      </c>
      <c r="B3399" s="1">
        <v>43587</v>
      </c>
      <c r="C3399" s="6" t="s">
        <v>9</v>
      </c>
      <c r="D3399" s="6" t="s">
        <v>18</v>
      </c>
      <c r="E3399" s="6">
        <v>3</v>
      </c>
      <c r="F3399" s="6">
        <v>0</v>
      </c>
      <c r="G3399" s="6" t="s">
        <v>13</v>
      </c>
      <c r="H3399" s="6" t="s">
        <v>11</v>
      </c>
      <c r="I3399" s="6">
        <f>TabJogos[[#This Row],[PontosTime1]]-TabJogos[[#This Row],[PontosTime2]]</f>
        <v>3</v>
      </c>
    </row>
    <row r="3400" spans="1:9" ht="15" customHeight="1" x14ac:dyDescent="0.25">
      <c r="A3400" s="7">
        <v>3399</v>
      </c>
      <c r="B3400" s="1">
        <v>43588</v>
      </c>
      <c r="C3400" s="6" t="s">
        <v>13</v>
      </c>
      <c r="D3400" s="6" t="s">
        <v>18</v>
      </c>
      <c r="E3400" s="6">
        <v>3</v>
      </c>
      <c r="F3400" s="6">
        <v>2</v>
      </c>
      <c r="G3400" s="6" t="s">
        <v>11</v>
      </c>
      <c r="H3400" s="6" t="s">
        <v>9</v>
      </c>
      <c r="I3400" s="6">
        <f>TabJogos[[#This Row],[PontosTime1]]-TabJogos[[#This Row],[PontosTime2]]</f>
        <v>1</v>
      </c>
    </row>
    <row r="3401" spans="1:9" ht="15" customHeight="1" x14ac:dyDescent="0.25">
      <c r="A3401" s="7">
        <v>3400</v>
      </c>
      <c r="B3401" s="1">
        <v>43588</v>
      </c>
      <c r="C3401" s="6" t="s">
        <v>13</v>
      </c>
      <c r="D3401" s="6" t="s">
        <v>9</v>
      </c>
      <c r="E3401" s="6">
        <v>1</v>
      </c>
      <c r="F3401" s="6">
        <v>3</v>
      </c>
      <c r="G3401" s="6" t="s">
        <v>11</v>
      </c>
      <c r="H3401" s="6" t="s">
        <v>18</v>
      </c>
      <c r="I3401" s="6">
        <f>TabJogos[[#This Row],[PontosTime1]]-TabJogos[[#This Row],[PontosTime2]]</f>
        <v>-2</v>
      </c>
    </row>
    <row r="3402" spans="1:9" ht="15" customHeight="1" x14ac:dyDescent="0.25">
      <c r="A3402" s="7">
        <v>3401</v>
      </c>
      <c r="B3402" s="1">
        <v>43588</v>
      </c>
      <c r="C3402" s="6" t="s">
        <v>18</v>
      </c>
      <c r="D3402" s="6" t="s">
        <v>9</v>
      </c>
      <c r="E3402" s="6">
        <v>3</v>
      </c>
      <c r="F3402" s="6">
        <v>0</v>
      </c>
      <c r="G3402" s="6" t="s">
        <v>13</v>
      </c>
      <c r="H3402" s="6" t="s">
        <v>11</v>
      </c>
      <c r="I3402" s="6">
        <f>TabJogos[[#This Row],[PontosTime1]]-TabJogos[[#This Row],[PontosTime2]]</f>
        <v>3</v>
      </c>
    </row>
    <row r="3403" spans="1:9" ht="15" customHeight="1" x14ac:dyDescent="0.25">
      <c r="A3403" s="7">
        <v>3402</v>
      </c>
      <c r="B3403" s="1">
        <v>43588</v>
      </c>
      <c r="C3403" s="6" t="s">
        <v>11</v>
      </c>
      <c r="D3403" s="6" t="s">
        <v>9</v>
      </c>
      <c r="E3403" s="6">
        <v>3</v>
      </c>
      <c r="F3403" s="6">
        <v>1</v>
      </c>
      <c r="G3403" s="6" t="s">
        <v>13</v>
      </c>
      <c r="H3403" s="6" t="s">
        <v>18</v>
      </c>
      <c r="I3403" s="6">
        <f>TabJogos[[#This Row],[PontosTime1]]-TabJogos[[#This Row],[PontosTime2]]</f>
        <v>2</v>
      </c>
    </row>
    <row r="3404" spans="1:9" ht="15" customHeight="1" x14ac:dyDescent="0.25">
      <c r="A3404" s="7">
        <v>3403</v>
      </c>
      <c r="B3404" s="1">
        <v>43588</v>
      </c>
      <c r="C3404" s="6" t="s">
        <v>9</v>
      </c>
      <c r="D3404" s="6" t="s">
        <v>57</v>
      </c>
      <c r="E3404" s="6">
        <v>2</v>
      </c>
      <c r="F3404" s="6">
        <v>4</v>
      </c>
      <c r="G3404" s="6" t="s">
        <v>11</v>
      </c>
      <c r="H3404" s="6" t="s">
        <v>18</v>
      </c>
      <c r="I3404" s="6">
        <f>TabJogos[[#This Row],[PontosTime1]]-TabJogos[[#This Row],[PontosTime2]]</f>
        <v>-2</v>
      </c>
    </row>
    <row r="3405" spans="1:9" ht="15" customHeight="1" x14ac:dyDescent="0.25">
      <c r="A3405" s="7">
        <v>3404</v>
      </c>
      <c r="B3405" s="1">
        <v>43588</v>
      </c>
      <c r="C3405" s="6" t="s">
        <v>11</v>
      </c>
      <c r="D3405" s="6" t="s">
        <v>13</v>
      </c>
      <c r="E3405" s="6">
        <v>0</v>
      </c>
      <c r="F3405" s="6">
        <v>3</v>
      </c>
      <c r="G3405" s="6" t="s">
        <v>28</v>
      </c>
      <c r="H3405" s="6" t="s">
        <v>18</v>
      </c>
      <c r="I3405" s="6">
        <f>TabJogos[[#This Row],[PontosTime1]]-TabJogos[[#This Row],[PontosTime2]]</f>
        <v>-3</v>
      </c>
    </row>
    <row r="3406" spans="1:9" ht="15" customHeight="1" x14ac:dyDescent="0.25">
      <c r="A3406" s="7">
        <v>3405</v>
      </c>
      <c r="B3406" s="1">
        <v>43588</v>
      </c>
      <c r="C3406" s="6" t="s">
        <v>28</v>
      </c>
      <c r="D3406" s="6" t="s">
        <v>57</v>
      </c>
      <c r="E3406" s="6">
        <v>4</v>
      </c>
      <c r="F3406" s="6">
        <v>1</v>
      </c>
      <c r="G3406" s="6" t="s">
        <v>60</v>
      </c>
      <c r="H3406" s="6" t="s">
        <v>18</v>
      </c>
      <c r="I3406" s="6">
        <f>TabJogos[[#This Row],[PontosTime1]]-TabJogos[[#This Row],[PontosTime2]]</f>
        <v>3</v>
      </c>
    </row>
    <row r="3407" spans="1:9" ht="15" customHeight="1" x14ac:dyDescent="0.25">
      <c r="A3407" s="7">
        <v>3406</v>
      </c>
      <c r="B3407" s="1">
        <v>43588</v>
      </c>
      <c r="C3407" s="6" t="s">
        <v>57</v>
      </c>
      <c r="D3407" s="6" t="s">
        <v>13</v>
      </c>
      <c r="E3407" s="6">
        <v>3</v>
      </c>
      <c r="F3407" s="6">
        <v>0</v>
      </c>
      <c r="G3407" s="6" t="s">
        <v>28</v>
      </c>
      <c r="H3407" s="6" t="s">
        <v>9</v>
      </c>
      <c r="I3407" s="6">
        <f>TabJogos[[#This Row],[PontosTime1]]-TabJogos[[#This Row],[PontosTime2]]</f>
        <v>3</v>
      </c>
    </row>
    <row r="3408" spans="1:9" ht="15" customHeight="1" x14ac:dyDescent="0.25">
      <c r="A3408" s="7">
        <v>3407</v>
      </c>
      <c r="B3408" s="1">
        <v>43588</v>
      </c>
      <c r="C3408" s="6" t="s">
        <v>57</v>
      </c>
      <c r="D3408" s="6" t="s">
        <v>11</v>
      </c>
      <c r="E3408" s="6">
        <v>2</v>
      </c>
      <c r="F3408" s="6">
        <v>3</v>
      </c>
      <c r="G3408" s="6" t="s">
        <v>60</v>
      </c>
      <c r="H3408" s="6" t="s">
        <v>13</v>
      </c>
      <c r="I3408" s="6">
        <f>TabJogos[[#This Row],[PontosTime1]]-TabJogos[[#This Row],[PontosTime2]]</f>
        <v>-1</v>
      </c>
    </row>
    <row r="3409" spans="1:9" ht="15" customHeight="1" x14ac:dyDescent="0.25">
      <c r="A3409" s="7">
        <v>3408</v>
      </c>
      <c r="B3409" s="1">
        <v>43588</v>
      </c>
      <c r="C3409" s="6" t="s">
        <v>18</v>
      </c>
      <c r="D3409" s="6" t="s">
        <v>13</v>
      </c>
      <c r="E3409" s="6">
        <v>0</v>
      </c>
      <c r="F3409" s="6">
        <v>3</v>
      </c>
      <c r="G3409" s="6" t="s">
        <v>60</v>
      </c>
      <c r="H3409" s="6" t="s">
        <v>28</v>
      </c>
      <c r="I3409" s="6">
        <f>TabJogos[[#This Row],[PontosTime1]]-TabJogos[[#This Row],[PontosTime2]]</f>
        <v>-3</v>
      </c>
    </row>
    <row r="3410" spans="1:9" ht="15" customHeight="1" x14ac:dyDescent="0.25">
      <c r="A3410" s="7">
        <v>3409</v>
      </c>
      <c r="B3410" s="1">
        <v>43588</v>
      </c>
      <c r="C3410" s="6" t="s">
        <v>11</v>
      </c>
      <c r="D3410" s="6" t="s">
        <v>28</v>
      </c>
      <c r="E3410" s="6">
        <v>2</v>
      </c>
      <c r="F3410" s="6">
        <v>3</v>
      </c>
      <c r="G3410" s="6" t="s">
        <v>60</v>
      </c>
      <c r="H3410" s="6" t="s">
        <v>9</v>
      </c>
      <c r="I3410" s="6">
        <f>TabJogos[[#This Row],[PontosTime1]]-TabJogos[[#This Row],[PontosTime2]]</f>
        <v>-1</v>
      </c>
    </row>
    <row r="3411" spans="1:9" ht="15" customHeight="1" x14ac:dyDescent="0.25">
      <c r="A3411" s="7">
        <v>3410</v>
      </c>
      <c r="B3411" s="1">
        <v>43588</v>
      </c>
      <c r="C3411" s="6" t="s">
        <v>9</v>
      </c>
      <c r="D3411" s="6" t="s">
        <v>13</v>
      </c>
      <c r="E3411" s="6">
        <v>3</v>
      </c>
      <c r="F3411" s="6">
        <v>2</v>
      </c>
      <c r="G3411" s="6" t="s">
        <v>18</v>
      </c>
      <c r="H3411" s="6" t="s">
        <v>11</v>
      </c>
      <c r="I3411" s="6">
        <f>TabJogos[[#This Row],[PontosTime1]]-TabJogos[[#This Row],[PontosTime2]]</f>
        <v>1</v>
      </c>
    </row>
    <row r="3412" spans="1:9" ht="15" customHeight="1" x14ac:dyDescent="0.25">
      <c r="A3412" s="7">
        <v>3411</v>
      </c>
      <c r="B3412" s="1">
        <v>43588</v>
      </c>
      <c r="C3412" s="6" t="s">
        <v>11</v>
      </c>
      <c r="D3412" s="6" t="s">
        <v>9</v>
      </c>
      <c r="E3412" s="6">
        <v>2</v>
      </c>
      <c r="F3412" s="6">
        <v>3</v>
      </c>
      <c r="G3412" s="6" t="s">
        <v>13</v>
      </c>
      <c r="H3412" s="6" t="s">
        <v>18</v>
      </c>
      <c r="I3412" s="6">
        <f>TabJogos[[#This Row],[PontosTime1]]-TabJogos[[#This Row],[PontosTime2]]</f>
        <v>-1</v>
      </c>
    </row>
    <row r="3413" spans="1:9" ht="15" customHeight="1" x14ac:dyDescent="0.25">
      <c r="A3413" s="7">
        <v>3412</v>
      </c>
      <c r="B3413" s="1">
        <v>43588</v>
      </c>
      <c r="C3413" s="6" t="s">
        <v>11</v>
      </c>
      <c r="D3413" s="6" t="s">
        <v>13</v>
      </c>
      <c r="E3413" s="6">
        <v>2</v>
      </c>
      <c r="F3413" s="6">
        <v>3</v>
      </c>
      <c r="G3413" s="6" t="s">
        <v>18</v>
      </c>
      <c r="H3413" s="6" t="s">
        <v>9</v>
      </c>
      <c r="I3413" s="6">
        <f>TabJogos[[#This Row],[PontosTime1]]-TabJogos[[#This Row],[PontosTime2]]</f>
        <v>-1</v>
      </c>
    </row>
    <row r="3414" spans="1:9" ht="15" customHeight="1" x14ac:dyDescent="0.25">
      <c r="A3414" s="7">
        <v>3413</v>
      </c>
      <c r="B3414" s="1">
        <v>43588</v>
      </c>
      <c r="C3414" s="6" t="s">
        <v>41</v>
      </c>
      <c r="D3414" s="6" t="s">
        <v>60</v>
      </c>
      <c r="E3414" s="6">
        <v>3</v>
      </c>
      <c r="F3414" s="6">
        <v>0</v>
      </c>
      <c r="G3414" s="6" t="s">
        <v>9</v>
      </c>
      <c r="H3414" s="6" t="s">
        <v>18</v>
      </c>
      <c r="I3414" s="6">
        <f>TabJogos[[#This Row],[PontosTime1]]-TabJogos[[#This Row],[PontosTime2]]</f>
        <v>3</v>
      </c>
    </row>
    <row r="3415" spans="1:9" ht="15" customHeight="1" x14ac:dyDescent="0.25">
      <c r="A3415" s="7">
        <v>3414</v>
      </c>
      <c r="B3415" s="1">
        <v>43588</v>
      </c>
      <c r="C3415" s="6" t="s">
        <v>11</v>
      </c>
      <c r="D3415" s="6" t="s">
        <v>60</v>
      </c>
      <c r="E3415" s="6">
        <v>3</v>
      </c>
      <c r="F3415" s="6">
        <v>2</v>
      </c>
      <c r="G3415" s="6" t="s">
        <v>41</v>
      </c>
      <c r="H3415" s="6" t="s">
        <v>13</v>
      </c>
      <c r="I3415" s="6">
        <f>TabJogos[[#This Row],[PontosTime1]]-TabJogos[[#This Row],[PontosTime2]]</f>
        <v>1</v>
      </c>
    </row>
    <row r="3416" spans="1:9" ht="15" customHeight="1" x14ac:dyDescent="0.25">
      <c r="A3416" s="7">
        <v>3415</v>
      </c>
      <c r="B3416" s="1">
        <v>43588</v>
      </c>
      <c r="C3416" s="6" t="s">
        <v>11</v>
      </c>
      <c r="D3416" s="6" t="s">
        <v>18</v>
      </c>
      <c r="E3416" s="6">
        <v>3</v>
      </c>
      <c r="F3416" s="6">
        <v>1</v>
      </c>
      <c r="G3416" s="6" t="s">
        <v>9</v>
      </c>
      <c r="H3416" s="6" t="s">
        <v>13</v>
      </c>
      <c r="I3416" s="6">
        <f>TabJogos[[#This Row],[PontosTime1]]-TabJogos[[#This Row],[PontosTime2]]</f>
        <v>2</v>
      </c>
    </row>
    <row r="3417" spans="1:9" ht="15" customHeight="1" x14ac:dyDescent="0.25">
      <c r="A3417" s="7">
        <v>3416</v>
      </c>
      <c r="B3417" s="1">
        <v>43588</v>
      </c>
      <c r="C3417" s="6" t="s">
        <v>13</v>
      </c>
      <c r="D3417" s="6" t="s">
        <v>18</v>
      </c>
      <c r="E3417" s="6">
        <v>3</v>
      </c>
      <c r="F3417" s="6">
        <v>0</v>
      </c>
      <c r="G3417" s="6" t="s">
        <v>11</v>
      </c>
      <c r="H3417" s="6" t="s">
        <v>9</v>
      </c>
      <c r="I3417" s="6">
        <f>TabJogos[[#This Row],[PontosTime1]]-TabJogos[[#This Row],[PontosTime2]]</f>
        <v>3</v>
      </c>
    </row>
    <row r="3418" spans="1:9" ht="15" customHeight="1" x14ac:dyDescent="0.25">
      <c r="A3418" s="7">
        <v>3417</v>
      </c>
      <c r="B3418" s="1">
        <v>43588</v>
      </c>
      <c r="C3418" s="6" t="s">
        <v>11</v>
      </c>
      <c r="D3418" s="6" t="s">
        <v>13</v>
      </c>
      <c r="E3418" s="6">
        <v>3</v>
      </c>
      <c r="F3418" s="6">
        <v>1</v>
      </c>
      <c r="G3418" s="6" t="s">
        <v>18</v>
      </c>
      <c r="H3418" s="6" t="s">
        <v>9</v>
      </c>
      <c r="I3418" s="6">
        <f>TabJogos[[#This Row],[PontosTime1]]-TabJogos[[#This Row],[PontosTime2]]</f>
        <v>2</v>
      </c>
    </row>
    <row r="3419" spans="1:9" ht="15" customHeight="1" x14ac:dyDescent="0.25">
      <c r="A3419" s="7">
        <v>3418</v>
      </c>
      <c r="B3419" s="1">
        <v>43588</v>
      </c>
      <c r="C3419" s="6" t="s">
        <v>11</v>
      </c>
      <c r="D3419" s="6" t="s">
        <v>18</v>
      </c>
      <c r="E3419" s="6">
        <v>3</v>
      </c>
      <c r="F3419" s="6">
        <v>2</v>
      </c>
      <c r="G3419" s="6" t="s">
        <v>13</v>
      </c>
      <c r="H3419" s="6" t="s">
        <v>9</v>
      </c>
      <c r="I3419" s="6">
        <f>TabJogos[[#This Row],[PontosTime1]]-TabJogos[[#This Row],[PontosTime2]]</f>
        <v>1</v>
      </c>
    </row>
    <row r="3420" spans="1:9" ht="15" customHeight="1" x14ac:dyDescent="0.25">
      <c r="A3420" s="7">
        <v>3419</v>
      </c>
      <c r="B3420" s="1">
        <v>43588</v>
      </c>
      <c r="C3420" s="6" t="s">
        <v>11</v>
      </c>
      <c r="D3420" s="6" t="s">
        <v>9</v>
      </c>
      <c r="E3420" s="6">
        <v>3</v>
      </c>
      <c r="F3420" s="6">
        <v>0</v>
      </c>
      <c r="G3420" s="6" t="s">
        <v>13</v>
      </c>
      <c r="H3420" s="6" t="s">
        <v>18</v>
      </c>
      <c r="I3420" s="6">
        <f>TabJogos[[#This Row],[PontosTime1]]-TabJogos[[#This Row],[PontosTime2]]</f>
        <v>3</v>
      </c>
    </row>
    <row r="3421" spans="1:9" ht="15" customHeight="1" x14ac:dyDescent="0.25">
      <c r="A3421" s="7">
        <v>3420</v>
      </c>
      <c r="B3421" s="1">
        <v>43588</v>
      </c>
      <c r="C3421" s="6" t="s">
        <v>11</v>
      </c>
      <c r="D3421" s="6" t="s">
        <v>13</v>
      </c>
      <c r="E3421" s="6">
        <v>0</v>
      </c>
      <c r="F3421" s="6">
        <v>3</v>
      </c>
      <c r="G3421" s="6" t="s">
        <v>18</v>
      </c>
      <c r="H3421" s="6" t="s">
        <v>9</v>
      </c>
      <c r="I3421" s="6">
        <f>TabJogos[[#This Row],[PontosTime1]]-TabJogos[[#This Row],[PontosTime2]]</f>
        <v>-3</v>
      </c>
    </row>
    <row r="3422" spans="1:9" ht="15" customHeight="1" x14ac:dyDescent="0.25">
      <c r="A3422" s="7">
        <v>3421</v>
      </c>
      <c r="B3422" s="1">
        <v>43591</v>
      </c>
      <c r="C3422" s="6" t="s">
        <v>57</v>
      </c>
      <c r="D3422" s="6" t="s">
        <v>60</v>
      </c>
      <c r="E3422" s="6">
        <v>0</v>
      </c>
      <c r="F3422" s="6">
        <v>3</v>
      </c>
      <c r="G3422" s="6" t="s">
        <v>32</v>
      </c>
      <c r="H3422" s="6" t="s">
        <v>28</v>
      </c>
      <c r="I3422" s="6">
        <f>TabJogos[[#This Row],[PontosTime1]]-TabJogos[[#This Row],[PontosTime2]]</f>
        <v>-3</v>
      </c>
    </row>
    <row r="3423" spans="1:9" ht="15" customHeight="1" x14ac:dyDescent="0.25">
      <c r="A3423" s="7">
        <v>3422</v>
      </c>
      <c r="B3423" s="1">
        <v>43591</v>
      </c>
      <c r="C3423" s="6" t="s">
        <v>28</v>
      </c>
      <c r="D3423" s="6" t="s">
        <v>41</v>
      </c>
      <c r="E3423" s="6">
        <v>0</v>
      </c>
      <c r="F3423" s="6">
        <v>3</v>
      </c>
      <c r="G3423" s="6" t="s">
        <v>13</v>
      </c>
      <c r="H3423" s="6" t="s">
        <v>32</v>
      </c>
      <c r="I3423" s="6">
        <f>TabJogos[[#This Row],[PontosTime1]]-TabJogos[[#This Row],[PontosTime2]]</f>
        <v>-3</v>
      </c>
    </row>
    <row r="3424" spans="1:9" ht="15" customHeight="1" x14ac:dyDescent="0.25">
      <c r="A3424" s="7">
        <v>3423</v>
      </c>
      <c r="B3424" s="1">
        <v>43591</v>
      </c>
      <c r="C3424" s="6" t="s">
        <v>32</v>
      </c>
      <c r="D3424" s="6" t="s">
        <v>11</v>
      </c>
      <c r="E3424" s="6">
        <v>3</v>
      </c>
      <c r="F3424" s="6">
        <v>1</v>
      </c>
      <c r="G3424" s="6" t="s">
        <v>13</v>
      </c>
      <c r="H3424" s="6" t="s">
        <v>41</v>
      </c>
      <c r="I3424" s="6">
        <f>TabJogos[[#This Row],[PontosTime1]]-TabJogos[[#This Row],[PontosTime2]]</f>
        <v>2</v>
      </c>
    </row>
    <row r="3425" spans="1:9" ht="15" customHeight="1" x14ac:dyDescent="0.25">
      <c r="A3425" s="7">
        <v>3424</v>
      </c>
      <c r="B3425" s="1">
        <v>43591</v>
      </c>
      <c r="C3425" s="6" t="s">
        <v>32</v>
      </c>
      <c r="D3425" s="6" t="s">
        <v>41</v>
      </c>
      <c r="E3425" s="6">
        <v>3</v>
      </c>
      <c r="F3425" s="6">
        <v>1</v>
      </c>
      <c r="G3425" s="6" t="s">
        <v>11</v>
      </c>
      <c r="H3425" s="6" t="s">
        <v>28</v>
      </c>
      <c r="I3425" s="6">
        <f>TabJogos[[#This Row],[PontosTime1]]-TabJogos[[#This Row],[PontosTime2]]</f>
        <v>2</v>
      </c>
    </row>
    <row r="3426" spans="1:9" ht="15" customHeight="1" x14ac:dyDescent="0.25">
      <c r="A3426" s="7">
        <v>3425</v>
      </c>
      <c r="B3426" s="1">
        <v>43591</v>
      </c>
      <c r="C3426" s="6" t="s">
        <v>32</v>
      </c>
      <c r="D3426" s="6" t="s">
        <v>13</v>
      </c>
      <c r="E3426" s="6">
        <v>3</v>
      </c>
      <c r="F3426" s="6">
        <v>0</v>
      </c>
      <c r="G3426" s="6" t="s">
        <v>41</v>
      </c>
      <c r="H3426" s="6" t="s">
        <v>57</v>
      </c>
      <c r="I3426" s="6">
        <f>TabJogos[[#This Row],[PontosTime1]]-TabJogos[[#This Row],[PontosTime2]]</f>
        <v>3</v>
      </c>
    </row>
    <row r="3427" spans="1:9" ht="15" customHeight="1" x14ac:dyDescent="0.25">
      <c r="A3427" s="7">
        <v>3426</v>
      </c>
      <c r="B3427" s="1">
        <v>43591</v>
      </c>
      <c r="C3427" s="6" t="s">
        <v>32</v>
      </c>
      <c r="D3427" s="6" t="s">
        <v>28</v>
      </c>
      <c r="E3427" s="6">
        <v>3</v>
      </c>
      <c r="F3427" s="6">
        <v>2</v>
      </c>
      <c r="G3427" s="6" t="s">
        <v>11</v>
      </c>
      <c r="H3427" s="6" t="s">
        <v>13</v>
      </c>
      <c r="I3427" s="6">
        <f>TabJogos[[#This Row],[PontosTime1]]-TabJogos[[#This Row],[PontosTime2]]</f>
        <v>1</v>
      </c>
    </row>
    <row r="3428" spans="1:9" ht="15" customHeight="1" x14ac:dyDescent="0.25">
      <c r="A3428" s="7">
        <v>3427</v>
      </c>
      <c r="B3428" s="1">
        <v>43591</v>
      </c>
      <c r="C3428" s="6" t="s">
        <v>32</v>
      </c>
      <c r="D3428" s="6" t="s">
        <v>60</v>
      </c>
      <c r="E3428" s="6">
        <v>3</v>
      </c>
      <c r="F3428" s="6">
        <v>1</v>
      </c>
      <c r="G3428" s="6" t="s">
        <v>28</v>
      </c>
      <c r="H3428" s="6" t="s">
        <v>41</v>
      </c>
      <c r="I3428" s="6">
        <f>TabJogos[[#This Row],[PontosTime1]]-TabJogos[[#This Row],[PontosTime2]]</f>
        <v>2</v>
      </c>
    </row>
    <row r="3429" spans="1:9" ht="15" customHeight="1" x14ac:dyDescent="0.25">
      <c r="A3429" s="7">
        <v>3428</v>
      </c>
      <c r="B3429" s="1">
        <v>43591</v>
      </c>
      <c r="C3429" s="6" t="s">
        <v>11</v>
      </c>
      <c r="D3429" s="6" t="s">
        <v>60</v>
      </c>
      <c r="E3429" s="6">
        <v>3</v>
      </c>
      <c r="F3429" s="6">
        <v>2</v>
      </c>
      <c r="G3429" s="6" t="s">
        <v>13</v>
      </c>
      <c r="H3429" s="6" t="s">
        <v>57</v>
      </c>
      <c r="I3429" s="6">
        <f>TabJogos[[#This Row],[PontosTime1]]-TabJogos[[#This Row],[PontosTime2]]</f>
        <v>1</v>
      </c>
    </row>
    <row r="3430" spans="1:9" ht="15" customHeight="1" x14ac:dyDescent="0.25">
      <c r="A3430" s="7">
        <v>3429</v>
      </c>
      <c r="B3430" s="1">
        <v>43591</v>
      </c>
      <c r="C3430" s="6" t="s">
        <v>60</v>
      </c>
      <c r="D3430" s="6" t="s">
        <v>28</v>
      </c>
      <c r="E3430" s="6">
        <v>4</v>
      </c>
      <c r="F3430" s="6">
        <v>0</v>
      </c>
      <c r="G3430" s="6" t="s">
        <v>27</v>
      </c>
      <c r="H3430" s="6" t="s">
        <v>11</v>
      </c>
      <c r="I3430" s="6">
        <f>TabJogos[[#This Row],[PontosTime1]]-TabJogos[[#This Row],[PontosTime2]]</f>
        <v>4</v>
      </c>
    </row>
    <row r="3431" spans="1:9" ht="15" customHeight="1" x14ac:dyDescent="0.25">
      <c r="A3431" s="7">
        <v>3430</v>
      </c>
      <c r="B3431" s="1">
        <v>43591</v>
      </c>
      <c r="C3431" s="6" t="s">
        <v>60</v>
      </c>
      <c r="D3431" s="6" t="s">
        <v>27</v>
      </c>
      <c r="E3431" s="6">
        <v>3</v>
      </c>
      <c r="F3431" s="6">
        <v>2</v>
      </c>
      <c r="G3431" s="6" t="s">
        <v>28</v>
      </c>
      <c r="H3431" s="6" t="s">
        <v>13</v>
      </c>
      <c r="I3431" s="6">
        <f>TabJogos[[#This Row],[PontosTime1]]-TabJogos[[#This Row],[PontosTime2]]</f>
        <v>1</v>
      </c>
    </row>
    <row r="3432" spans="1:9" ht="15" customHeight="1" x14ac:dyDescent="0.25">
      <c r="A3432" s="7">
        <v>3431</v>
      </c>
      <c r="B3432" s="1">
        <v>43591</v>
      </c>
      <c r="C3432" s="6" t="s">
        <v>11</v>
      </c>
      <c r="D3432" s="6" t="s">
        <v>60</v>
      </c>
      <c r="E3432" s="6">
        <v>3</v>
      </c>
      <c r="F3432" s="6">
        <v>0</v>
      </c>
      <c r="G3432" s="6" t="s">
        <v>13</v>
      </c>
      <c r="H3432" s="6" t="s">
        <v>27</v>
      </c>
      <c r="I3432" s="6">
        <f>TabJogos[[#This Row],[PontosTime1]]-TabJogos[[#This Row],[PontosTime2]]</f>
        <v>3</v>
      </c>
    </row>
    <row r="3433" spans="1:9" ht="15" customHeight="1" x14ac:dyDescent="0.25">
      <c r="A3433" s="7">
        <v>3432</v>
      </c>
      <c r="B3433" s="1">
        <v>43591</v>
      </c>
      <c r="C3433" s="6" t="s">
        <v>11</v>
      </c>
      <c r="D3433" s="6" t="s">
        <v>27</v>
      </c>
      <c r="E3433" s="6">
        <v>4</v>
      </c>
      <c r="F3433" s="6">
        <v>2</v>
      </c>
      <c r="G3433" s="6" t="s">
        <v>60</v>
      </c>
      <c r="H3433" s="6" t="s">
        <v>28</v>
      </c>
      <c r="I3433" s="6">
        <f>TabJogos[[#This Row],[PontosTime1]]-TabJogos[[#This Row],[PontosTime2]]</f>
        <v>2</v>
      </c>
    </row>
    <row r="3434" spans="1:9" ht="15" customHeight="1" x14ac:dyDescent="0.25">
      <c r="A3434" s="7">
        <v>3433</v>
      </c>
      <c r="B3434" s="1">
        <v>43591</v>
      </c>
      <c r="C3434" s="6" t="s">
        <v>11</v>
      </c>
      <c r="D3434" s="6" t="s">
        <v>13</v>
      </c>
      <c r="E3434" s="6">
        <v>3</v>
      </c>
      <c r="F3434" s="6">
        <v>2</v>
      </c>
      <c r="G3434" s="6" t="s">
        <v>27</v>
      </c>
      <c r="H3434" s="6" t="s">
        <v>28</v>
      </c>
      <c r="I3434" s="6">
        <f>TabJogos[[#This Row],[PontosTime1]]-TabJogos[[#This Row],[PontosTime2]]</f>
        <v>1</v>
      </c>
    </row>
    <row r="3435" spans="1:9" ht="15" customHeight="1" x14ac:dyDescent="0.25">
      <c r="A3435" s="7">
        <v>3434</v>
      </c>
      <c r="B3435" s="1">
        <v>43591</v>
      </c>
      <c r="C3435" s="6" t="s">
        <v>13</v>
      </c>
      <c r="D3435" s="6" t="s">
        <v>60</v>
      </c>
      <c r="E3435" s="6">
        <v>3</v>
      </c>
      <c r="F3435" s="6">
        <v>0</v>
      </c>
      <c r="G3435" s="6" t="s">
        <v>28</v>
      </c>
      <c r="H3435" s="6" t="s">
        <v>11</v>
      </c>
      <c r="I3435" s="6">
        <f>TabJogos[[#This Row],[PontosTime1]]-TabJogos[[#This Row],[PontosTime2]]</f>
        <v>3</v>
      </c>
    </row>
    <row r="3436" spans="1:9" ht="15" customHeight="1" x14ac:dyDescent="0.25">
      <c r="A3436" s="7">
        <v>3435</v>
      </c>
      <c r="B3436" s="1">
        <v>43591</v>
      </c>
      <c r="C3436" s="6" t="s">
        <v>11</v>
      </c>
      <c r="D3436" s="6" t="s">
        <v>60</v>
      </c>
      <c r="E3436" s="6">
        <v>4</v>
      </c>
      <c r="F3436" s="6">
        <v>1</v>
      </c>
      <c r="G3436" s="6" t="s">
        <v>28</v>
      </c>
      <c r="H3436" s="6" t="s">
        <v>13</v>
      </c>
      <c r="I3436" s="6">
        <f>TabJogos[[#This Row],[PontosTime1]]-TabJogos[[#This Row],[PontosTime2]]</f>
        <v>3</v>
      </c>
    </row>
    <row r="3437" spans="1:9" ht="15" customHeight="1" x14ac:dyDescent="0.25">
      <c r="A3437" s="7">
        <v>3436</v>
      </c>
      <c r="B3437" s="1">
        <v>43591</v>
      </c>
      <c r="C3437" s="6" t="s">
        <v>13</v>
      </c>
      <c r="D3437" s="6" t="s">
        <v>11</v>
      </c>
      <c r="E3437" s="6">
        <v>0</v>
      </c>
      <c r="F3437" s="6">
        <v>3</v>
      </c>
      <c r="G3437" s="6" t="s">
        <v>60</v>
      </c>
      <c r="H3437" s="6" t="s">
        <v>28</v>
      </c>
      <c r="I3437" s="6">
        <f>TabJogos[[#This Row],[PontosTime1]]-TabJogos[[#This Row],[PontosTime2]]</f>
        <v>-3</v>
      </c>
    </row>
    <row r="3438" spans="1:9" ht="15" customHeight="1" x14ac:dyDescent="0.25">
      <c r="A3438" s="7">
        <v>3437</v>
      </c>
      <c r="B3438" s="1">
        <v>43592</v>
      </c>
      <c r="C3438" s="6" t="s">
        <v>13</v>
      </c>
      <c r="D3438" s="6" t="s">
        <v>60</v>
      </c>
      <c r="E3438" s="6">
        <v>0</v>
      </c>
      <c r="F3438" s="6">
        <v>3</v>
      </c>
      <c r="G3438" s="6" t="s">
        <v>28</v>
      </c>
      <c r="H3438" s="6" t="s">
        <v>57</v>
      </c>
      <c r="I3438" s="6">
        <f>TabJogos[[#This Row],[PontosTime1]]-TabJogos[[#This Row],[PontosTime2]]</f>
        <v>-3</v>
      </c>
    </row>
    <row r="3439" spans="1:9" ht="15" customHeight="1" x14ac:dyDescent="0.25">
      <c r="A3439" s="7">
        <v>3438</v>
      </c>
      <c r="B3439" s="1">
        <v>43592</v>
      </c>
      <c r="C3439" s="6" t="s">
        <v>13</v>
      </c>
      <c r="D3439" s="6" t="s">
        <v>28</v>
      </c>
      <c r="E3439" s="6">
        <v>0</v>
      </c>
      <c r="F3439" s="6">
        <v>3</v>
      </c>
      <c r="G3439" s="6" t="s">
        <v>60</v>
      </c>
      <c r="H3439" s="6" t="s">
        <v>57</v>
      </c>
      <c r="I3439" s="6">
        <f>TabJogos[[#This Row],[PontosTime1]]-TabJogos[[#This Row],[PontosTime2]]</f>
        <v>-3</v>
      </c>
    </row>
    <row r="3440" spans="1:9" ht="15" customHeight="1" x14ac:dyDescent="0.25">
      <c r="A3440" s="7">
        <v>3439</v>
      </c>
      <c r="B3440" s="1">
        <v>43592</v>
      </c>
      <c r="C3440" s="6" t="s">
        <v>32</v>
      </c>
      <c r="D3440" s="6" t="s">
        <v>60</v>
      </c>
      <c r="E3440" s="6">
        <v>2</v>
      </c>
      <c r="F3440" s="6">
        <v>3</v>
      </c>
      <c r="G3440" s="6" t="s">
        <v>28</v>
      </c>
      <c r="H3440" s="6" t="s">
        <v>57</v>
      </c>
      <c r="I3440" s="6">
        <f>TabJogos[[#This Row],[PontosTime1]]-TabJogos[[#This Row],[PontosTime2]]</f>
        <v>-1</v>
      </c>
    </row>
    <row r="3441" spans="1:9" ht="15" customHeight="1" x14ac:dyDescent="0.25">
      <c r="A3441" s="7">
        <v>3440</v>
      </c>
      <c r="B3441" s="1">
        <v>43592</v>
      </c>
      <c r="C3441" s="6" t="s">
        <v>32</v>
      </c>
      <c r="D3441" s="6" t="s">
        <v>28</v>
      </c>
      <c r="E3441" s="6">
        <v>4</v>
      </c>
      <c r="F3441" s="6">
        <v>0</v>
      </c>
      <c r="G3441" s="6" t="s">
        <v>13</v>
      </c>
      <c r="H3441" s="6" t="s">
        <v>57</v>
      </c>
      <c r="I3441" s="6">
        <f>TabJogos[[#This Row],[PontosTime1]]-TabJogos[[#This Row],[PontosTime2]]</f>
        <v>4</v>
      </c>
    </row>
    <row r="3442" spans="1:9" ht="15" customHeight="1" x14ac:dyDescent="0.25">
      <c r="A3442" s="7">
        <v>3441</v>
      </c>
      <c r="B3442" s="1">
        <v>43592</v>
      </c>
      <c r="C3442" s="6" t="s">
        <v>28</v>
      </c>
      <c r="D3442" s="6" t="s">
        <v>41</v>
      </c>
      <c r="E3442" s="6">
        <v>1</v>
      </c>
      <c r="F3442" s="6">
        <v>6</v>
      </c>
      <c r="G3442" s="6" t="s">
        <v>32</v>
      </c>
      <c r="H3442" s="6" t="s">
        <v>57</v>
      </c>
      <c r="I3442" s="6">
        <f>TabJogos[[#This Row],[PontosTime1]]-TabJogos[[#This Row],[PontosTime2]]</f>
        <v>-5</v>
      </c>
    </row>
    <row r="3443" spans="1:9" ht="15" customHeight="1" x14ac:dyDescent="0.25">
      <c r="A3443" s="7">
        <v>3442</v>
      </c>
      <c r="B3443" s="1">
        <v>43592</v>
      </c>
      <c r="C3443" s="6" t="s">
        <v>57</v>
      </c>
      <c r="D3443" s="6" t="s">
        <v>11</v>
      </c>
      <c r="E3443" s="6">
        <v>0</v>
      </c>
      <c r="F3443" s="6">
        <v>3</v>
      </c>
      <c r="G3443" s="6" t="s">
        <v>32</v>
      </c>
      <c r="H3443" s="6" t="s">
        <v>60</v>
      </c>
      <c r="I3443" s="6">
        <f>TabJogos[[#This Row],[PontosTime1]]-TabJogos[[#This Row],[PontosTime2]]</f>
        <v>-3</v>
      </c>
    </row>
    <row r="3444" spans="1:9" ht="15" customHeight="1" x14ac:dyDescent="0.25">
      <c r="A3444" s="7">
        <v>3443</v>
      </c>
      <c r="B3444" s="1">
        <v>43592</v>
      </c>
      <c r="C3444" s="6" t="s">
        <v>13</v>
      </c>
      <c r="D3444" s="6" t="s">
        <v>32</v>
      </c>
      <c r="E3444" s="6">
        <v>3</v>
      </c>
      <c r="F3444" s="6">
        <v>2</v>
      </c>
      <c r="G3444" s="6" t="s">
        <v>28</v>
      </c>
      <c r="H3444" s="6" t="s">
        <v>60</v>
      </c>
      <c r="I3444" s="6">
        <f>TabJogos[[#This Row],[PontosTime1]]-TabJogos[[#This Row],[PontosTime2]]</f>
        <v>1</v>
      </c>
    </row>
    <row r="3445" spans="1:9" ht="15" customHeight="1" x14ac:dyDescent="0.25">
      <c r="A3445" s="7">
        <v>3444</v>
      </c>
      <c r="B3445" s="1">
        <v>43592</v>
      </c>
      <c r="C3445" s="6" t="s">
        <v>41</v>
      </c>
      <c r="D3445" s="6" t="s">
        <v>9</v>
      </c>
      <c r="E3445" s="6">
        <v>1</v>
      </c>
      <c r="F3445" s="6">
        <v>3</v>
      </c>
      <c r="G3445" s="6" t="s">
        <v>13</v>
      </c>
      <c r="H3445" s="6" t="s">
        <v>11</v>
      </c>
      <c r="I3445" s="6">
        <f>TabJogos[[#This Row],[PontosTime1]]-TabJogos[[#This Row],[PontosTime2]]</f>
        <v>-2</v>
      </c>
    </row>
    <row r="3446" spans="1:9" ht="15" customHeight="1" x14ac:dyDescent="0.25">
      <c r="A3446" s="7">
        <v>3445</v>
      </c>
      <c r="B3446" s="1">
        <v>43592</v>
      </c>
      <c r="C3446" s="6" t="s">
        <v>11</v>
      </c>
      <c r="D3446" s="6" t="s">
        <v>60</v>
      </c>
      <c r="E3446" s="6">
        <v>3</v>
      </c>
      <c r="F3446" s="6">
        <v>0</v>
      </c>
      <c r="G3446" s="6" t="s">
        <v>13</v>
      </c>
      <c r="H3446" s="6" t="s">
        <v>57</v>
      </c>
      <c r="I3446" s="6">
        <f>TabJogos[[#This Row],[PontosTime1]]-TabJogos[[#This Row],[PontosTime2]]</f>
        <v>3</v>
      </c>
    </row>
    <row r="3447" spans="1:9" ht="15" customHeight="1" x14ac:dyDescent="0.25">
      <c r="A3447" s="7">
        <v>3446</v>
      </c>
      <c r="B3447" s="1">
        <v>43592</v>
      </c>
      <c r="C3447" s="6" t="s">
        <v>11</v>
      </c>
      <c r="D3447" s="6" t="s">
        <v>28</v>
      </c>
      <c r="E3447" s="6">
        <v>0</v>
      </c>
      <c r="F3447" s="6">
        <v>3</v>
      </c>
      <c r="G3447" s="6" t="s">
        <v>57</v>
      </c>
      <c r="H3447" s="6" t="s">
        <v>60</v>
      </c>
      <c r="I3447" s="6">
        <f>TabJogos[[#This Row],[PontosTime1]]-TabJogos[[#This Row],[PontosTime2]]</f>
        <v>-3</v>
      </c>
    </row>
    <row r="3448" spans="1:9" ht="15" customHeight="1" x14ac:dyDescent="0.25">
      <c r="A3448" s="7">
        <v>3447</v>
      </c>
      <c r="B3448" s="1">
        <v>43592</v>
      </c>
      <c r="C3448" s="6" t="s">
        <v>60</v>
      </c>
      <c r="D3448" s="6" t="s">
        <v>13</v>
      </c>
      <c r="E3448" s="6">
        <v>3</v>
      </c>
      <c r="F3448" s="6">
        <v>2</v>
      </c>
      <c r="G3448" s="6" t="s">
        <v>11</v>
      </c>
      <c r="H3448" s="6" t="s">
        <v>57</v>
      </c>
      <c r="I3448" s="6">
        <f>TabJogos[[#This Row],[PontosTime1]]-TabJogos[[#This Row],[PontosTime2]]</f>
        <v>1</v>
      </c>
    </row>
    <row r="3449" spans="1:9" ht="15" customHeight="1" x14ac:dyDescent="0.25">
      <c r="A3449" s="7">
        <v>3448</v>
      </c>
      <c r="B3449" s="1">
        <v>43593</v>
      </c>
      <c r="C3449" s="6" t="s">
        <v>11</v>
      </c>
      <c r="D3449" s="6" t="s">
        <v>13</v>
      </c>
      <c r="E3449" s="6">
        <v>3</v>
      </c>
      <c r="F3449" s="6">
        <v>2</v>
      </c>
      <c r="G3449" s="6" t="s">
        <v>10</v>
      </c>
      <c r="H3449" s="6" t="s">
        <v>57</v>
      </c>
      <c r="I3449" s="6">
        <f>TabJogos[[#This Row],[PontosTime1]]-TabJogos[[#This Row],[PontosTime2]]</f>
        <v>1</v>
      </c>
    </row>
    <row r="3450" spans="1:9" ht="15" customHeight="1" x14ac:dyDescent="0.25">
      <c r="A3450" s="7">
        <v>3449</v>
      </c>
      <c r="B3450" s="1">
        <v>43593</v>
      </c>
      <c r="C3450" s="6" t="s">
        <v>11</v>
      </c>
      <c r="D3450" s="6" t="s">
        <v>12</v>
      </c>
      <c r="E3450" s="6">
        <v>1</v>
      </c>
      <c r="F3450" s="6">
        <v>3</v>
      </c>
      <c r="G3450" s="6" t="s">
        <v>10</v>
      </c>
      <c r="H3450" s="6" t="s">
        <v>13</v>
      </c>
      <c r="I3450" s="6">
        <f>TabJogos[[#This Row],[PontosTime1]]-TabJogos[[#This Row],[PontosTime2]]</f>
        <v>-2</v>
      </c>
    </row>
    <row r="3451" spans="1:9" ht="15" customHeight="1" x14ac:dyDescent="0.25">
      <c r="A3451" s="7">
        <v>3450</v>
      </c>
      <c r="B3451" s="1">
        <v>43593</v>
      </c>
      <c r="C3451" s="6" t="s">
        <v>10</v>
      </c>
      <c r="D3451" s="6" t="s">
        <v>28</v>
      </c>
      <c r="E3451" s="6">
        <v>4</v>
      </c>
      <c r="F3451" s="6">
        <v>0</v>
      </c>
      <c r="G3451" s="6" t="s">
        <v>13</v>
      </c>
      <c r="H3451" s="6" t="s">
        <v>57</v>
      </c>
      <c r="I3451" s="6">
        <f>TabJogos[[#This Row],[PontosTime1]]-TabJogos[[#This Row],[PontosTime2]]</f>
        <v>4</v>
      </c>
    </row>
    <row r="3452" spans="1:9" ht="15" customHeight="1" x14ac:dyDescent="0.25">
      <c r="A3452" s="7">
        <v>3451</v>
      </c>
      <c r="B3452" s="1">
        <v>43593</v>
      </c>
      <c r="C3452" s="6" t="s">
        <v>10</v>
      </c>
      <c r="D3452" s="6" t="s">
        <v>60</v>
      </c>
      <c r="E3452" s="6">
        <v>1</v>
      </c>
      <c r="F3452" s="6">
        <v>4</v>
      </c>
      <c r="G3452" s="6" t="s">
        <v>28</v>
      </c>
      <c r="H3452" s="6" t="s">
        <v>11</v>
      </c>
      <c r="I3452" s="6">
        <f>TabJogos[[#This Row],[PontosTime1]]-TabJogos[[#This Row],[PontosTime2]]</f>
        <v>-3</v>
      </c>
    </row>
    <row r="3453" spans="1:9" ht="15" customHeight="1" x14ac:dyDescent="0.25">
      <c r="A3453" s="7">
        <v>3452</v>
      </c>
      <c r="B3453" s="1">
        <v>43593</v>
      </c>
      <c r="C3453" s="6" t="s">
        <v>28</v>
      </c>
      <c r="D3453" s="6" t="s">
        <v>12</v>
      </c>
      <c r="E3453" s="6">
        <v>2</v>
      </c>
      <c r="F3453" s="6">
        <v>3</v>
      </c>
      <c r="G3453" s="6" t="s">
        <v>11</v>
      </c>
      <c r="H3453" s="6" t="s">
        <v>13</v>
      </c>
      <c r="I3453" s="6">
        <f>TabJogos[[#This Row],[PontosTime1]]-TabJogos[[#This Row],[PontosTime2]]</f>
        <v>-1</v>
      </c>
    </row>
    <row r="3454" spans="1:9" ht="15" customHeight="1" x14ac:dyDescent="0.25">
      <c r="A3454" s="7">
        <v>3453</v>
      </c>
      <c r="B3454" s="1">
        <v>43593</v>
      </c>
      <c r="C3454" s="6" t="s">
        <v>11</v>
      </c>
      <c r="D3454" s="6" t="s">
        <v>57</v>
      </c>
      <c r="E3454" s="6">
        <v>1</v>
      </c>
      <c r="F3454" s="6">
        <v>3</v>
      </c>
      <c r="G3454" s="6" t="s">
        <v>13</v>
      </c>
      <c r="H3454" s="6" t="s">
        <v>16</v>
      </c>
      <c r="I3454" s="6">
        <f>TabJogos[[#This Row],[PontosTime1]]-TabJogos[[#This Row],[PontosTime2]]</f>
        <v>-2</v>
      </c>
    </row>
    <row r="3455" spans="1:9" ht="15" customHeight="1" x14ac:dyDescent="0.25">
      <c r="A3455" s="7">
        <v>3454</v>
      </c>
      <c r="B3455" s="1">
        <v>43593</v>
      </c>
      <c r="C3455" s="6" t="s">
        <v>13</v>
      </c>
      <c r="D3455" s="6" t="s">
        <v>28</v>
      </c>
      <c r="E3455" s="6">
        <v>3</v>
      </c>
      <c r="F3455" s="6">
        <v>0</v>
      </c>
      <c r="G3455" s="6" t="s">
        <v>16</v>
      </c>
      <c r="H3455" s="6" t="s">
        <v>60</v>
      </c>
      <c r="I3455" s="6">
        <f>TabJogos[[#This Row],[PontosTime1]]-TabJogos[[#This Row],[PontosTime2]]</f>
        <v>3</v>
      </c>
    </row>
    <row r="3456" spans="1:9" ht="15" customHeight="1" x14ac:dyDescent="0.25">
      <c r="A3456" s="7">
        <v>3455</v>
      </c>
      <c r="B3456" s="1">
        <v>43593</v>
      </c>
      <c r="C3456" s="6" t="s">
        <v>13</v>
      </c>
      <c r="D3456" s="6" t="s">
        <v>11</v>
      </c>
      <c r="E3456" s="6">
        <v>0</v>
      </c>
      <c r="F3456" s="6">
        <v>3</v>
      </c>
      <c r="G3456" s="6" t="s">
        <v>9</v>
      </c>
      <c r="H3456" s="6" t="s">
        <v>57</v>
      </c>
      <c r="I3456" s="6">
        <f>TabJogos[[#This Row],[PontosTime1]]-TabJogos[[#This Row],[PontosTime2]]</f>
        <v>-3</v>
      </c>
    </row>
    <row r="3457" spans="1:9" ht="15" customHeight="1" x14ac:dyDescent="0.25">
      <c r="A3457" s="7">
        <v>3456</v>
      </c>
      <c r="B3457" s="1">
        <v>43593</v>
      </c>
      <c r="C3457" s="6" t="s">
        <v>11</v>
      </c>
      <c r="D3457" s="6" t="s">
        <v>60</v>
      </c>
      <c r="E3457" s="6">
        <v>0</v>
      </c>
      <c r="F3457" s="6">
        <v>3</v>
      </c>
      <c r="G3457" s="6" t="s">
        <v>57</v>
      </c>
      <c r="H3457" s="6" t="s">
        <v>13</v>
      </c>
      <c r="I3457" s="6">
        <f>TabJogos[[#This Row],[PontosTime1]]-TabJogos[[#This Row],[PontosTime2]]</f>
        <v>-3</v>
      </c>
    </row>
    <row r="3458" spans="1:9" ht="15" customHeight="1" x14ac:dyDescent="0.25">
      <c r="A3458" s="7">
        <v>3457</v>
      </c>
      <c r="B3458" s="1">
        <v>43593</v>
      </c>
      <c r="C3458" s="6" t="s">
        <v>11</v>
      </c>
      <c r="D3458" s="6" t="s">
        <v>9</v>
      </c>
      <c r="E3458" s="6">
        <v>3</v>
      </c>
      <c r="F3458" s="6">
        <v>0</v>
      </c>
      <c r="G3458" s="6" t="s">
        <v>57</v>
      </c>
      <c r="H3458" s="6" t="s">
        <v>60</v>
      </c>
      <c r="I3458" s="6">
        <f>TabJogos[[#This Row],[PontosTime1]]-TabJogos[[#This Row],[PontosTime2]]</f>
        <v>3</v>
      </c>
    </row>
    <row r="3459" spans="1:9" ht="15" customHeight="1" x14ac:dyDescent="0.25">
      <c r="A3459" s="7">
        <v>3458</v>
      </c>
      <c r="B3459" s="1">
        <v>43593</v>
      </c>
      <c r="C3459" s="6" t="s">
        <v>11</v>
      </c>
      <c r="D3459" s="6" t="s">
        <v>32</v>
      </c>
      <c r="E3459" s="6">
        <v>3</v>
      </c>
      <c r="F3459" s="6">
        <v>2</v>
      </c>
      <c r="G3459" s="6" t="s">
        <v>13</v>
      </c>
      <c r="H3459" s="6" t="s">
        <v>9</v>
      </c>
      <c r="I3459" s="6">
        <f>TabJogos[[#This Row],[PontosTime1]]-TabJogos[[#This Row],[PontosTime2]]</f>
        <v>1</v>
      </c>
    </row>
    <row r="3460" spans="1:9" ht="15" customHeight="1" x14ac:dyDescent="0.25">
      <c r="A3460" s="7">
        <v>3459</v>
      </c>
      <c r="B3460" s="1">
        <v>43593</v>
      </c>
      <c r="C3460" s="6" t="s">
        <v>11</v>
      </c>
      <c r="D3460" s="6" t="s">
        <v>13</v>
      </c>
      <c r="E3460" s="6">
        <v>4</v>
      </c>
      <c r="F3460" s="6">
        <v>2</v>
      </c>
      <c r="G3460" s="6" t="s">
        <v>57</v>
      </c>
      <c r="H3460" s="6" t="s">
        <v>60</v>
      </c>
      <c r="I3460" s="6">
        <f>TabJogos[[#This Row],[PontosTime1]]-TabJogos[[#This Row],[PontosTime2]]</f>
        <v>2</v>
      </c>
    </row>
    <row r="3461" spans="1:9" ht="15" customHeight="1" x14ac:dyDescent="0.25">
      <c r="A3461" s="7">
        <v>3460</v>
      </c>
      <c r="B3461" s="1">
        <v>43593</v>
      </c>
      <c r="C3461" s="6" t="s">
        <v>57</v>
      </c>
      <c r="D3461" s="6" t="s">
        <v>11</v>
      </c>
      <c r="E3461" s="6">
        <v>0</v>
      </c>
      <c r="F3461" s="6">
        <v>3</v>
      </c>
      <c r="G3461" s="6" t="s">
        <v>60</v>
      </c>
      <c r="H3461" s="6" t="s">
        <v>9</v>
      </c>
      <c r="I3461" s="6">
        <f>TabJogos[[#This Row],[PontosTime1]]-TabJogos[[#This Row],[PontosTime2]]</f>
        <v>-3</v>
      </c>
    </row>
    <row r="3462" spans="1:9" ht="15" customHeight="1" x14ac:dyDescent="0.25">
      <c r="A3462" s="7">
        <v>3461</v>
      </c>
      <c r="B3462" s="1">
        <v>43593</v>
      </c>
      <c r="C3462" s="6" t="s">
        <v>11</v>
      </c>
      <c r="D3462" s="6" t="s">
        <v>13</v>
      </c>
      <c r="E3462" s="6">
        <v>3</v>
      </c>
      <c r="F3462" s="6">
        <v>1</v>
      </c>
      <c r="G3462" s="6" t="s">
        <v>9</v>
      </c>
      <c r="H3462" s="6" t="s">
        <v>57</v>
      </c>
      <c r="I3462" s="6">
        <f>TabJogos[[#This Row],[PontosTime1]]-TabJogos[[#This Row],[PontosTime2]]</f>
        <v>2</v>
      </c>
    </row>
    <row r="3463" spans="1:9" ht="15" customHeight="1" x14ac:dyDescent="0.25">
      <c r="A3463" s="7">
        <v>3462</v>
      </c>
      <c r="B3463" s="1">
        <v>43593</v>
      </c>
      <c r="C3463" s="6" t="s">
        <v>13</v>
      </c>
      <c r="D3463" s="6" t="s">
        <v>9</v>
      </c>
      <c r="E3463" s="6">
        <v>4</v>
      </c>
      <c r="F3463" s="6">
        <v>0</v>
      </c>
      <c r="G3463" s="6" t="s">
        <v>11</v>
      </c>
      <c r="H3463" s="6" t="s">
        <v>60</v>
      </c>
      <c r="I3463" s="6">
        <f>TabJogos[[#This Row],[PontosTime1]]-TabJogos[[#This Row],[PontosTime2]]</f>
        <v>4</v>
      </c>
    </row>
    <row r="3464" spans="1:9" ht="15" customHeight="1" x14ac:dyDescent="0.25">
      <c r="A3464" s="7">
        <v>3463</v>
      </c>
      <c r="B3464" s="1">
        <v>43593</v>
      </c>
      <c r="C3464" s="6" t="s">
        <v>9</v>
      </c>
      <c r="D3464" s="6" t="s">
        <v>60</v>
      </c>
      <c r="E3464" s="6">
        <v>1</v>
      </c>
      <c r="F3464" s="6">
        <v>5</v>
      </c>
      <c r="G3464" s="6" t="s">
        <v>57</v>
      </c>
      <c r="H3464" s="6" t="s">
        <v>13</v>
      </c>
      <c r="I3464" s="6">
        <f>TabJogos[[#This Row],[PontosTime1]]-TabJogos[[#This Row],[PontosTime2]]</f>
        <v>-4</v>
      </c>
    </row>
    <row r="3465" spans="1:9" ht="15" customHeight="1" x14ac:dyDescent="0.25">
      <c r="A3465" s="7">
        <v>3464</v>
      </c>
      <c r="B3465" s="1">
        <v>43593</v>
      </c>
      <c r="C3465" s="6" t="s">
        <v>11</v>
      </c>
      <c r="D3465" s="6" t="s">
        <v>13</v>
      </c>
      <c r="E3465" s="6">
        <v>4</v>
      </c>
      <c r="F3465" s="6">
        <v>0</v>
      </c>
      <c r="G3465" s="6" t="s">
        <v>57</v>
      </c>
      <c r="H3465" s="6" t="s">
        <v>60</v>
      </c>
      <c r="I3465" s="6">
        <f>TabJogos[[#This Row],[PontosTime1]]-TabJogos[[#This Row],[PontosTime2]]</f>
        <v>4</v>
      </c>
    </row>
    <row r="3466" spans="1:9" ht="15" customHeight="1" x14ac:dyDescent="0.25">
      <c r="A3466" s="7">
        <v>3465</v>
      </c>
      <c r="B3466" s="1">
        <v>43593</v>
      </c>
      <c r="C3466" s="6" t="s">
        <v>11</v>
      </c>
      <c r="D3466" s="6" t="s">
        <v>57</v>
      </c>
      <c r="E3466" s="6">
        <v>3</v>
      </c>
      <c r="F3466" s="6">
        <v>1</v>
      </c>
      <c r="G3466" s="6" t="s">
        <v>13</v>
      </c>
      <c r="H3466" s="6" t="s">
        <v>60</v>
      </c>
      <c r="I3466" s="6">
        <f>TabJogos[[#This Row],[PontosTime1]]-TabJogos[[#This Row],[PontosTime2]]</f>
        <v>2</v>
      </c>
    </row>
    <row r="3467" spans="1:9" ht="15" customHeight="1" x14ac:dyDescent="0.25">
      <c r="A3467" s="7">
        <v>3466</v>
      </c>
      <c r="B3467" s="1">
        <v>43594</v>
      </c>
      <c r="C3467" s="6" t="s">
        <v>60</v>
      </c>
      <c r="D3467" s="6" t="s">
        <v>57</v>
      </c>
      <c r="E3467" s="6">
        <v>2</v>
      </c>
      <c r="F3467" s="6">
        <v>4</v>
      </c>
      <c r="G3467" s="6" t="s">
        <v>13</v>
      </c>
      <c r="H3467" s="6" t="s">
        <v>11</v>
      </c>
      <c r="I3467" s="6">
        <f>TabJogos[[#This Row],[PontosTime1]]-TabJogos[[#This Row],[PontosTime2]]</f>
        <v>-2</v>
      </c>
    </row>
    <row r="3468" spans="1:9" ht="15" customHeight="1" x14ac:dyDescent="0.25">
      <c r="A3468" s="7">
        <v>3467</v>
      </c>
      <c r="B3468" s="1">
        <v>43594</v>
      </c>
      <c r="C3468" s="6" t="s">
        <v>10</v>
      </c>
      <c r="D3468" s="6" t="s">
        <v>13</v>
      </c>
      <c r="E3468" s="6">
        <v>3</v>
      </c>
      <c r="F3468" s="6">
        <v>1</v>
      </c>
      <c r="G3468" s="6" t="s">
        <v>11</v>
      </c>
      <c r="H3468" s="6" t="s">
        <v>12</v>
      </c>
      <c r="I3468" s="6">
        <f>TabJogos[[#This Row],[PontosTime1]]-TabJogos[[#This Row],[PontosTime2]]</f>
        <v>2</v>
      </c>
    </row>
    <row r="3469" spans="1:9" ht="15" customHeight="1" x14ac:dyDescent="0.25">
      <c r="A3469" s="7">
        <v>3468</v>
      </c>
      <c r="B3469" s="1">
        <v>43594</v>
      </c>
      <c r="C3469" s="6" t="s">
        <v>10</v>
      </c>
      <c r="D3469" s="6" t="s">
        <v>11</v>
      </c>
      <c r="E3469" s="6">
        <v>1</v>
      </c>
      <c r="F3469" s="6">
        <v>3</v>
      </c>
      <c r="G3469" s="6" t="s">
        <v>12</v>
      </c>
      <c r="H3469" s="6" t="s">
        <v>13</v>
      </c>
      <c r="I3469" s="6">
        <f>TabJogos[[#This Row],[PontosTime1]]-TabJogos[[#This Row],[PontosTime2]]</f>
        <v>-2</v>
      </c>
    </row>
    <row r="3470" spans="1:9" ht="15" customHeight="1" x14ac:dyDescent="0.25">
      <c r="A3470" s="7">
        <v>3469</v>
      </c>
      <c r="B3470" s="1">
        <v>43594</v>
      </c>
      <c r="C3470" s="6" t="s">
        <v>57</v>
      </c>
      <c r="D3470" s="6" t="s">
        <v>13</v>
      </c>
      <c r="E3470" s="6">
        <v>3</v>
      </c>
      <c r="F3470" s="6">
        <v>2</v>
      </c>
      <c r="G3470" s="6" t="s">
        <v>12</v>
      </c>
      <c r="H3470" s="6" t="s">
        <v>28</v>
      </c>
      <c r="I3470" s="6">
        <f>TabJogos[[#This Row],[PontosTime1]]-TabJogos[[#This Row],[PontosTime2]]</f>
        <v>1</v>
      </c>
    </row>
    <row r="3471" spans="1:9" ht="15" customHeight="1" x14ac:dyDescent="0.25">
      <c r="A3471" s="7">
        <v>3470</v>
      </c>
      <c r="B3471" s="1">
        <v>43594</v>
      </c>
      <c r="C3471" s="6" t="s">
        <v>57</v>
      </c>
      <c r="D3471" s="6" t="s">
        <v>10</v>
      </c>
      <c r="E3471" s="6">
        <v>3</v>
      </c>
      <c r="F3471" s="6">
        <v>1</v>
      </c>
      <c r="G3471" s="6" t="s">
        <v>13</v>
      </c>
      <c r="H3471" s="6" t="s">
        <v>11</v>
      </c>
      <c r="I3471" s="6">
        <f>TabJogos[[#This Row],[PontosTime1]]-TabJogos[[#This Row],[PontosTime2]]</f>
        <v>2</v>
      </c>
    </row>
    <row r="3472" spans="1:9" ht="15" customHeight="1" x14ac:dyDescent="0.25">
      <c r="A3472" s="7">
        <v>3471</v>
      </c>
      <c r="B3472" s="1">
        <v>43594</v>
      </c>
      <c r="C3472" s="6" t="s">
        <v>57</v>
      </c>
      <c r="D3472" s="6" t="s">
        <v>28</v>
      </c>
      <c r="E3472" s="6">
        <v>0</v>
      </c>
      <c r="F3472" s="6">
        <v>4</v>
      </c>
      <c r="G3472" s="6" t="s">
        <v>60</v>
      </c>
      <c r="H3472" s="6" t="s">
        <v>10</v>
      </c>
      <c r="I3472" s="6">
        <f>TabJogos[[#This Row],[PontosTime1]]-TabJogos[[#This Row],[PontosTime2]]</f>
        <v>-4</v>
      </c>
    </row>
    <row r="3473" spans="1:9" ht="15" customHeight="1" x14ac:dyDescent="0.25">
      <c r="A3473" s="7">
        <v>3472</v>
      </c>
      <c r="B3473" s="1">
        <v>43594</v>
      </c>
      <c r="C3473" s="6" t="s">
        <v>10</v>
      </c>
      <c r="D3473" s="6" t="s">
        <v>12</v>
      </c>
      <c r="E3473" s="6">
        <v>3</v>
      </c>
      <c r="F3473" s="6">
        <v>1</v>
      </c>
      <c r="G3473" s="6" t="s">
        <v>13</v>
      </c>
      <c r="H3473" s="6" t="s">
        <v>60</v>
      </c>
      <c r="I3473" s="6">
        <f>TabJogos[[#This Row],[PontosTime1]]-TabJogos[[#This Row],[PontosTime2]]</f>
        <v>2</v>
      </c>
    </row>
    <row r="3474" spans="1:9" ht="15" customHeight="1" x14ac:dyDescent="0.25">
      <c r="A3474" s="7">
        <v>3473</v>
      </c>
      <c r="B3474" s="1">
        <v>43594</v>
      </c>
      <c r="C3474" s="6" t="s">
        <v>10</v>
      </c>
      <c r="D3474" s="6" t="s">
        <v>28</v>
      </c>
      <c r="E3474" s="6">
        <v>0</v>
      </c>
      <c r="F3474" s="6">
        <v>4</v>
      </c>
      <c r="G3474" s="6" t="s">
        <v>12</v>
      </c>
      <c r="H3474" s="6" t="s">
        <v>11</v>
      </c>
      <c r="I3474" s="6">
        <f>TabJogos[[#This Row],[PontosTime1]]-TabJogos[[#This Row],[PontosTime2]]</f>
        <v>-4</v>
      </c>
    </row>
    <row r="3475" spans="1:9" ht="15" customHeight="1" x14ac:dyDescent="0.25">
      <c r="A3475" s="7">
        <v>3474</v>
      </c>
      <c r="B3475" s="1">
        <v>43594</v>
      </c>
      <c r="C3475" s="6" t="s">
        <v>13</v>
      </c>
      <c r="D3475" s="6" t="s">
        <v>12</v>
      </c>
      <c r="E3475" s="6">
        <v>1</v>
      </c>
      <c r="F3475" s="6">
        <v>4</v>
      </c>
      <c r="G3475" s="6" t="s">
        <v>11</v>
      </c>
      <c r="H3475" s="6" t="s">
        <v>32</v>
      </c>
      <c r="I3475" s="6">
        <f>TabJogos[[#This Row],[PontosTime1]]-TabJogos[[#This Row],[PontosTime2]]</f>
        <v>-3</v>
      </c>
    </row>
    <row r="3476" spans="1:9" ht="15" customHeight="1" x14ac:dyDescent="0.25">
      <c r="A3476" s="7">
        <v>3475</v>
      </c>
      <c r="B3476" s="1">
        <v>43594</v>
      </c>
      <c r="C3476" s="6" t="s">
        <v>13</v>
      </c>
      <c r="D3476" s="6" t="s">
        <v>32</v>
      </c>
      <c r="E3476" s="6">
        <v>3</v>
      </c>
      <c r="F3476" s="6">
        <v>0</v>
      </c>
      <c r="G3476" s="6" t="s">
        <v>11</v>
      </c>
      <c r="H3476" s="6" t="s">
        <v>28</v>
      </c>
      <c r="I3476" s="6">
        <f>TabJogos[[#This Row],[PontosTime1]]-TabJogos[[#This Row],[PontosTime2]]</f>
        <v>3</v>
      </c>
    </row>
    <row r="3477" spans="1:9" ht="15" customHeight="1" x14ac:dyDescent="0.25">
      <c r="A3477" s="7">
        <v>3476</v>
      </c>
      <c r="B3477" s="1">
        <v>43594</v>
      </c>
      <c r="C3477" s="6" t="s">
        <v>32</v>
      </c>
      <c r="D3477" s="6" t="s">
        <v>9</v>
      </c>
      <c r="E3477" s="6">
        <v>3</v>
      </c>
      <c r="F3477" s="6">
        <v>0</v>
      </c>
      <c r="G3477" s="6" t="s">
        <v>13</v>
      </c>
      <c r="H3477" s="6" t="s">
        <v>60</v>
      </c>
      <c r="I3477" s="6">
        <f>TabJogos[[#This Row],[PontosTime1]]-TabJogos[[#This Row],[PontosTime2]]</f>
        <v>3</v>
      </c>
    </row>
    <row r="3478" spans="1:9" ht="15" customHeight="1" x14ac:dyDescent="0.25">
      <c r="A3478" s="7">
        <v>3477</v>
      </c>
      <c r="B3478" s="1">
        <v>43594</v>
      </c>
      <c r="C3478" s="6" t="s">
        <v>32</v>
      </c>
      <c r="D3478" s="6" t="s">
        <v>28</v>
      </c>
      <c r="E3478" s="6">
        <v>3</v>
      </c>
      <c r="F3478" s="6">
        <v>0</v>
      </c>
      <c r="G3478" s="6" t="s">
        <v>11</v>
      </c>
      <c r="H3478" s="6" t="s">
        <v>9</v>
      </c>
      <c r="I3478" s="6">
        <f>TabJogos[[#This Row],[PontosTime1]]-TabJogos[[#This Row],[PontosTime2]]</f>
        <v>3</v>
      </c>
    </row>
    <row r="3479" spans="1:9" ht="15" customHeight="1" x14ac:dyDescent="0.25">
      <c r="A3479" s="7">
        <v>3478</v>
      </c>
      <c r="B3479" s="1">
        <v>43594</v>
      </c>
      <c r="C3479" s="6" t="s">
        <v>11</v>
      </c>
      <c r="D3479" s="6" t="s">
        <v>60</v>
      </c>
      <c r="E3479" s="6">
        <v>2</v>
      </c>
      <c r="F3479" s="6">
        <v>3</v>
      </c>
      <c r="G3479" s="6" t="s">
        <v>28</v>
      </c>
      <c r="H3479" s="6" t="s">
        <v>13</v>
      </c>
      <c r="I3479" s="6">
        <f>TabJogos[[#This Row],[PontosTime1]]-TabJogos[[#This Row],[PontosTime2]]</f>
        <v>-1</v>
      </c>
    </row>
    <row r="3480" spans="1:9" ht="15" customHeight="1" x14ac:dyDescent="0.25">
      <c r="A3480" s="7">
        <v>3479</v>
      </c>
      <c r="B3480" s="1">
        <v>43594</v>
      </c>
      <c r="C3480" s="6" t="s">
        <v>11</v>
      </c>
      <c r="D3480" s="6" t="s">
        <v>13</v>
      </c>
      <c r="E3480" s="6">
        <v>3</v>
      </c>
      <c r="F3480" s="6">
        <v>2</v>
      </c>
      <c r="G3480" s="6" t="s">
        <v>9</v>
      </c>
      <c r="H3480" s="6" t="s">
        <v>28</v>
      </c>
      <c r="I3480" s="6">
        <f>TabJogos[[#This Row],[PontosTime1]]-TabJogos[[#This Row],[PontosTime2]]</f>
        <v>1</v>
      </c>
    </row>
    <row r="3481" spans="1:9" ht="15" customHeight="1" x14ac:dyDescent="0.25">
      <c r="A3481" s="7">
        <v>3480</v>
      </c>
      <c r="B3481" s="1">
        <v>43594</v>
      </c>
      <c r="C3481" s="6" t="s">
        <v>11</v>
      </c>
      <c r="D3481" s="6" t="s">
        <v>28</v>
      </c>
      <c r="E3481" s="6">
        <v>0</v>
      </c>
      <c r="F3481" s="6">
        <v>3</v>
      </c>
      <c r="G3481" s="6" t="s">
        <v>9</v>
      </c>
      <c r="H3481" s="6" t="s">
        <v>13</v>
      </c>
      <c r="I3481" s="6">
        <f>TabJogos[[#This Row],[PontosTime1]]-TabJogos[[#This Row],[PontosTime2]]</f>
        <v>-3</v>
      </c>
    </row>
    <row r="3482" spans="1:9" ht="15" customHeight="1" x14ac:dyDescent="0.25">
      <c r="A3482" s="7">
        <v>3481</v>
      </c>
      <c r="B3482" s="1">
        <v>43594</v>
      </c>
      <c r="C3482" s="6" t="s">
        <v>11</v>
      </c>
      <c r="D3482" s="6" t="s">
        <v>9</v>
      </c>
      <c r="E3482" s="6">
        <v>3</v>
      </c>
      <c r="F3482" s="6">
        <v>0</v>
      </c>
      <c r="G3482" s="6" t="s">
        <v>13</v>
      </c>
      <c r="H3482" s="6" t="s">
        <v>28</v>
      </c>
      <c r="I3482" s="6">
        <f>TabJogos[[#This Row],[PontosTime1]]-TabJogos[[#This Row],[PontosTime2]]</f>
        <v>3</v>
      </c>
    </row>
    <row r="3483" spans="1:9" ht="15" customHeight="1" x14ac:dyDescent="0.25">
      <c r="A3483" s="7">
        <v>3482</v>
      </c>
      <c r="B3483" s="1">
        <v>43594</v>
      </c>
      <c r="C3483" s="6" t="s">
        <v>11</v>
      </c>
      <c r="D3483" s="6" t="s">
        <v>13</v>
      </c>
      <c r="E3483" s="6">
        <v>2</v>
      </c>
      <c r="F3483" s="6">
        <v>3</v>
      </c>
      <c r="G3483" s="6" t="s">
        <v>9</v>
      </c>
      <c r="H3483" s="6" t="s">
        <v>28</v>
      </c>
      <c r="I3483" s="6">
        <f>TabJogos[[#This Row],[PontosTime1]]-TabJogos[[#This Row],[PontosTime2]]</f>
        <v>-1</v>
      </c>
    </row>
    <row r="3484" spans="1:9" ht="15" customHeight="1" x14ac:dyDescent="0.25">
      <c r="A3484" s="7">
        <v>3483</v>
      </c>
      <c r="B3484" s="1">
        <v>43595</v>
      </c>
      <c r="C3484" s="6" t="s">
        <v>32</v>
      </c>
      <c r="D3484" s="6" t="s">
        <v>13</v>
      </c>
      <c r="E3484" s="6">
        <v>0</v>
      </c>
      <c r="F3484" s="6">
        <v>4</v>
      </c>
      <c r="G3484" s="6" t="s">
        <v>9</v>
      </c>
      <c r="H3484" s="6" t="s">
        <v>12</v>
      </c>
      <c r="I3484" s="6">
        <f>TabJogos[[#This Row],[PontosTime1]]-TabJogos[[#This Row],[PontosTime2]]</f>
        <v>-4</v>
      </c>
    </row>
    <row r="3485" spans="1:9" ht="15" customHeight="1" x14ac:dyDescent="0.25">
      <c r="A3485" s="7">
        <v>3484</v>
      </c>
      <c r="B3485" s="1">
        <v>43595</v>
      </c>
      <c r="C3485" s="6" t="s">
        <v>9</v>
      </c>
      <c r="D3485" s="6" t="s">
        <v>13</v>
      </c>
      <c r="E3485" s="6">
        <v>7</v>
      </c>
      <c r="F3485" s="6">
        <v>1</v>
      </c>
      <c r="G3485" s="6" t="s">
        <v>57</v>
      </c>
      <c r="H3485" s="6" t="s">
        <v>12</v>
      </c>
      <c r="I3485" s="6">
        <f>TabJogos[[#This Row],[PontosTime1]]-TabJogos[[#This Row],[PontosTime2]]</f>
        <v>6</v>
      </c>
    </row>
    <row r="3486" spans="1:9" ht="15" customHeight="1" x14ac:dyDescent="0.25">
      <c r="A3486" s="7">
        <v>3485</v>
      </c>
      <c r="B3486" s="1">
        <v>43595</v>
      </c>
      <c r="C3486" s="6" t="s">
        <v>9</v>
      </c>
      <c r="D3486" s="6" t="s">
        <v>28</v>
      </c>
      <c r="E3486" s="6">
        <v>3</v>
      </c>
      <c r="F3486" s="6">
        <v>1</v>
      </c>
      <c r="G3486" s="6" t="s">
        <v>13</v>
      </c>
      <c r="H3486" s="6" t="s">
        <v>32</v>
      </c>
      <c r="I3486" s="6">
        <f>TabJogos[[#This Row],[PontosTime1]]-TabJogos[[#This Row],[PontosTime2]]</f>
        <v>2</v>
      </c>
    </row>
    <row r="3487" spans="1:9" ht="15" customHeight="1" x14ac:dyDescent="0.25">
      <c r="A3487" s="7">
        <v>3486</v>
      </c>
      <c r="B3487" s="1">
        <v>43595</v>
      </c>
      <c r="C3487" s="6" t="s">
        <v>9</v>
      </c>
      <c r="D3487" s="6" t="s">
        <v>32</v>
      </c>
      <c r="E3487" s="6">
        <v>2</v>
      </c>
      <c r="F3487" s="6">
        <v>3</v>
      </c>
      <c r="G3487" s="6" t="s">
        <v>28</v>
      </c>
      <c r="H3487" s="6" t="s">
        <v>12</v>
      </c>
      <c r="I3487" s="6">
        <f>TabJogos[[#This Row],[PontosTime1]]-TabJogos[[#This Row],[PontosTime2]]</f>
        <v>-1</v>
      </c>
    </row>
    <row r="3488" spans="1:9" ht="15" customHeight="1" x14ac:dyDescent="0.25">
      <c r="A3488" s="7">
        <v>3487</v>
      </c>
      <c r="B3488" s="1">
        <v>43595</v>
      </c>
      <c r="C3488" s="6" t="s">
        <v>9</v>
      </c>
      <c r="D3488" s="6" t="s">
        <v>13</v>
      </c>
      <c r="E3488" s="6">
        <v>0</v>
      </c>
      <c r="F3488" s="6">
        <v>4</v>
      </c>
      <c r="G3488" s="6" t="s">
        <v>32</v>
      </c>
      <c r="H3488" s="6" t="s">
        <v>28</v>
      </c>
      <c r="I3488" s="6">
        <f>TabJogos[[#This Row],[PontosTime1]]-TabJogos[[#This Row],[PontosTime2]]</f>
        <v>-4</v>
      </c>
    </row>
    <row r="3489" spans="1:9" ht="15" customHeight="1" x14ac:dyDescent="0.25">
      <c r="A3489" s="7">
        <v>3488</v>
      </c>
      <c r="B3489" s="1">
        <v>43595</v>
      </c>
      <c r="C3489" s="6" t="s">
        <v>9</v>
      </c>
      <c r="D3489" s="6" t="s">
        <v>28</v>
      </c>
      <c r="E3489" s="6">
        <v>0</v>
      </c>
      <c r="F3489" s="6">
        <v>3</v>
      </c>
      <c r="G3489" s="6" t="s">
        <v>13</v>
      </c>
      <c r="H3489" s="6" t="s">
        <v>32</v>
      </c>
      <c r="I3489" s="6">
        <f>TabJogos[[#This Row],[PontosTime1]]-TabJogos[[#This Row],[PontosTime2]]</f>
        <v>-3</v>
      </c>
    </row>
    <row r="3490" spans="1:9" ht="15" customHeight="1" x14ac:dyDescent="0.25">
      <c r="A3490" s="7">
        <v>3489</v>
      </c>
      <c r="B3490" s="1">
        <v>43595</v>
      </c>
      <c r="C3490" s="6" t="s">
        <v>9</v>
      </c>
      <c r="D3490" s="6" t="s">
        <v>32</v>
      </c>
      <c r="E3490" s="6">
        <v>3</v>
      </c>
      <c r="F3490" s="6">
        <v>2</v>
      </c>
      <c r="G3490" s="6" t="s">
        <v>13</v>
      </c>
      <c r="H3490" s="6" t="s">
        <v>28</v>
      </c>
      <c r="I3490" s="6">
        <f>TabJogos[[#This Row],[PontosTime1]]-TabJogos[[#This Row],[PontosTime2]]</f>
        <v>1</v>
      </c>
    </row>
    <row r="3491" spans="1:9" ht="15" customHeight="1" x14ac:dyDescent="0.25">
      <c r="A3491" s="7">
        <v>3490</v>
      </c>
      <c r="B3491" s="1">
        <v>43595</v>
      </c>
      <c r="C3491" s="6" t="s">
        <v>9</v>
      </c>
      <c r="D3491" s="6" t="s">
        <v>41</v>
      </c>
      <c r="E3491" s="6">
        <v>3</v>
      </c>
      <c r="F3491" s="6">
        <v>1</v>
      </c>
      <c r="G3491" s="6" t="s">
        <v>32</v>
      </c>
      <c r="H3491" s="6" t="s">
        <v>11</v>
      </c>
      <c r="I3491" s="6">
        <f>TabJogos[[#This Row],[PontosTime1]]-TabJogos[[#This Row],[PontosTime2]]</f>
        <v>2</v>
      </c>
    </row>
    <row r="3492" spans="1:9" ht="15" customHeight="1" x14ac:dyDescent="0.25">
      <c r="A3492" s="7">
        <v>3491</v>
      </c>
      <c r="B3492" s="1">
        <v>43595</v>
      </c>
      <c r="C3492" s="6" t="s">
        <v>28</v>
      </c>
      <c r="D3492" s="6" t="s">
        <v>41</v>
      </c>
      <c r="E3492" s="6">
        <v>1</v>
      </c>
      <c r="F3492" s="6">
        <v>3</v>
      </c>
      <c r="G3492" s="6" t="s">
        <v>13</v>
      </c>
      <c r="H3492" s="6" t="s">
        <v>9</v>
      </c>
      <c r="I3492" s="6">
        <f>TabJogos[[#This Row],[PontosTime1]]-TabJogos[[#This Row],[PontosTime2]]</f>
        <v>-2</v>
      </c>
    </row>
    <row r="3493" spans="1:9" ht="15" customHeight="1" x14ac:dyDescent="0.25">
      <c r="A3493" s="7">
        <v>3492</v>
      </c>
      <c r="B3493" s="1">
        <v>43595</v>
      </c>
      <c r="C3493" s="6" t="s">
        <v>9</v>
      </c>
      <c r="D3493" s="6" t="s">
        <v>11</v>
      </c>
      <c r="E3493" s="6">
        <v>3</v>
      </c>
      <c r="F3493" s="6">
        <v>0</v>
      </c>
      <c r="G3493" s="6" t="s">
        <v>13</v>
      </c>
      <c r="H3493" s="6" t="s">
        <v>28</v>
      </c>
      <c r="I3493" s="6">
        <f>TabJogos[[#This Row],[PontosTime1]]-TabJogos[[#This Row],[PontosTime2]]</f>
        <v>3</v>
      </c>
    </row>
    <row r="3494" spans="1:9" ht="15" customHeight="1" x14ac:dyDescent="0.25">
      <c r="A3494" s="7">
        <v>3493</v>
      </c>
      <c r="B3494" s="1">
        <v>43595</v>
      </c>
      <c r="C3494" s="6" t="s">
        <v>9</v>
      </c>
      <c r="D3494" s="6" t="s">
        <v>28</v>
      </c>
      <c r="E3494" s="6">
        <v>2</v>
      </c>
      <c r="F3494" s="6">
        <v>3</v>
      </c>
      <c r="G3494" s="6" t="s">
        <v>11</v>
      </c>
      <c r="H3494" s="6" t="s">
        <v>13</v>
      </c>
      <c r="I3494" s="6">
        <f>TabJogos[[#This Row],[PontosTime1]]-TabJogos[[#This Row],[PontosTime2]]</f>
        <v>-1</v>
      </c>
    </row>
    <row r="3495" spans="1:9" ht="15" customHeight="1" x14ac:dyDescent="0.25">
      <c r="A3495" s="7">
        <v>3494</v>
      </c>
      <c r="B3495" s="1">
        <v>43598</v>
      </c>
      <c r="C3495" s="6" t="s">
        <v>11</v>
      </c>
      <c r="D3495" s="6" t="s">
        <v>32</v>
      </c>
      <c r="E3495" s="6">
        <v>3</v>
      </c>
      <c r="F3495" s="6">
        <v>0</v>
      </c>
      <c r="G3495" s="6" t="s">
        <v>13</v>
      </c>
      <c r="H3495" s="6" t="s">
        <v>16</v>
      </c>
      <c r="I3495" s="6">
        <f>TabJogos[[#This Row],[PontosTime1]]-TabJogos[[#This Row],[PontosTime2]]</f>
        <v>3</v>
      </c>
    </row>
    <row r="3496" spans="1:9" ht="15" customHeight="1" x14ac:dyDescent="0.25">
      <c r="A3496" s="7">
        <v>3495</v>
      </c>
      <c r="B3496" s="1">
        <v>43598</v>
      </c>
      <c r="C3496" s="6" t="s">
        <v>32</v>
      </c>
      <c r="D3496" s="6" t="s">
        <v>16</v>
      </c>
      <c r="E3496" s="6">
        <v>3</v>
      </c>
      <c r="F3496" s="6">
        <v>1</v>
      </c>
      <c r="G3496" s="6" t="s">
        <v>13</v>
      </c>
      <c r="H3496" s="6" t="s">
        <v>11</v>
      </c>
      <c r="I3496" s="6">
        <f>TabJogos[[#This Row],[PontosTime1]]-TabJogos[[#This Row],[PontosTime2]]</f>
        <v>2</v>
      </c>
    </row>
    <row r="3497" spans="1:9" ht="15" customHeight="1" x14ac:dyDescent="0.25">
      <c r="A3497" s="7">
        <v>3496</v>
      </c>
      <c r="B3497" s="1">
        <v>43598</v>
      </c>
      <c r="C3497" s="6" t="s">
        <v>32</v>
      </c>
      <c r="D3497" s="6" t="s">
        <v>13</v>
      </c>
      <c r="E3497" s="6">
        <v>1</v>
      </c>
      <c r="F3497" s="6">
        <v>3</v>
      </c>
      <c r="G3497" s="6" t="s">
        <v>11</v>
      </c>
      <c r="H3497" s="6" t="s">
        <v>16</v>
      </c>
      <c r="I3497" s="6">
        <f>TabJogos[[#This Row],[PontosTime1]]-TabJogos[[#This Row],[PontosTime2]]</f>
        <v>-2</v>
      </c>
    </row>
    <row r="3498" spans="1:9" ht="15" customHeight="1" x14ac:dyDescent="0.25">
      <c r="A3498" s="7">
        <v>3497</v>
      </c>
      <c r="B3498" s="1">
        <v>43598</v>
      </c>
      <c r="C3498" s="6" t="s">
        <v>11</v>
      </c>
      <c r="D3498" s="6" t="s">
        <v>32</v>
      </c>
      <c r="E3498" s="6">
        <v>3</v>
      </c>
      <c r="F3498" s="6">
        <v>1</v>
      </c>
      <c r="G3498" s="6" t="s">
        <v>13</v>
      </c>
      <c r="H3498" s="6" t="s">
        <v>16</v>
      </c>
      <c r="I3498" s="6">
        <f>TabJogos[[#This Row],[PontosTime1]]-TabJogos[[#This Row],[PontosTime2]]</f>
        <v>2</v>
      </c>
    </row>
    <row r="3499" spans="1:9" ht="15" customHeight="1" x14ac:dyDescent="0.25">
      <c r="A3499" s="7">
        <v>3498</v>
      </c>
      <c r="B3499" s="1">
        <v>43598</v>
      </c>
      <c r="C3499" s="6" t="s">
        <v>32</v>
      </c>
      <c r="D3499" s="6" t="s">
        <v>16</v>
      </c>
      <c r="E3499" s="6">
        <v>1</v>
      </c>
      <c r="F3499" s="6">
        <v>3</v>
      </c>
      <c r="G3499" s="6" t="s">
        <v>13</v>
      </c>
      <c r="H3499" s="6" t="s">
        <v>11</v>
      </c>
      <c r="I3499" s="6">
        <f>TabJogos[[#This Row],[PontosTime1]]-TabJogos[[#This Row],[PontosTime2]]</f>
        <v>-2</v>
      </c>
    </row>
    <row r="3500" spans="1:9" ht="15" customHeight="1" x14ac:dyDescent="0.25">
      <c r="A3500" s="7">
        <v>3499</v>
      </c>
      <c r="B3500" s="1">
        <v>43598</v>
      </c>
      <c r="C3500" s="6" t="s">
        <v>32</v>
      </c>
      <c r="D3500" s="6" t="s">
        <v>13</v>
      </c>
      <c r="E3500" s="6">
        <v>3</v>
      </c>
      <c r="F3500" s="6">
        <v>2</v>
      </c>
      <c r="G3500" s="6" t="s">
        <v>11</v>
      </c>
      <c r="H3500" s="6" t="s">
        <v>16</v>
      </c>
      <c r="I3500" s="6">
        <f>TabJogos[[#This Row],[PontosTime1]]-TabJogos[[#This Row],[PontosTime2]]</f>
        <v>1</v>
      </c>
    </row>
    <row r="3501" spans="1:9" ht="15" customHeight="1" x14ac:dyDescent="0.25">
      <c r="A3501" s="7">
        <v>3500</v>
      </c>
      <c r="B3501" s="1">
        <v>43598</v>
      </c>
      <c r="C3501" s="6" t="s">
        <v>16</v>
      </c>
      <c r="D3501" s="6" t="s">
        <v>13</v>
      </c>
      <c r="E3501" s="6">
        <v>0</v>
      </c>
      <c r="F3501" s="6">
        <v>3</v>
      </c>
      <c r="G3501" s="6" t="s">
        <v>32</v>
      </c>
      <c r="H3501" s="6" t="s">
        <v>11</v>
      </c>
      <c r="I3501" s="6">
        <f>TabJogos[[#This Row],[PontosTime1]]-TabJogos[[#This Row],[PontosTime2]]</f>
        <v>-3</v>
      </c>
    </row>
    <row r="3502" spans="1:9" ht="15" customHeight="1" x14ac:dyDescent="0.25">
      <c r="A3502" s="7">
        <v>3501</v>
      </c>
      <c r="B3502" s="1">
        <v>43598</v>
      </c>
      <c r="C3502" s="6" t="s">
        <v>32</v>
      </c>
      <c r="D3502" s="6" t="s">
        <v>9</v>
      </c>
      <c r="E3502" s="6">
        <v>3</v>
      </c>
      <c r="F3502" s="6">
        <v>2</v>
      </c>
      <c r="G3502" s="6" t="s">
        <v>13</v>
      </c>
      <c r="H3502" s="6" t="s">
        <v>11</v>
      </c>
      <c r="I3502" s="6">
        <f>TabJogos[[#This Row],[PontosTime1]]-TabJogos[[#This Row],[PontosTime2]]</f>
        <v>1</v>
      </c>
    </row>
    <row r="3503" spans="1:9" ht="15" customHeight="1" x14ac:dyDescent="0.25">
      <c r="A3503" s="7">
        <v>3502</v>
      </c>
      <c r="B3503" s="1">
        <v>43599</v>
      </c>
      <c r="C3503" s="6" t="s">
        <v>32</v>
      </c>
      <c r="D3503" s="6" t="s">
        <v>12</v>
      </c>
      <c r="E3503" s="6">
        <v>3</v>
      </c>
      <c r="F3503" s="6">
        <v>0</v>
      </c>
      <c r="G3503" s="6" t="s">
        <v>10</v>
      </c>
      <c r="H3503" s="6" t="s">
        <v>13</v>
      </c>
      <c r="I3503" s="6">
        <f>TabJogos[[#This Row],[PontosTime1]]-TabJogos[[#This Row],[PontosTime2]]</f>
        <v>3</v>
      </c>
    </row>
    <row r="3504" spans="1:9" ht="15" customHeight="1" x14ac:dyDescent="0.25">
      <c r="A3504" s="7">
        <v>3503</v>
      </c>
      <c r="B3504" s="1">
        <v>43599</v>
      </c>
      <c r="C3504" s="6" t="s">
        <v>10</v>
      </c>
      <c r="D3504" s="6" t="s">
        <v>32</v>
      </c>
      <c r="E3504" s="6">
        <v>2</v>
      </c>
      <c r="F3504" s="6">
        <v>3</v>
      </c>
      <c r="G3504" s="6" t="s">
        <v>13</v>
      </c>
      <c r="H3504" s="6" t="s">
        <v>12</v>
      </c>
      <c r="I3504" s="6">
        <f>TabJogos[[#This Row],[PontosTime1]]-TabJogos[[#This Row],[PontosTime2]]</f>
        <v>-1</v>
      </c>
    </row>
    <row r="3505" spans="1:9" ht="15" customHeight="1" x14ac:dyDescent="0.25">
      <c r="A3505" s="7">
        <v>3504</v>
      </c>
      <c r="B3505" s="1">
        <v>43599</v>
      </c>
      <c r="C3505" s="6" t="s">
        <v>10</v>
      </c>
      <c r="D3505" s="6" t="s">
        <v>11</v>
      </c>
      <c r="E3505" s="6">
        <v>3</v>
      </c>
      <c r="F3505" s="6">
        <v>1</v>
      </c>
      <c r="G3505" s="6" t="s">
        <v>13</v>
      </c>
      <c r="H3505" s="6" t="s">
        <v>32</v>
      </c>
      <c r="I3505" s="6">
        <f>TabJogos[[#This Row],[PontosTime1]]-TabJogos[[#This Row],[PontosTime2]]</f>
        <v>2</v>
      </c>
    </row>
    <row r="3506" spans="1:9" ht="15" customHeight="1" x14ac:dyDescent="0.25">
      <c r="A3506" s="7">
        <v>3505</v>
      </c>
      <c r="B3506" s="1">
        <v>43599</v>
      </c>
      <c r="C3506" s="6" t="s">
        <v>27</v>
      </c>
      <c r="D3506" s="6" t="s">
        <v>32</v>
      </c>
      <c r="E3506" s="6">
        <v>3</v>
      </c>
      <c r="F3506" s="6">
        <v>1</v>
      </c>
      <c r="G3506" s="6" t="s">
        <v>13</v>
      </c>
      <c r="H3506" s="6" t="s">
        <v>10</v>
      </c>
      <c r="I3506" s="6">
        <f>TabJogos[[#This Row],[PontosTime1]]-TabJogos[[#This Row],[PontosTime2]]</f>
        <v>2</v>
      </c>
    </row>
    <row r="3507" spans="1:9" ht="15" customHeight="1" x14ac:dyDescent="0.25">
      <c r="A3507" s="7">
        <v>3506</v>
      </c>
      <c r="B3507" s="1">
        <v>43599</v>
      </c>
      <c r="C3507" s="6" t="s">
        <v>10</v>
      </c>
      <c r="D3507" s="6" t="s">
        <v>27</v>
      </c>
      <c r="E3507" s="6">
        <v>3</v>
      </c>
      <c r="F3507" s="6">
        <v>0</v>
      </c>
      <c r="G3507" s="6" t="s">
        <v>32</v>
      </c>
      <c r="H3507" s="6" t="s">
        <v>13</v>
      </c>
      <c r="I3507" s="6">
        <f>TabJogos[[#This Row],[PontosTime1]]-TabJogos[[#This Row],[PontosTime2]]</f>
        <v>3</v>
      </c>
    </row>
    <row r="3508" spans="1:9" ht="15" customHeight="1" x14ac:dyDescent="0.25">
      <c r="A3508" s="7">
        <v>3507</v>
      </c>
      <c r="B3508" s="1">
        <v>43599</v>
      </c>
      <c r="C3508" s="6" t="s">
        <v>9</v>
      </c>
      <c r="D3508" s="6" t="s">
        <v>10</v>
      </c>
      <c r="E3508" s="6">
        <v>1</v>
      </c>
      <c r="F3508" s="6">
        <v>3</v>
      </c>
      <c r="G3508" s="6" t="s">
        <v>13</v>
      </c>
      <c r="H3508" s="6" t="s">
        <v>27</v>
      </c>
      <c r="I3508" s="6">
        <f>TabJogos[[#This Row],[PontosTime1]]-TabJogos[[#This Row],[PontosTime2]]</f>
        <v>-2</v>
      </c>
    </row>
    <row r="3509" spans="1:9" ht="15" customHeight="1" x14ac:dyDescent="0.25">
      <c r="A3509" s="7">
        <v>3508</v>
      </c>
      <c r="B3509" s="1">
        <v>43599</v>
      </c>
      <c r="C3509" s="6" t="s">
        <v>27</v>
      </c>
      <c r="D3509" s="6" t="s">
        <v>10</v>
      </c>
      <c r="E3509" s="6">
        <v>3</v>
      </c>
      <c r="F3509" s="6">
        <v>1</v>
      </c>
      <c r="G3509" s="6" t="s">
        <v>13</v>
      </c>
      <c r="H3509" s="6" t="s">
        <v>9</v>
      </c>
      <c r="I3509" s="6">
        <f>TabJogos[[#This Row],[PontosTime1]]-TabJogos[[#This Row],[PontosTime2]]</f>
        <v>2</v>
      </c>
    </row>
    <row r="3510" spans="1:9" ht="15" customHeight="1" x14ac:dyDescent="0.25">
      <c r="A3510" s="7">
        <v>3509</v>
      </c>
      <c r="B3510" s="1">
        <v>43599</v>
      </c>
      <c r="C3510" s="6" t="s">
        <v>27</v>
      </c>
      <c r="D3510" s="6" t="s">
        <v>11</v>
      </c>
      <c r="E3510" s="6">
        <v>3</v>
      </c>
      <c r="F3510" s="6">
        <v>1</v>
      </c>
      <c r="G3510" s="6" t="s">
        <v>13</v>
      </c>
      <c r="H3510" s="6" t="s">
        <v>10</v>
      </c>
      <c r="I3510" s="6">
        <f>TabJogos[[#This Row],[PontosTime1]]-TabJogos[[#This Row],[PontosTime2]]</f>
        <v>2</v>
      </c>
    </row>
    <row r="3511" spans="1:9" ht="15" customHeight="1" x14ac:dyDescent="0.25">
      <c r="A3511" s="7">
        <v>3510</v>
      </c>
      <c r="B3511" s="1">
        <v>43599</v>
      </c>
      <c r="C3511" s="6" t="s">
        <v>11</v>
      </c>
      <c r="D3511" s="6" t="s">
        <v>60</v>
      </c>
      <c r="E3511" s="6">
        <v>3</v>
      </c>
      <c r="F3511" s="6">
        <v>2</v>
      </c>
      <c r="G3511" s="6" t="s">
        <v>9</v>
      </c>
      <c r="H3511" s="6" t="s">
        <v>27</v>
      </c>
      <c r="I3511" s="6">
        <f>TabJogos[[#This Row],[PontosTime1]]-TabJogos[[#This Row],[PontosTime2]]</f>
        <v>1</v>
      </c>
    </row>
    <row r="3512" spans="1:9" ht="15" customHeight="1" x14ac:dyDescent="0.25">
      <c r="A3512" s="7">
        <v>3511</v>
      </c>
      <c r="B3512" s="1">
        <v>43599</v>
      </c>
      <c r="C3512" s="6" t="s">
        <v>9</v>
      </c>
      <c r="D3512" s="6" t="s">
        <v>11</v>
      </c>
      <c r="E3512" s="6">
        <v>3</v>
      </c>
      <c r="F3512" s="6">
        <v>1</v>
      </c>
      <c r="G3512" s="6" t="s">
        <v>10</v>
      </c>
      <c r="H3512" s="6" t="s">
        <v>13</v>
      </c>
      <c r="I3512" s="6">
        <f>TabJogos[[#This Row],[PontosTime1]]-TabJogos[[#This Row],[PontosTime2]]</f>
        <v>2</v>
      </c>
    </row>
    <row r="3513" spans="1:9" ht="15" customHeight="1" x14ac:dyDescent="0.25">
      <c r="A3513" s="7">
        <v>3512</v>
      </c>
      <c r="B3513" s="1">
        <v>43599</v>
      </c>
      <c r="C3513" s="6" t="s">
        <v>10</v>
      </c>
      <c r="D3513" s="6" t="s">
        <v>9</v>
      </c>
      <c r="E3513" s="6">
        <v>3</v>
      </c>
      <c r="F3513" s="6">
        <v>2</v>
      </c>
      <c r="G3513" s="6" t="s">
        <v>11</v>
      </c>
      <c r="H3513" s="6" t="s">
        <v>13</v>
      </c>
      <c r="I3513" s="6">
        <f>TabJogos[[#This Row],[PontosTime1]]-TabJogos[[#This Row],[PontosTime2]]</f>
        <v>1</v>
      </c>
    </row>
    <row r="3514" spans="1:9" ht="15" customHeight="1" x14ac:dyDescent="0.25">
      <c r="A3514" s="7">
        <v>3513</v>
      </c>
      <c r="B3514" s="1">
        <v>43600</v>
      </c>
      <c r="C3514" s="6" t="s">
        <v>11</v>
      </c>
      <c r="D3514" s="6" t="s">
        <v>10</v>
      </c>
      <c r="E3514" s="6">
        <v>3</v>
      </c>
      <c r="F3514" s="6">
        <v>2</v>
      </c>
      <c r="G3514" s="6" t="s">
        <v>13</v>
      </c>
      <c r="H3514" s="6" t="s">
        <v>12</v>
      </c>
      <c r="I3514" s="6">
        <f>TabJogos[[#This Row],[PontosTime1]]-TabJogos[[#This Row],[PontosTime2]]</f>
        <v>1</v>
      </c>
    </row>
    <row r="3515" spans="1:9" ht="15" customHeight="1" x14ac:dyDescent="0.25">
      <c r="A3515" s="7">
        <v>3514</v>
      </c>
      <c r="B3515" s="1">
        <v>43600</v>
      </c>
      <c r="C3515" s="6" t="s">
        <v>13</v>
      </c>
      <c r="D3515" s="6" t="s">
        <v>10</v>
      </c>
      <c r="E3515" s="6">
        <v>0</v>
      </c>
      <c r="F3515" s="6">
        <v>4</v>
      </c>
      <c r="G3515" s="6" t="s">
        <v>12</v>
      </c>
      <c r="H3515" s="6" t="s">
        <v>11</v>
      </c>
      <c r="I3515" s="6">
        <f>TabJogos[[#This Row],[PontosTime1]]-TabJogos[[#This Row],[PontosTime2]]</f>
        <v>-4</v>
      </c>
    </row>
    <row r="3516" spans="1:9" ht="15" customHeight="1" x14ac:dyDescent="0.25">
      <c r="A3516" s="7">
        <v>3515</v>
      </c>
      <c r="B3516" s="1">
        <v>43600</v>
      </c>
      <c r="C3516" s="6" t="s">
        <v>12</v>
      </c>
      <c r="D3516" s="6" t="s">
        <v>10</v>
      </c>
      <c r="E3516" s="6">
        <v>4</v>
      </c>
      <c r="F3516" s="6">
        <v>1</v>
      </c>
      <c r="G3516" s="6" t="s">
        <v>11</v>
      </c>
      <c r="H3516" s="6" t="s">
        <v>13</v>
      </c>
      <c r="I3516" s="6">
        <f>TabJogos[[#This Row],[PontosTime1]]-TabJogos[[#This Row],[PontosTime2]]</f>
        <v>3</v>
      </c>
    </row>
    <row r="3517" spans="1:9" ht="15" customHeight="1" x14ac:dyDescent="0.25">
      <c r="A3517" s="7">
        <v>3516</v>
      </c>
      <c r="B3517" s="1">
        <v>43600</v>
      </c>
      <c r="C3517" s="6" t="s">
        <v>11</v>
      </c>
      <c r="D3517" s="6" t="s">
        <v>10</v>
      </c>
      <c r="E3517" s="6">
        <v>3</v>
      </c>
      <c r="F3517" s="6">
        <v>2</v>
      </c>
      <c r="G3517" s="6" t="s">
        <v>13</v>
      </c>
      <c r="H3517" s="6" t="s">
        <v>12</v>
      </c>
      <c r="I3517" s="6">
        <f>TabJogos[[#This Row],[PontosTime1]]-TabJogos[[#This Row],[PontosTime2]]</f>
        <v>1</v>
      </c>
    </row>
    <row r="3518" spans="1:9" ht="15" customHeight="1" x14ac:dyDescent="0.25">
      <c r="A3518" s="7">
        <v>3517</v>
      </c>
      <c r="B3518" s="1">
        <v>43600</v>
      </c>
      <c r="C3518" s="6" t="s">
        <v>13</v>
      </c>
      <c r="D3518" s="6" t="s">
        <v>10</v>
      </c>
      <c r="E3518" s="6">
        <v>3</v>
      </c>
      <c r="F3518" s="6">
        <v>1</v>
      </c>
      <c r="G3518" s="6" t="s">
        <v>41</v>
      </c>
      <c r="H3518" s="6" t="s">
        <v>11</v>
      </c>
      <c r="I3518" s="6">
        <f>TabJogos[[#This Row],[PontosTime1]]-TabJogos[[#This Row],[PontosTime2]]</f>
        <v>2</v>
      </c>
    </row>
    <row r="3519" spans="1:9" ht="15" customHeight="1" x14ac:dyDescent="0.25">
      <c r="A3519" s="7">
        <v>3518</v>
      </c>
      <c r="B3519" s="1">
        <v>43600</v>
      </c>
      <c r="C3519" s="6" t="s">
        <v>41</v>
      </c>
      <c r="D3519" s="6" t="s">
        <v>10</v>
      </c>
      <c r="E3519" s="6">
        <v>3</v>
      </c>
      <c r="F3519" s="6">
        <v>1</v>
      </c>
      <c r="G3519" s="6" t="s">
        <v>11</v>
      </c>
      <c r="H3519" s="6" t="s">
        <v>13</v>
      </c>
      <c r="I3519" s="6">
        <f>TabJogos[[#This Row],[PontosTime1]]-TabJogos[[#This Row],[PontosTime2]]</f>
        <v>2</v>
      </c>
    </row>
    <row r="3520" spans="1:9" ht="15" customHeight="1" x14ac:dyDescent="0.25">
      <c r="A3520" s="7">
        <v>3519</v>
      </c>
      <c r="B3520" s="1">
        <v>43600</v>
      </c>
      <c r="C3520" s="6" t="s">
        <v>11</v>
      </c>
      <c r="D3520" s="6" t="s">
        <v>60</v>
      </c>
      <c r="E3520" s="6">
        <v>0</v>
      </c>
      <c r="F3520" s="6">
        <v>3</v>
      </c>
      <c r="G3520" s="6" t="s">
        <v>41</v>
      </c>
      <c r="H3520" s="6" t="s">
        <v>13</v>
      </c>
      <c r="I3520" s="6">
        <f>TabJogos[[#This Row],[PontosTime1]]-TabJogos[[#This Row],[PontosTime2]]</f>
        <v>-3</v>
      </c>
    </row>
    <row r="3521" spans="1:9" ht="15" customHeight="1" x14ac:dyDescent="0.25">
      <c r="A3521" s="7">
        <v>3520</v>
      </c>
      <c r="B3521" s="1">
        <v>43600</v>
      </c>
      <c r="C3521" s="6" t="s">
        <v>13</v>
      </c>
      <c r="D3521" s="6" t="s">
        <v>32</v>
      </c>
      <c r="E3521" s="6">
        <v>3</v>
      </c>
      <c r="F3521" s="6">
        <v>0</v>
      </c>
      <c r="G3521" s="6" t="s">
        <v>11</v>
      </c>
      <c r="H3521" s="6" t="s">
        <v>41</v>
      </c>
      <c r="I3521" s="6">
        <f>TabJogos[[#This Row],[PontosTime1]]-TabJogos[[#This Row],[PontosTime2]]</f>
        <v>3</v>
      </c>
    </row>
    <row r="3522" spans="1:9" ht="15" customHeight="1" x14ac:dyDescent="0.25">
      <c r="A3522" s="7">
        <v>3521</v>
      </c>
      <c r="B3522" s="1">
        <v>43600</v>
      </c>
      <c r="C3522" s="6" t="s">
        <v>11</v>
      </c>
      <c r="D3522" s="6" t="s">
        <v>13</v>
      </c>
      <c r="E3522" s="6">
        <v>3</v>
      </c>
      <c r="F3522" s="6">
        <v>0</v>
      </c>
      <c r="G3522" s="6" t="s">
        <v>32</v>
      </c>
      <c r="H3522" s="6" t="s">
        <v>41</v>
      </c>
      <c r="I3522" s="6">
        <f>TabJogos[[#This Row],[PontosTime1]]-TabJogos[[#This Row],[PontosTime2]]</f>
        <v>3</v>
      </c>
    </row>
    <row r="3523" spans="1:9" ht="15" customHeight="1" x14ac:dyDescent="0.25">
      <c r="A3523" s="7">
        <v>3522</v>
      </c>
      <c r="B3523" s="1">
        <v>43600</v>
      </c>
      <c r="C3523" s="6" t="s">
        <v>11</v>
      </c>
      <c r="D3523" s="6" t="s">
        <v>32</v>
      </c>
      <c r="E3523" s="6">
        <v>0</v>
      </c>
      <c r="F3523" s="6">
        <v>3</v>
      </c>
      <c r="G3523" s="6" t="s">
        <v>13</v>
      </c>
      <c r="H3523" s="6" t="s">
        <v>41</v>
      </c>
      <c r="I3523" s="6">
        <f>TabJogos[[#This Row],[PontosTime1]]-TabJogos[[#This Row],[PontosTime2]]</f>
        <v>-3</v>
      </c>
    </row>
    <row r="3524" spans="1:9" ht="15" customHeight="1" x14ac:dyDescent="0.25">
      <c r="A3524" s="7">
        <v>3523</v>
      </c>
      <c r="B3524" s="1">
        <v>43601</v>
      </c>
      <c r="C3524" s="6" t="s">
        <v>13</v>
      </c>
      <c r="D3524" s="6" t="s">
        <v>9</v>
      </c>
      <c r="E3524" s="6">
        <v>2</v>
      </c>
      <c r="F3524" s="6">
        <v>3</v>
      </c>
      <c r="G3524" s="6" t="s">
        <v>11</v>
      </c>
      <c r="H3524" s="6" t="s">
        <v>27</v>
      </c>
      <c r="I3524" s="6">
        <f>TabJogos[[#This Row],[PontosTime1]]-TabJogos[[#This Row],[PontosTime2]]</f>
        <v>-1</v>
      </c>
    </row>
    <row r="3525" spans="1:9" ht="15" customHeight="1" x14ac:dyDescent="0.25">
      <c r="A3525" s="7">
        <v>3524</v>
      </c>
      <c r="B3525" s="1">
        <v>43601</v>
      </c>
      <c r="C3525" s="6" t="s">
        <v>13</v>
      </c>
      <c r="D3525" s="6" t="s">
        <v>11</v>
      </c>
      <c r="E3525" s="6">
        <v>3</v>
      </c>
      <c r="F3525" s="6">
        <v>1</v>
      </c>
      <c r="G3525" s="6" t="s">
        <v>9</v>
      </c>
      <c r="H3525" s="6" t="s">
        <v>27</v>
      </c>
      <c r="I3525" s="6">
        <f>TabJogos[[#This Row],[PontosTime1]]-TabJogos[[#This Row],[PontosTime2]]</f>
        <v>2</v>
      </c>
    </row>
    <row r="3526" spans="1:9" ht="15" customHeight="1" x14ac:dyDescent="0.25">
      <c r="A3526" s="7">
        <v>3525</v>
      </c>
      <c r="B3526" s="1">
        <v>43601</v>
      </c>
      <c r="C3526" s="6" t="s">
        <v>13</v>
      </c>
      <c r="D3526" s="6" t="s">
        <v>27</v>
      </c>
      <c r="E3526" s="6">
        <v>3</v>
      </c>
      <c r="F3526" s="6">
        <v>2</v>
      </c>
      <c r="G3526" s="6" t="s">
        <v>11</v>
      </c>
      <c r="H3526" s="6" t="s">
        <v>9</v>
      </c>
      <c r="I3526" s="6">
        <f>TabJogos[[#This Row],[PontosTime1]]-TabJogos[[#This Row],[PontosTime2]]</f>
        <v>1</v>
      </c>
    </row>
    <row r="3527" spans="1:9" ht="15" customHeight="1" x14ac:dyDescent="0.25">
      <c r="A3527" s="7">
        <v>3526</v>
      </c>
      <c r="B3527" s="1">
        <v>43601</v>
      </c>
      <c r="C3527" s="6" t="s">
        <v>9</v>
      </c>
      <c r="D3527" s="6" t="s">
        <v>13</v>
      </c>
      <c r="E3527" s="6">
        <v>3</v>
      </c>
      <c r="F3527" s="6">
        <v>0</v>
      </c>
      <c r="G3527" s="6" t="s">
        <v>11</v>
      </c>
      <c r="H3527" s="6" t="s">
        <v>27</v>
      </c>
      <c r="I3527" s="6">
        <f>TabJogos[[#This Row],[PontosTime1]]-TabJogos[[#This Row],[PontosTime2]]</f>
        <v>3</v>
      </c>
    </row>
    <row r="3528" spans="1:9" ht="15" customHeight="1" x14ac:dyDescent="0.25">
      <c r="A3528" s="7">
        <v>3527</v>
      </c>
      <c r="B3528" s="1">
        <v>43601</v>
      </c>
      <c r="C3528" s="6" t="s">
        <v>11</v>
      </c>
      <c r="D3528" s="6" t="s">
        <v>13</v>
      </c>
      <c r="E3528" s="6">
        <v>3</v>
      </c>
      <c r="F3528" s="6">
        <v>0</v>
      </c>
      <c r="G3528" s="6" t="s">
        <v>9</v>
      </c>
      <c r="H3528" s="6" t="s">
        <v>27</v>
      </c>
      <c r="I3528" s="6">
        <f>TabJogos[[#This Row],[PontosTime1]]-TabJogos[[#This Row],[PontosTime2]]</f>
        <v>3</v>
      </c>
    </row>
    <row r="3529" spans="1:9" ht="15" customHeight="1" x14ac:dyDescent="0.25">
      <c r="A3529" s="7">
        <v>3528</v>
      </c>
      <c r="B3529" s="1">
        <v>43601</v>
      </c>
      <c r="C3529" s="6" t="s">
        <v>11</v>
      </c>
      <c r="D3529" s="6" t="s">
        <v>9</v>
      </c>
      <c r="E3529" s="6">
        <v>3</v>
      </c>
      <c r="F3529" s="6">
        <v>1</v>
      </c>
      <c r="G3529" s="6" t="s">
        <v>27</v>
      </c>
      <c r="H3529" s="6" t="s">
        <v>13</v>
      </c>
      <c r="I3529" s="6">
        <f>TabJogos[[#This Row],[PontosTime1]]-TabJogos[[#This Row],[PontosTime2]]</f>
        <v>2</v>
      </c>
    </row>
    <row r="3530" spans="1:9" ht="15" customHeight="1" x14ac:dyDescent="0.25">
      <c r="A3530" s="7">
        <v>3529</v>
      </c>
      <c r="B3530" s="1">
        <v>43601</v>
      </c>
      <c r="C3530" s="6" t="s">
        <v>11</v>
      </c>
      <c r="D3530" s="6" t="s">
        <v>27</v>
      </c>
      <c r="E3530" s="6">
        <v>0</v>
      </c>
      <c r="F3530" s="6">
        <v>6</v>
      </c>
      <c r="G3530" s="6" t="s">
        <v>13</v>
      </c>
      <c r="H3530" s="6" t="s">
        <v>9</v>
      </c>
      <c r="I3530" s="6">
        <f>TabJogos[[#This Row],[PontosTime1]]-TabJogos[[#This Row],[PontosTime2]]</f>
        <v>-6</v>
      </c>
    </row>
    <row r="3531" spans="1:9" ht="15" customHeight="1" x14ac:dyDescent="0.25">
      <c r="A3531" s="7">
        <v>3530</v>
      </c>
      <c r="B3531" s="1">
        <v>43601</v>
      </c>
      <c r="C3531" s="6" t="s">
        <v>9</v>
      </c>
      <c r="D3531" s="6" t="s">
        <v>41</v>
      </c>
      <c r="E3531" s="6">
        <v>3</v>
      </c>
      <c r="F3531" s="6">
        <v>0</v>
      </c>
      <c r="G3531" s="6" t="s">
        <v>11</v>
      </c>
      <c r="H3531" s="6" t="s">
        <v>13</v>
      </c>
      <c r="I3531" s="6">
        <f>TabJogos[[#This Row],[PontosTime1]]-TabJogos[[#This Row],[PontosTime2]]</f>
        <v>3</v>
      </c>
    </row>
    <row r="3532" spans="1:9" ht="15" customHeight="1" x14ac:dyDescent="0.25">
      <c r="A3532" s="7">
        <v>3531</v>
      </c>
      <c r="B3532" s="1">
        <v>43601</v>
      </c>
      <c r="C3532" s="6" t="s">
        <v>13</v>
      </c>
      <c r="D3532" s="6" t="s">
        <v>41</v>
      </c>
      <c r="E3532" s="6">
        <v>3</v>
      </c>
      <c r="F3532" s="6">
        <v>1</v>
      </c>
      <c r="G3532" s="6" t="s">
        <v>11</v>
      </c>
      <c r="H3532" s="6" t="s">
        <v>9</v>
      </c>
      <c r="I3532" s="6">
        <f>TabJogos[[#This Row],[PontosTime1]]-TabJogos[[#This Row],[PontosTime2]]</f>
        <v>2</v>
      </c>
    </row>
    <row r="3533" spans="1:9" ht="15" customHeight="1" x14ac:dyDescent="0.25">
      <c r="A3533" s="7">
        <v>3532</v>
      </c>
      <c r="B3533" s="1">
        <v>43601</v>
      </c>
      <c r="C3533" s="6" t="s">
        <v>11</v>
      </c>
      <c r="D3533" s="6" t="s">
        <v>41</v>
      </c>
      <c r="E3533" s="6">
        <v>4</v>
      </c>
      <c r="F3533" s="6">
        <v>1</v>
      </c>
      <c r="G3533" s="6" t="s">
        <v>9</v>
      </c>
      <c r="H3533" s="6" t="s">
        <v>13</v>
      </c>
      <c r="I3533" s="6">
        <f>TabJogos[[#This Row],[PontosTime1]]-TabJogos[[#This Row],[PontosTime2]]</f>
        <v>3</v>
      </c>
    </row>
    <row r="3534" spans="1:9" ht="15" customHeight="1" x14ac:dyDescent="0.25">
      <c r="A3534" s="7">
        <v>3533</v>
      </c>
      <c r="B3534" s="1">
        <v>43602</v>
      </c>
      <c r="C3534" s="6" t="s">
        <v>13</v>
      </c>
      <c r="D3534" s="6" t="s">
        <v>41</v>
      </c>
      <c r="E3534" s="6">
        <v>1</v>
      </c>
      <c r="F3534" s="6">
        <v>3</v>
      </c>
      <c r="G3534" s="6" t="s">
        <v>11</v>
      </c>
      <c r="H3534" s="6" t="s">
        <v>9</v>
      </c>
      <c r="I3534" s="6">
        <f>TabJogos[[#This Row],[PontosTime1]]-TabJogos[[#This Row],[PontosTime2]]</f>
        <v>-2</v>
      </c>
    </row>
    <row r="3535" spans="1:9" ht="15" customHeight="1" x14ac:dyDescent="0.25">
      <c r="A3535" s="7">
        <v>3534</v>
      </c>
      <c r="B3535" s="1">
        <v>43602</v>
      </c>
      <c r="C3535" s="6" t="s">
        <v>9</v>
      </c>
      <c r="D3535" s="6" t="s">
        <v>13</v>
      </c>
      <c r="E3535" s="6">
        <v>3</v>
      </c>
      <c r="F3535" s="6">
        <v>2</v>
      </c>
      <c r="G3535" s="6" t="s">
        <v>11</v>
      </c>
      <c r="H3535" s="6" t="s">
        <v>41</v>
      </c>
      <c r="I3535" s="6">
        <f>TabJogos[[#This Row],[PontosTime1]]-TabJogos[[#This Row],[PontosTime2]]</f>
        <v>1</v>
      </c>
    </row>
    <row r="3536" spans="1:9" ht="15" customHeight="1" x14ac:dyDescent="0.25">
      <c r="A3536" s="7">
        <v>3535</v>
      </c>
      <c r="B3536" s="1">
        <v>43602</v>
      </c>
      <c r="C3536" s="6" t="s">
        <v>11</v>
      </c>
      <c r="D3536" s="6" t="s">
        <v>13</v>
      </c>
      <c r="E3536" s="6">
        <v>3</v>
      </c>
      <c r="F3536" s="6">
        <v>1</v>
      </c>
      <c r="G3536" s="6" t="s">
        <v>9</v>
      </c>
      <c r="H3536" s="6" t="s">
        <v>41</v>
      </c>
      <c r="I3536" s="6">
        <f>TabJogos[[#This Row],[PontosTime1]]-TabJogos[[#This Row],[PontosTime2]]</f>
        <v>2</v>
      </c>
    </row>
    <row r="3537" spans="1:9" ht="15" customHeight="1" x14ac:dyDescent="0.25">
      <c r="A3537" s="7">
        <v>3536</v>
      </c>
      <c r="B3537" s="1">
        <v>43602</v>
      </c>
      <c r="C3537" s="6" t="s">
        <v>11</v>
      </c>
      <c r="D3537" s="6" t="s">
        <v>9</v>
      </c>
      <c r="E3537" s="6">
        <v>3</v>
      </c>
      <c r="F3537" s="6">
        <v>2</v>
      </c>
      <c r="G3537" s="6" t="s">
        <v>41</v>
      </c>
      <c r="H3537" s="6" t="s">
        <v>13</v>
      </c>
      <c r="I3537" s="6">
        <f>TabJogos[[#This Row],[PontosTime1]]-TabJogos[[#This Row],[PontosTime2]]</f>
        <v>1</v>
      </c>
    </row>
    <row r="3538" spans="1:9" ht="15" customHeight="1" x14ac:dyDescent="0.25">
      <c r="A3538" s="7">
        <v>3537</v>
      </c>
      <c r="B3538" s="1">
        <v>43602</v>
      </c>
      <c r="C3538" s="6" t="s">
        <v>11</v>
      </c>
      <c r="D3538" s="6" t="s">
        <v>41</v>
      </c>
      <c r="E3538" s="6">
        <v>3</v>
      </c>
      <c r="F3538" s="6">
        <v>0</v>
      </c>
      <c r="G3538" s="6" t="s">
        <v>13</v>
      </c>
      <c r="H3538" s="6" t="s">
        <v>9</v>
      </c>
      <c r="I3538" s="6">
        <f>TabJogos[[#This Row],[PontosTime1]]-TabJogos[[#This Row],[PontosTime2]]</f>
        <v>3</v>
      </c>
    </row>
    <row r="3539" spans="1:9" ht="15" customHeight="1" x14ac:dyDescent="0.25">
      <c r="A3539" s="7">
        <v>3538</v>
      </c>
      <c r="B3539" s="1">
        <v>43602</v>
      </c>
      <c r="C3539" s="6" t="s">
        <v>9</v>
      </c>
      <c r="D3539" s="6" t="s">
        <v>41</v>
      </c>
      <c r="E3539" s="6">
        <v>3</v>
      </c>
      <c r="F3539" s="6">
        <v>2</v>
      </c>
      <c r="G3539" s="6" t="s">
        <v>13</v>
      </c>
      <c r="H3539" s="6" t="s">
        <v>11</v>
      </c>
      <c r="I3539" s="6">
        <f>TabJogos[[#This Row],[PontosTime1]]-TabJogos[[#This Row],[PontosTime2]]</f>
        <v>1</v>
      </c>
    </row>
    <row r="3540" spans="1:9" ht="15" customHeight="1" x14ac:dyDescent="0.25">
      <c r="A3540" s="7">
        <v>3539</v>
      </c>
      <c r="B3540" s="1">
        <v>43605</v>
      </c>
      <c r="C3540" s="6" t="s">
        <v>9</v>
      </c>
      <c r="D3540" s="6" t="s">
        <v>13</v>
      </c>
      <c r="E3540" s="6">
        <v>3</v>
      </c>
      <c r="F3540" s="6">
        <v>2</v>
      </c>
      <c r="G3540" s="6" t="s">
        <v>10</v>
      </c>
      <c r="H3540" s="6" t="s">
        <v>41</v>
      </c>
      <c r="I3540" s="6">
        <f>TabJogos[[#This Row],[PontosTime1]]-TabJogos[[#This Row],[PontosTime2]]</f>
        <v>1</v>
      </c>
    </row>
    <row r="3541" spans="1:9" ht="15" customHeight="1" x14ac:dyDescent="0.25">
      <c r="A3541" s="7">
        <v>3540</v>
      </c>
      <c r="B3541" s="1">
        <v>43605</v>
      </c>
      <c r="C3541" s="6" t="s">
        <v>9</v>
      </c>
      <c r="D3541" s="6" t="s">
        <v>41</v>
      </c>
      <c r="E3541" s="6">
        <v>3</v>
      </c>
      <c r="F3541" s="6">
        <v>0</v>
      </c>
      <c r="G3541" s="6" t="s">
        <v>32</v>
      </c>
      <c r="H3541" s="6" t="s">
        <v>13</v>
      </c>
      <c r="I3541" s="6">
        <f>TabJogos[[#This Row],[PontosTime1]]-TabJogos[[#This Row],[PontosTime2]]</f>
        <v>3</v>
      </c>
    </row>
    <row r="3542" spans="1:9" ht="15" customHeight="1" x14ac:dyDescent="0.25">
      <c r="A3542" s="7">
        <v>3541</v>
      </c>
      <c r="B3542" s="1">
        <v>43605</v>
      </c>
      <c r="C3542" s="6" t="s">
        <v>9</v>
      </c>
      <c r="D3542" s="6" t="s">
        <v>32</v>
      </c>
      <c r="E3542" s="6">
        <v>0</v>
      </c>
      <c r="F3542" s="6">
        <v>3</v>
      </c>
      <c r="G3542" s="6" t="s">
        <v>13</v>
      </c>
      <c r="H3542" s="6" t="s">
        <v>41</v>
      </c>
      <c r="I3542" s="6">
        <f>TabJogos[[#This Row],[PontosTime1]]-TabJogos[[#This Row],[PontosTime2]]</f>
        <v>-3</v>
      </c>
    </row>
    <row r="3543" spans="1:9" ht="15" customHeight="1" x14ac:dyDescent="0.25">
      <c r="A3543" s="7">
        <v>3542</v>
      </c>
      <c r="B3543" s="1">
        <v>43605</v>
      </c>
      <c r="C3543" s="6" t="s">
        <v>9</v>
      </c>
      <c r="D3543" s="6" t="s">
        <v>41</v>
      </c>
      <c r="E3543" s="6">
        <v>3</v>
      </c>
      <c r="F3543" s="6">
        <v>0</v>
      </c>
      <c r="G3543" s="6" t="s">
        <v>27</v>
      </c>
      <c r="H3543" s="6" t="s">
        <v>13</v>
      </c>
      <c r="I3543" s="6">
        <f>TabJogos[[#This Row],[PontosTime1]]-TabJogos[[#This Row],[PontosTime2]]</f>
        <v>3</v>
      </c>
    </row>
    <row r="3544" spans="1:9" ht="15" customHeight="1" x14ac:dyDescent="0.25">
      <c r="A3544" s="7">
        <v>3543</v>
      </c>
      <c r="B3544" s="1">
        <v>43605</v>
      </c>
      <c r="C3544" s="6" t="s">
        <v>9</v>
      </c>
      <c r="D3544" s="6" t="s">
        <v>18</v>
      </c>
      <c r="E3544" s="6">
        <v>4</v>
      </c>
      <c r="F3544" s="6">
        <v>0</v>
      </c>
      <c r="G3544" s="6" t="s">
        <v>32</v>
      </c>
      <c r="H3544" s="6" t="s">
        <v>41</v>
      </c>
      <c r="I3544" s="6">
        <f>TabJogos[[#This Row],[PontosTime1]]-TabJogos[[#This Row],[PontosTime2]]</f>
        <v>4</v>
      </c>
    </row>
    <row r="3545" spans="1:9" ht="15" customHeight="1" x14ac:dyDescent="0.25">
      <c r="A3545" s="7">
        <v>3544</v>
      </c>
      <c r="B3545" s="1">
        <v>43605</v>
      </c>
      <c r="C3545" s="6" t="s">
        <v>9</v>
      </c>
      <c r="D3545" s="6" t="s">
        <v>27</v>
      </c>
      <c r="E3545" s="6">
        <v>1</v>
      </c>
      <c r="F3545" s="6">
        <v>3</v>
      </c>
      <c r="G3545" s="6" t="s">
        <v>18</v>
      </c>
      <c r="H3545" s="6" t="s">
        <v>13</v>
      </c>
      <c r="I3545" s="6">
        <f>TabJogos[[#This Row],[PontosTime1]]-TabJogos[[#This Row],[PontosTime2]]</f>
        <v>-2</v>
      </c>
    </row>
    <row r="3546" spans="1:9" ht="15" customHeight="1" x14ac:dyDescent="0.25">
      <c r="A3546" s="7">
        <v>3545</v>
      </c>
      <c r="B3546" s="1">
        <v>43605</v>
      </c>
      <c r="C3546" s="6" t="s">
        <v>32</v>
      </c>
      <c r="D3546" s="6" t="s">
        <v>18</v>
      </c>
      <c r="E3546" s="6">
        <v>3</v>
      </c>
      <c r="F3546" s="6">
        <v>1</v>
      </c>
      <c r="G3546" s="6" t="s">
        <v>13</v>
      </c>
      <c r="H3546" s="6" t="s">
        <v>41</v>
      </c>
      <c r="I3546" s="6">
        <f>TabJogos[[#This Row],[PontosTime1]]-TabJogos[[#This Row],[PontosTime2]]</f>
        <v>2</v>
      </c>
    </row>
    <row r="3547" spans="1:9" ht="15" customHeight="1" x14ac:dyDescent="0.25">
      <c r="A3547" s="7">
        <v>3546</v>
      </c>
      <c r="B3547" s="1">
        <v>43605</v>
      </c>
      <c r="C3547" s="6" t="s">
        <v>9</v>
      </c>
      <c r="D3547" s="6" t="s">
        <v>18</v>
      </c>
      <c r="E3547" s="6">
        <v>4</v>
      </c>
      <c r="F3547" s="6">
        <v>1</v>
      </c>
      <c r="G3547" s="6" t="s">
        <v>13</v>
      </c>
      <c r="H3547" s="6" t="s">
        <v>32</v>
      </c>
      <c r="I3547" s="6">
        <f>TabJogos[[#This Row],[PontosTime1]]-TabJogos[[#This Row],[PontosTime2]]</f>
        <v>3</v>
      </c>
    </row>
    <row r="3548" spans="1:9" ht="15" customHeight="1" x14ac:dyDescent="0.25">
      <c r="A3548" s="7">
        <v>3547</v>
      </c>
      <c r="B3548" s="1">
        <v>43606</v>
      </c>
      <c r="C3548" s="6" t="s">
        <v>10</v>
      </c>
      <c r="D3548" s="6" t="s">
        <v>12</v>
      </c>
      <c r="E3548" s="6">
        <v>1</v>
      </c>
      <c r="F3548" s="6">
        <v>4</v>
      </c>
      <c r="G3548" s="6" t="s">
        <v>13</v>
      </c>
      <c r="H3548" s="6" t="s">
        <v>9</v>
      </c>
      <c r="I3548" s="6">
        <f>TabJogos[[#This Row],[PontosTime1]]-TabJogos[[#This Row],[PontosTime2]]</f>
        <v>-3</v>
      </c>
    </row>
    <row r="3549" spans="1:9" ht="15" customHeight="1" x14ac:dyDescent="0.25">
      <c r="A3549" s="7">
        <v>3548</v>
      </c>
      <c r="B3549" s="1">
        <v>43606</v>
      </c>
      <c r="C3549" s="6" t="s">
        <v>10</v>
      </c>
      <c r="D3549" s="6" t="s">
        <v>9</v>
      </c>
      <c r="E3549" s="6">
        <v>2</v>
      </c>
      <c r="F3549" s="6">
        <v>3</v>
      </c>
      <c r="G3549" s="6" t="s">
        <v>13</v>
      </c>
      <c r="H3549" s="6" t="s">
        <v>12</v>
      </c>
      <c r="I3549" s="6">
        <f>TabJogos[[#This Row],[PontosTime1]]-TabJogos[[#This Row],[PontosTime2]]</f>
        <v>-1</v>
      </c>
    </row>
    <row r="3550" spans="1:9" ht="15" customHeight="1" x14ac:dyDescent="0.25">
      <c r="A3550" s="7">
        <v>3549</v>
      </c>
      <c r="B3550" s="1">
        <v>43606</v>
      </c>
      <c r="C3550" s="6" t="s">
        <v>10</v>
      </c>
      <c r="D3550" s="6" t="s">
        <v>13</v>
      </c>
      <c r="E3550" s="6">
        <v>3</v>
      </c>
      <c r="F3550" s="6">
        <v>0</v>
      </c>
      <c r="G3550" s="6" t="s">
        <v>12</v>
      </c>
      <c r="H3550" s="6" t="s">
        <v>9</v>
      </c>
      <c r="I3550" s="6">
        <f>TabJogos[[#This Row],[PontosTime1]]-TabJogos[[#This Row],[PontosTime2]]</f>
        <v>3</v>
      </c>
    </row>
    <row r="3551" spans="1:9" ht="15" customHeight="1" x14ac:dyDescent="0.25">
      <c r="A3551" s="7">
        <v>3550</v>
      </c>
      <c r="B3551" s="1">
        <v>43606</v>
      </c>
      <c r="C3551" s="6" t="s">
        <v>10</v>
      </c>
      <c r="D3551" s="6" t="s">
        <v>9</v>
      </c>
      <c r="E3551" s="6">
        <v>3</v>
      </c>
      <c r="F3551" s="6">
        <v>2</v>
      </c>
      <c r="G3551" s="6" t="s">
        <v>13</v>
      </c>
      <c r="H3551" s="6" t="s">
        <v>27</v>
      </c>
      <c r="I3551" s="6">
        <f>TabJogos[[#This Row],[PontosTime1]]-TabJogos[[#This Row],[PontosTime2]]</f>
        <v>1</v>
      </c>
    </row>
    <row r="3552" spans="1:9" ht="15" customHeight="1" x14ac:dyDescent="0.25">
      <c r="A3552" s="7">
        <v>3551</v>
      </c>
      <c r="B3552" s="1">
        <v>43606</v>
      </c>
      <c r="C3552" s="6" t="s">
        <v>10</v>
      </c>
      <c r="D3552" s="6" t="s">
        <v>41</v>
      </c>
      <c r="E3552" s="6">
        <v>0</v>
      </c>
      <c r="F3552" s="6">
        <v>3</v>
      </c>
      <c r="G3552" s="6" t="s">
        <v>9</v>
      </c>
      <c r="H3552" s="6" t="s">
        <v>27</v>
      </c>
      <c r="I3552" s="6">
        <f>TabJogos[[#This Row],[PontosTime1]]-TabJogos[[#This Row],[PontosTime2]]</f>
        <v>-3</v>
      </c>
    </row>
    <row r="3553" spans="1:9" ht="15" customHeight="1" x14ac:dyDescent="0.25">
      <c r="A3553" s="7">
        <v>3552</v>
      </c>
      <c r="B3553" s="1">
        <v>43606</v>
      </c>
      <c r="C3553" s="6" t="s">
        <v>9</v>
      </c>
      <c r="D3553" s="6" t="s">
        <v>13</v>
      </c>
      <c r="E3553" s="6">
        <v>2</v>
      </c>
      <c r="F3553" s="6">
        <v>3</v>
      </c>
      <c r="G3553" s="6" t="s">
        <v>41</v>
      </c>
      <c r="H3553" s="6" t="s">
        <v>27</v>
      </c>
      <c r="I3553" s="6">
        <f>TabJogos[[#This Row],[PontosTime1]]-TabJogos[[#This Row],[PontosTime2]]</f>
        <v>-1</v>
      </c>
    </row>
    <row r="3554" spans="1:9" ht="15" customHeight="1" x14ac:dyDescent="0.25">
      <c r="A3554" s="7">
        <v>3553</v>
      </c>
      <c r="B3554" s="1">
        <v>43606</v>
      </c>
      <c r="C3554" s="6" t="s">
        <v>9</v>
      </c>
      <c r="D3554" s="6" t="s">
        <v>41</v>
      </c>
      <c r="E3554" s="6">
        <v>3</v>
      </c>
      <c r="F3554" s="6">
        <v>2</v>
      </c>
      <c r="G3554" s="6" t="s">
        <v>27</v>
      </c>
      <c r="H3554" s="6" t="s">
        <v>13</v>
      </c>
      <c r="I3554" s="6">
        <f>TabJogos[[#This Row],[PontosTime1]]-TabJogos[[#This Row],[PontosTime2]]</f>
        <v>1</v>
      </c>
    </row>
    <row r="3555" spans="1:9" ht="15" customHeight="1" x14ac:dyDescent="0.25">
      <c r="A3555" s="7">
        <v>3554</v>
      </c>
      <c r="B3555" s="1">
        <v>43607</v>
      </c>
      <c r="C3555" s="6" t="s">
        <v>13</v>
      </c>
      <c r="D3555" s="6" t="s">
        <v>9</v>
      </c>
      <c r="E3555" s="6">
        <v>3</v>
      </c>
      <c r="F3555" s="6">
        <v>1</v>
      </c>
      <c r="G3555" s="6" t="s">
        <v>10</v>
      </c>
      <c r="H3555" s="6" t="s">
        <v>12</v>
      </c>
      <c r="I3555" s="6">
        <f>TabJogos[[#This Row],[PontosTime1]]-TabJogos[[#This Row],[PontosTime2]]</f>
        <v>2</v>
      </c>
    </row>
    <row r="3556" spans="1:9" ht="15" customHeight="1" x14ac:dyDescent="0.25">
      <c r="A3556" s="7">
        <v>3555</v>
      </c>
      <c r="B3556" s="1">
        <v>43607</v>
      </c>
      <c r="C3556" s="6" t="s">
        <v>13</v>
      </c>
      <c r="D3556" s="6" t="s">
        <v>10</v>
      </c>
      <c r="E3556" s="6">
        <v>4</v>
      </c>
      <c r="F3556" s="6">
        <v>2</v>
      </c>
      <c r="G3556" s="6" t="s">
        <v>12</v>
      </c>
      <c r="H3556" s="6" t="s">
        <v>9</v>
      </c>
      <c r="I3556" s="6">
        <f>TabJogos[[#This Row],[PontosTime1]]-TabJogos[[#This Row],[PontosTime2]]</f>
        <v>2</v>
      </c>
    </row>
    <row r="3557" spans="1:9" ht="15" customHeight="1" x14ac:dyDescent="0.25">
      <c r="A3557" s="7">
        <v>3556</v>
      </c>
      <c r="B3557" s="1">
        <v>43607</v>
      </c>
      <c r="C3557" s="6" t="s">
        <v>13</v>
      </c>
      <c r="D3557" s="6" t="s">
        <v>12</v>
      </c>
      <c r="E3557" s="6">
        <v>2</v>
      </c>
      <c r="F3557" s="6">
        <v>3</v>
      </c>
      <c r="G3557" s="6" t="s">
        <v>10</v>
      </c>
      <c r="H3557" s="6" t="s">
        <v>9</v>
      </c>
      <c r="I3557" s="6">
        <f>TabJogos[[#This Row],[PontosTime1]]-TabJogos[[#This Row],[PontosTime2]]</f>
        <v>-1</v>
      </c>
    </row>
    <row r="3558" spans="1:9" ht="15" customHeight="1" x14ac:dyDescent="0.25">
      <c r="A3558" s="7">
        <v>3557</v>
      </c>
      <c r="B3558" s="1">
        <v>43607</v>
      </c>
      <c r="C3558" s="6" t="s">
        <v>9</v>
      </c>
      <c r="D3558" s="6" t="s">
        <v>41</v>
      </c>
      <c r="E3558" s="6">
        <v>4</v>
      </c>
      <c r="F3558" s="6">
        <v>2</v>
      </c>
      <c r="G3558" s="6" t="s">
        <v>10</v>
      </c>
      <c r="H3558" s="6" t="s">
        <v>32</v>
      </c>
      <c r="I3558" s="6">
        <f>TabJogos[[#This Row],[PontosTime1]]-TabJogos[[#This Row],[PontosTime2]]</f>
        <v>2</v>
      </c>
    </row>
    <row r="3559" spans="1:9" ht="15" customHeight="1" x14ac:dyDescent="0.25">
      <c r="A3559" s="7">
        <v>3558</v>
      </c>
      <c r="B3559" s="1">
        <v>43607</v>
      </c>
      <c r="C3559" s="6" t="s">
        <v>9</v>
      </c>
      <c r="D3559" s="6" t="s">
        <v>12</v>
      </c>
      <c r="E3559" s="6">
        <v>3</v>
      </c>
      <c r="F3559" s="6">
        <v>2</v>
      </c>
      <c r="G3559" s="6" t="s">
        <v>13</v>
      </c>
      <c r="H3559" s="6" t="s">
        <v>41</v>
      </c>
      <c r="I3559" s="6">
        <f>TabJogos[[#This Row],[PontosTime1]]-TabJogos[[#This Row],[PontosTime2]]</f>
        <v>1</v>
      </c>
    </row>
    <row r="3560" spans="1:9" ht="15" customHeight="1" x14ac:dyDescent="0.25">
      <c r="A3560" s="7">
        <v>3559</v>
      </c>
      <c r="B3560" s="1">
        <v>43607</v>
      </c>
      <c r="C3560" s="6" t="s">
        <v>9</v>
      </c>
      <c r="D3560" s="6" t="s">
        <v>13</v>
      </c>
      <c r="E3560" s="6">
        <v>5</v>
      </c>
      <c r="F3560" s="6">
        <v>1</v>
      </c>
      <c r="G3560" s="6" t="s">
        <v>32</v>
      </c>
      <c r="H3560" s="6" t="s">
        <v>41</v>
      </c>
      <c r="I3560" s="6">
        <f>TabJogos[[#This Row],[PontosTime1]]-TabJogos[[#This Row],[PontosTime2]]</f>
        <v>4</v>
      </c>
    </row>
    <row r="3561" spans="1:9" ht="15" customHeight="1" x14ac:dyDescent="0.25">
      <c r="A3561" s="7">
        <v>3560</v>
      </c>
      <c r="B3561" s="1">
        <v>43607</v>
      </c>
      <c r="C3561" s="6" t="s">
        <v>9</v>
      </c>
      <c r="D3561" s="6" t="s">
        <v>32</v>
      </c>
      <c r="E3561" s="6">
        <v>2</v>
      </c>
      <c r="F3561" s="6">
        <v>3</v>
      </c>
      <c r="G3561" s="6" t="s">
        <v>13</v>
      </c>
      <c r="H3561" s="6" t="s">
        <v>27</v>
      </c>
      <c r="I3561" s="6">
        <f>TabJogos[[#This Row],[PontosTime1]]-TabJogos[[#This Row],[PontosTime2]]</f>
        <v>-1</v>
      </c>
    </row>
    <row r="3562" spans="1:9" ht="15" customHeight="1" x14ac:dyDescent="0.25">
      <c r="A3562" s="7">
        <v>3561</v>
      </c>
      <c r="B3562" s="1">
        <v>43607</v>
      </c>
      <c r="C3562" s="6" t="s">
        <v>13</v>
      </c>
      <c r="D3562" s="6" t="s">
        <v>32</v>
      </c>
      <c r="E3562" s="6">
        <v>1</v>
      </c>
      <c r="F3562" s="6">
        <v>3</v>
      </c>
      <c r="G3562" s="6" t="s">
        <v>41</v>
      </c>
      <c r="H3562" s="6" t="s">
        <v>27</v>
      </c>
      <c r="I3562" s="6">
        <f>TabJogos[[#This Row],[PontosTime1]]-TabJogos[[#This Row],[PontosTime2]]</f>
        <v>-2</v>
      </c>
    </row>
    <row r="3563" spans="1:9" ht="15" customHeight="1" x14ac:dyDescent="0.25">
      <c r="A3563" s="7">
        <v>3562</v>
      </c>
      <c r="B3563" s="1">
        <v>43607</v>
      </c>
      <c r="C3563" s="6" t="s">
        <v>9</v>
      </c>
      <c r="D3563" s="6" t="s">
        <v>41</v>
      </c>
      <c r="E3563" s="6">
        <v>3</v>
      </c>
      <c r="F3563" s="6">
        <v>0</v>
      </c>
      <c r="G3563" s="6" t="s">
        <v>32</v>
      </c>
      <c r="H3563" s="6" t="s">
        <v>27</v>
      </c>
      <c r="I3563" s="6">
        <f>TabJogos[[#This Row],[PontosTime1]]-TabJogos[[#This Row],[PontosTime2]]</f>
        <v>3</v>
      </c>
    </row>
    <row r="3564" spans="1:9" ht="15" customHeight="1" x14ac:dyDescent="0.25">
      <c r="A3564" s="7">
        <v>3563</v>
      </c>
      <c r="B3564" s="1">
        <v>43607</v>
      </c>
      <c r="C3564" s="6" t="s">
        <v>9</v>
      </c>
      <c r="D3564" s="6" t="s">
        <v>32</v>
      </c>
      <c r="E3564" s="6">
        <v>1</v>
      </c>
      <c r="F3564" s="6">
        <v>6</v>
      </c>
      <c r="G3564" s="6" t="s">
        <v>13</v>
      </c>
      <c r="H3564" s="6" t="s">
        <v>41</v>
      </c>
      <c r="I3564" s="6">
        <f>TabJogos[[#This Row],[PontosTime1]]-TabJogos[[#This Row],[PontosTime2]]</f>
        <v>-5</v>
      </c>
    </row>
    <row r="3565" spans="1:9" ht="15" customHeight="1" x14ac:dyDescent="0.25">
      <c r="A3565" s="7">
        <v>3564</v>
      </c>
      <c r="B3565" s="1">
        <v>43608</v>
      </c>
      <c r="C3565" s="6" t="s">
        <v>10</v>
      </c>
      <c r="D3565" s="6" t="s">
        <v>9</v>
      </c>
      <c r="E3565" s="6">
        <v>3</v>
      </c>
      <c r="F3565" s="6">
        <v>2</v>
      </c>
      <c r="G3565" s="6" t="s">
        <v>18</v>
      </c>
      <c r="H3565" s="6" t="s">
        <v>13</v>
      </c>
      <c r="I3565" s="6">
        <f>TabJogos[[#This Row],[PontosTime1]]-TabJogos[[#This Row],[PontosTime2]]</f>
        <v>1</v>
      </c>
    </row>
    <row r="3566" spans="1:9" ht="15" customHeight="1" x14ac:dyDescent="0.25">
      <c r="A3566" s="7">
        <v>3565</v>
      </c>
      <c r="B3566" s="1">
        <v>43608</v>
      </c>
      <c r="C3566" s="6" t="s">
        <v>10</v>
      </c>
      <c r="D3566" s="6" t="s">
        <v>12</v>
      </c>
      <c r="E3566" s="6">
        <v>3</v>
      </c>
      <c r="F3566" s="6">
        <v>1</v>
      </c>
      <c r="G3566" s="6" t="s">
        <v>9</v>
      </c>
      <c r="H3566" s="6" t="s">
        <v>18</v>
      </c>
      <c r="I3566" s="6">
        <f>TabJogos[[#This Row],[PontosTime1]]-TabJogos[[#This Row],[PontosTime2]]</f>
        <v>2</v>
      </c>
    </row>
    <row r="3567" spans="1:9" ht="15" customHeight="1" x14ac:dyDescent="0.25">
      <c r="A3567" s="7">
        <v>3566</v>
      </c>
      <c r="B3567" s="1">
        <v>43608</v>
      </c>
      <c r="C3567" s="6" t="s">
        <v>10</v>
      </c>
      <c r="D3567" s="6" t="s">
        <v>13</v>
      </c>
      <c r="E3567" s="6">
        <v>3</v>
      </c>
      <c r="F3567" s="6">
        <v>2</v>
      </c>
      <c r="G3567" s="6" t="s">
        <v>12</v>
      </c>
      <c r="H3567" s="6" t="s">
        <v>18</v>
      </c>
      <c r="I3567" s="6">
        <f>TabJogos[[#This Row],[PontosTime1]]-TabJogos[[#This Row],[PontosTime2]]</f>
        <v>1</v>
      </c>
    </row>
    <row r="3568" spans="1:9" ht="15" customHeight="1" x14ac:dyDescent="0.25">
      <c r="A3568" s="7">
        <v>3567</v>
      </c>
      <c r="B3568" s="1">
        <v>43608</v>
      </c>
      <c r="C3568" s="6" t="s">
        <v>10</v>
      </c>
      <c r="D3568" s="6" t="s">
        <v>41</v>
      </c>
      <c r="E3568" s="6">
        <v>3</v>
      </c>
      <c r="F3568" s="6">
        <v>1</v>
      </c>
      <c r="G3568" s="6" t="s">
        <v>9</v>
      </c>
      <c r="H3568" s="6" t="s">
        <v>13</v>
      </c>
      <c r="I3568" s="6">
        <f>TabJogos[[#This Row],[PontosTime1]]-TabJogos[[#This Row],[PontosTime2]]</f>
        <v>2</v>
      </c>
    </row>
    <row r="3569" spans="1:9" ht="15" customHeight="1" x14ac:dyDescent="0.25">
      <c r="A3569" s="7">
        <v>3568</v>
      </c>
      <c r="B3569" s="1">
        <v>43608</v>
      </c>
      <c r="C3569" s="6" t="s">
        <v>10</v>
      </c>
      <c r="D3569" s="6" t="s">
        <v>18</v>
      </c>
      <c r="E3569" s="6">
        <v>3</v>
      </c>
      <c r="F3569" s="6">
        <v>0</v>
      </c>
      <c r="G3569" s="6" t="s">
        <v>41</v>
      </c>
      <c r="H3569" s="6" t="s">
        <v>12</v>
      </c>
      <c r="I3569" s="6">
        <f>TabJogos[[#This Row],[PontosTime1]]-TabJogos[[#This Row],[PontosTime2]]</f>
        <v>3</v>
      </c>
    </row>
    <row r="3570" spans="1:9" ht="15" customHeight="1" x14ac:dyDescent="0.25">
      <c r="A3570" s="7">
        <v>3569</v>
      </c>
      <c r="B3570" s="1">
        <v>43608</v>
      </c>
      <c r="C3570" s="6" t="s">
        <v>9</v>
      </c>
      <c r="D3570" s="6" t="s">
        <v>41</v>
      </c>
      <c r="E3570" s="6">
        <v>2</v>
      </c>
      <c r="F3570" s="6">
        <v>3</v>
      </c>
      <c r="G3570" s="6" t="s">
        <v>13</v>
      </c>
      <c r="H3570" s="6" t="s">
        <v>18</v>
      </c>
      <c r="I3570" s="6">
        <f>TabJogos[[#This Row],[PontosTime1]]-TabJogos[[#This Row],[PontosTime2]]</f>
        <v>-1</v>
      </c>
    </row>
    <row r="3571" spans="1:9" ht="15" customHeight="1" x14ac:dyDescent="0.25">
      <c r="A3571" s="7">
        <v>3570</v>
      </c>
      <c r="B3571" s="1">
        <v>43608</v>
      </c>
      <c r="C3571" s="6" t="s">
        <v>9</v>
      </c>
      <c r="D3571" s="6" t="s">
        <v>18</v>
      </c>
      <c r="E3571" s="6">
        <v>1</v>
      </c>
      <c r="F3571" s="6">
        <v>3</v>
      </c>
      <c r="G3571" s="6" t="s">
        <v>13</v>
      </c>
      <c r="H3571" s="6" t="s">
        <v>41</v>
      </c>
      <c r="I3571" s="6">
        <f>TabJogos[[#This Row],[PontosTime1]]-TabJogos[[#This Row],[PontosTime2]]</f>
        <v>-2</v>
      </c>
    </row>
    <row r="3572" spans="1:9" ht="15" customHeight="1" x14ac:dyDescent="0.25">
      <c r="A3572" s="7">
        <v>3571</v>
      </c>
      <c r="B3572" s="1">
        <v>43608</v>
      </c>
      <c r="C3572" s="6" t="s">
        <v>9</v>
      </c>
      <c r="D3572" s="6" t="s">
        <v>13</v>
      </c>
      <c r="E3572" s="6">
        <v>3</v>
      </c>
      <c r="F3572" s="6">
        <v>0</v>
      </c>
      <c r="G3572" s="6" t="s">
        <v>18</v>
      </c>
      <c r="H3572" s="6" t="s">
        <v>41</v>
      </c>
      <c r="I3572" s="6">
        <f>TabJogos[[#This Row],[PontosTime1]]-TabJogos[[#This Row],[PontosTime2]]</f>
        <v>3</v>
      </c>
    </row>
    <row r="3573" spans="1:9" ht="15" customHeight="1" x14ac:dyDescent="0.25">
      <c r="A3573" s="7">
        <v>3572</v>
      </c>
      <c r="B3573" s="1">
        <v>43608</v>
      </c>
      <c r="C3573" s="6" t="s">
        <v>9</v>
      </c>
      <c r="D3573" s="6" t="s">
        <v>32</v>
      </c>
      <c r="E3573" s="6">
        <v>0</v>
      </c>
      <c r="F3573" s="6">
        <v>3</v>
      </c>
      <c r="G3573" s="6" t="s">
        <v>18</v>
      </c>
      <c r="H3573" s="6" t="s">
        <v>13</v>
      </c>
      <c r="I3573" s="6">
        <f>TabJogos[[#This Row],[PontosTime1]]-TabJogos[[#This Row],[PontosTime2]]</f>
        <v>-3</v>
      </c>
    </row>
    <row r="3574" spans="1:9" ht="15" customHeight="1" x14ac:dyDescent="0.25">
      <c r="A3574" s="7">
        <v>3573</v>
      </c>
      <c r="B3574" s="1">
        <v>43608</v>
      </c>
      <c r="C3574" s="6" t="s">
        <v>13</v>
      </c>
      <c r="D3574" s="6" t="s">
        <v>41</v>
      </c>
      <c r="E3574" s="6">
        <v>0</v>
      </c>
      <c r="F3574" s="6">
        <v>3</v>
      </c>
      <c r="G3574" s="6" t="s">
        <v>32</v>
      </c>
      <c r="H3574" s="6" t="s">
        <v>18</v>
      </c>
      <c r="I3574" s="6">
        <f>TabJogos[[#This Row],[PontosTime1]]-TabJogos[[#This Row],[PontosTime2]]</f>
        <v>-3</v>
      </c>
    </row>
    <row r="3575" spans="1:9" ht="15" customHeight="1" x14ac:dyDescent="0.25">
      <c r="A3575" s="7">
        <v>3574</v>
      </c>
      <c r="B3575" s="1">
        <v>43608</v>
      </c>
      <c r="C3575" s="6" t="s">
        <v>41</v>
      </c>
      <c r="D3575" s="6" t="s">
        <v>32</v>
      </c>
      <c r="E3575" s="6">
        <v>3</v>
      </c>
      <c r="F3575" s="6">
        <v>1</v>
      </c>
      <c r="G3575" s="6" t="s">
        <v>18</v>
      </c>
      <c r="H3575" s="6" t="s">
        <v>9</v>
      </c>
      <c r="I3575" s="6">
        <f>TabJogos[[#This Row],[PontosTime1]]-TabJogos[[#This Row],[PontosTime2]]</f>
        <v>2</v>
      </c>
    </row>
    <row r="3576" spans="1:9" ht="15" customHeight="1" x14ac:dyDescent="0.25">
      <c r="A3576" s="7">
        <v>3575</v>
      </c>
      <c r="B3576" s="1">
        <v>43608</v>
      </c>
      <c r="C3576" s="6" t="s">
        <v>27</v>
      </c>
      <c r="D3576" s="6" t="s">
        <v>32</v>
      </c>
      <c r="E3576" s="6">
        <v>4</v>
      </c>
      <c r="F3576" s="6">
        <v>1</v>
      </c>
      <c r="G3576" s="6" t="s">
        <v>13</v>
      </c>
      <c r="H3576" s="6" t="s">
        <v>41</v>
      </c>
      <c r="I3576" s="6">
        <f>TabJogos[[#This Row],[PontosTime1]]-TabJogos[[#This Row],[PontosTime2]]</f>
        <v>3</v>
      </c>
    </row>
    <row r="3577" spans="1:9" ht="15" customHeight="1" x14ac:dyDescent="0.25">
      <c r="A3577" s="7">
        <v>3576</v>
      </c>
      <c r="B3577" s="1">
        <v>43608</v>
      </c>
      <c r="C3577" s="6" t="s">
        <v>32</v>
      </c>
      <c r="D3577" s="6" t="s">
        <v>9</v>
      </c>
      <c r="E3577" s="6">
        <v>3</v>
      </c>
      <c r="F3577" s="6">
        <v>1</v>
      </c>
      <c r="G3577" s="6" t="s">
        <v>27</v>
      </c>
      <c r="H3577" s="6" t="s">
        <v>18</v>
      </c>
      <c r="I3577" s="6">
        <f>TabJogos[[#This Row],[PontosTime1]]-TabJogos[[#This Row],[PontosTime2]]</f>
        <v>2</v>
      </c>
    </row>
    <row r="3578" spans="1:9" ht="15" customHeight="1" x14ac:dyDescent="0.25">
      <c r="A3578" s="7">
        <v>3577</v>
      </c>
      <c r="B3578" s="1">
        <v>43608</v>
      </c>
      <c r="C3578" s="6" t="s">
        <v>27</v>
      </c>
      <c r="D3578" s="6" t="s">
        <v>13</v>
      </c>
      <c r="E3578" s="6">
        <v>1</v>
      </c>
      <c r="F3578" s="6">
        <v>3</v>
      </c>
      <c r="G3578" s="6" t="s">
        <v>18</v>
      </c>
      <c r="H3578" s="6" t="s">
        <v>9</v>
      </c>
      <c r="I3578" s="6">
        <f>TabJogos[[#This Row],[PontosTime1]]-TabJogos[[#This Row],[PontosTime2]]</f>
        <v>-2</v>
      </c>
    </row>
    <row r="3579" spans="1:9" ht="15" customHeight="1" x14ac:dyDescent="0.25">
      <c r="A3579" s="7">
        <v>3578</v>
      </c>
      <c r="B3579" s="1">
        <v>43609</v>
      </c>
      <c r="C3579" s="6" t="s">
        <v>10</v>
      </c>
      <c r="D3579" s="6" t="s">
        <v>12</v>
      </c>
      <c r="E3579" s="6">
        <v>3</v>
      </c>
      <c r="F3579" s="6">
        <v>1</v>
      </c>
      <c r="G3579" s="6" t="s">
        <v>13</v>
      </c>
      <c r="H3579" s="6" t="s">
        <v>18</v>
      </c>
      <c r="I3579" s="6">
        <f>TabJogos[[#This Row],[PontosTime1]]-TabJogos[[#This Row],[PontosTime2]]</f>
        <v>2</v>
      </c>
    </row>
    <row r="3580" spans="1:9" ht="15" customHeight="1" x14ac:dyDescent="0.25">
      <c r="A3580" s="7">
        <v>3579</v>
      </c>
      <c r="B3580" s="1">
        <v>43609</v>
      </c>
      <c r="C3580" s="6" t="s">
        <v>10</v>
      </c>
      <c r="D3580" s="6" t="s">
        <v>13</v>
      </c>
      <c r="E3580" s="6">
        <v>2</v>
      </c>
      <c r="F3580" s="6">
        <v>3</v>
      </c>
      <c r="G3580" s="6" t="s">
        <v>12</v>
      </c>
      <c r="H3580" s="6" t="s">
        <v>18</v>
      </c>
      <c r="I3580" s="6">
        <f>TabJogos[[#This Row],[PontosTime1]]-TabJogos[[#This Row],[PontosTime2]]</f>
        <v>-1</v>
      </c>
    </row>
    <row r="3581" spans="1:9" ht="15" customHeight="1" x14ac:dyDescent="0.25">
      <c r="A3581" s="7">
        <v>3580</v>
      </c>
      <c r="B3581" s="1">
        <v>43609</v>
      </c>
      <c r="C3581" s="6" t="s">
        <v>10</v>
      </c>
      <c r="D3581" s="6" t="s">
        <v>18</v>
      </c>
      <c r="E3581" s="6">
        <v>1</v>
      </c>
      <c r="F3581" s="6">
        <v>3</v>
      </c>
      <c r="G3581" s="6" t="s">
        <v>13</v>
      </c>
      <c r="H3581" s="6" t="s">
        <v>12</v>
      </c>
      <c r="I3581" s="6">
        <f>TabJogos[[#This Row],[PontosTime1]]-TabJogos[[#This Row],[PontosTime2]]</f>
        <v>-2</v>
      </c>
    </row>
    <row r="3582" spans="1:9" ht="15" customHeight="1" x14ac:dyDescent="0.25">
      <c r="A3582" s="7">
        <v>3581</v>
      </c>
      <c r="B3582" s="1">
        <v>43609</v>
      </c>
      <c r="C3582" s="6" t="s">
        <v>10</v>
      </c>
      <c r="D3582" s="6" t="s">
        <v>13</v>
      </c>
      <c r="E3582" s="6">
        <v>3</v>
      </c>
      <c r="F3582" s="6">
        <v>2</v>
      </c>
      <c r="G3582" s="6" t="s">
        <v>12</v>
      </c>
      <c r="H3582" s="6" t="s">
        <v>41</v>
      </c>
      <c r="I3582" s="6">
        <f>TabJogos[[#This Row],[PontosTime1]]-TabJogos[[#This Row],[PontosTime2]]</f>
        <v>1</v>
      </c>
    </row>
    <row r="3583" spans="1:9" ht="15" customHeight="1" x14ac:dyDescent="0.25">
      <c r="A3583" s="7">
        <v>3582</v>
      </c>
      <c r="B3583" s="1">
        <v>43609</v>
      </c>
      <c r="C3583" s="6" t="s">
        <v>10</v>
      </c>
      <c r="D3583" s="6" t="s">
        <v>32</v>
      </c>
      <c r="E3583" s="6">
        <v>3</v>
      </c>
      <c r="F3583" s="6">
        <v>0</v>
      </c>
      <c r="G3583" s="6" t="s">
        <v>18</v>
      </c>
      <c r="H3583" s="6" t="s">
        <v>13</v>
      </c>
      <c r="I3583" s="6">
        <f>TabJogos[[#This Row],[PontosTime1]]-TabJogos[[#This Row],[PontosTime2]]</f>
        <v>3</v>
      </c>
    </row>
    <row r="3584" spans="1:9" ht="15" customHeight="1" x14ac:dyDescent="0.25">
      <c r="A3584" s="7">
        <v>3583</v>
      </c>
      <c r="B3584" s="1">
        <v>43609</v>
      </c>
      <c r="C3584" s="6" t="s">
        <v>10</v>
      </c>
      <c r="D3584" s="6" t="s">
        <v>41</v>
      </c>
      <c r="E3584" s="6">
        <v>1</v>
      </c>
      <c r="F3584" s="6">
        <v>5</v>
      </c>
      <c r="G3584" s="6" t="s">
        <v>12</v>
      </c>
      <c r="H3584" s="6" t="s">
        <v>32</v>
      </c>
      <c r="I3584" s="6">
        <f>TabJogos[[#This Row],[PontosTime1]]-TabJogos[[#This Row],[PontosTime2]]</f>
        <v>-4</v>
      </c>
    </row>
    <row r="3585" spans="1:9" ht="15" customHeight="1" x14ac:dyDescent="0.25">
      <c r="A3585" s="7">
        <v>3584</v>
      </c>
      <c r="B3585" s="1">
        <v>43609</v>
      </c>
      <c r="C3585" s="6" t="s">
        <v>32</v>
      </c>
      <c r="D3585" s="6" t="s">
        <v>18</v>
      </c>
      <c r="E3585" s="6">
        <v>2</v>
      </c>
      <c r="F3585" s="6">
        <v>4</v>
      </c>
      <c r="G3585" s="6" t="s">
        <v>12</v>
      </c>
      <c r="H3585" s="6" t="s">
        <v>13</v>
      </c>
      <c r="I3585" s="6">
        <f>TabJogos[[#This Row],[PontosTime1]]-TabJogos[[#This Row],[PontosTime2]]</f>
        <v>-2</v>
      </c>
    </row>
    <row r="3586" spans="1:9" ht="15" customHeight="1" x14ac:dyDescent="0.25">
      <c r="A3586" s="7">
        <v>3585</v>
      </c>
      <c r="B3586" s="1">
        <v>43609</v>
      </c>
      <c r="C3586" s="6" t="s">
        <v>13</v>
      </c>
      <c r="D3586" s="6" t="s">
        <v>27</v>
      </c>
      <c r="E3586" s="6">
        <v>3</v>
      </c>
      <c r="F3586" s="6">
        <v>2</v>
      </c>
      <c r="G3586" s="6" t="s">
        <v>32</v>
      </c>
      <c r="H3586" s="6" t="s">
        <v>41</v>
      </c>
      <c r="I3586" s="6">
        <f>TabJogos[[#This Row],[PontosTime1]]-TabJogos[[#This Row],[PontosTime2]]</f>
        <v>1</v>
      </c>
    </row>
    <row r="3587" spans="1:9" ht="15" customHeight="1" x14ac:dyDescent="0.25">
      <c r="A3587" s="7">
        <v>3586</v>
      </c>
      <c r="B3587" s="1">
        <v>43609</v>
      </c>
      <c r="C3587" s="6" t="s">
        <v>32</v>
      </c>
      <c r="D3587" s="6" t="s">
        <v>27</v>
      </c>
      <c r="E3587" s="6">
        <v>4</v>
      </c>
      <c r="F3587" s="6">
        <v>1</v>
      </c>
      <c r="G3587" s="6" t="s">
        <v>41</v>
      </c>
      <c r="H3587" s="6" t="s">
        <v>18</v>
      </c>
      <c r="I3587" s="6">
        <f>TabJogos[[#This Row],[PontosTime1]]-TabJogos[[#This Row],[PontosTime2]]</f>
        <v>3</v>
      </c>
    </row>
    <row r="3588" spans="1:9" ht="15" customHeight="1" x14ac:dyDescent="0.25">
      <c r="A3588" s="7">
        <v>3587</v>
      </c>
      <c r="B3588" s="1">
        <v>43609</v>
      </c>
      <c r="C3588" s="6" t="s">
        <v>27</v>
      </c>
      <c r="D3588" s="6" t="s">
        <v>18</v>
      </c>
      <c r="E3588" s="6">
        <v>3</v>
      </c>
      <c r="F3588" s="6">
        <v>0</v>
      </c>
      <c r="G3588" s="6" t="s">
        <v>32</v>
      </c>
      <c r="H3588" s="6" t="s">
        <v>13</v>
      </c>
      <c r="I3588" s="6">
        <f>TabJogos[[#This Row],[PontosTime1]]-TabJogos[[#This Row],[PontosTime2]]</f>
        <v>3</v>
      </c>
    </row>
    <row r="3589" spans="1:9" ht="15" customHeight="1" x14ac:dyDescent="0.25">
      <c r="A3589" s="7">
        <v>3588</v>
      </c>
      <c r="B3589" s="1">
        <v>43609</v>
      </c>
      <c r="C3589" s="6" t="s">
        <v>32</v>
      </c>
      <c r="D3589" s="6" t="s">
        <v>18</v>
      </c>
      <c r="E3589" s="6">
        <v>4</v>
      </c>
      <c r="F3589" s="6">
        <v>1</v>
      </c>
      <c r="G3589" s="6" t="s">
        <v>27</v>
      </c>
      <c r="H3589" s="6" t="s">
        <v>13</v>
      </c>
      <c r="I3589" s="6">
        <f>TabJogos[[#This Row],[PontosTime1]]-TabJogos[[#This Row],[PontosTime2]]</f>
        <v>3</v>
      </c>
    </row>
    <row r="3590" spans="1:9" ht="15" customHeight="1" x14ac:dyDescent="0.25">
      <c r="A3590" s="7">
        <v>3589</v>
      </c>
      <c r="B3590" s="1">
        <v>43612</v>
      </c>
      <c r="C3590" s="6" t="s">
        <v>32</v>
      </c>
      <c r="D3590" s="6" t="s">
        <v>11</v>
      </c>
      <c r="E3590" s="6">
        <v>3</v>
      </c>
      <c r="F3590" s="6">
        <v>2</v>
      </c>
      <c r="G3590" s="6" t="s">
        <v>13</v>
      </c>
      <c r="H3590" s="6" t="s">
        <v>18</v>
      </c>
      <c r="I3590" s="6">
        <f>TabJogos[[#This Row],[PontosTime1]]-TabJogos[[#This Row],[PontosTime2]]</f>
        <v>1</v>
      </c>
    </row>
    <row r="3591" spans="1:9" ht="15" customHeight="1" x14ac:dyDescent="0.25">
      <c r="A3591" s="7">
        <v>3590</v>
      </c>
      <c r="B3591" s="1">
        <v>43612</v>
      </c>
      <c r="C3591" s="6" t="s">
        <v>32</v>
      </c>
      <c r="D3591" s="6" t="s">
        <v>18</v>
      </c>
      <c r="E3591" s="6">
        <v>2</v>
      </c>
      <c r="F3591" s="6">
        <v>3</v>
      </c>
      <c r="G3591" s="6" t="s">
        <v>13</v>
      </c>
      <c r="H3591" s="6" t="s">
        <v>11</v>
      </c>
      <c r="I3591" s="6">
        <f>TabJogos[[#This Row],[PontosTime1]]-TabJogos[[#This Row],[PontosTime2]]</f>
        <v>-1</v>
      </c>
    </row>
    <row r="3592" spans="1:9" ht="15" customHeight="1" x14ac:dyDescent="0.25">
      <c r="A3592" s="7">
        <v>3591</v>
      </c>
      <c r="B3592" s="1">
        <v>43612</v>
      </c>
      <c r="C3592" s="6" t="s">
        <v>13</v>
      </c>
      <c r="D3592" s="6" t="s">
        <v>32</v>
      </c>
      <c r="E3592" s="6">
        <v>3</v>
      </c>
      <c r="F3592" s="6">
        <v>1</v>
      </c>
      <c r="G3592" s="6" t="s">
        <v>11</v>
      </c>
      <c r="H3592" s="6" t="s">
        <v>41</v>
      </c>
      <c r="I3592" s="6">
        <f>TabJogos[[#This Row],[PontosTime1]]-TabJogos[[#This Row],[PontosTime2]]</f>
        <v>2</v>
      </c>
    </row>
    <row r="3593" spans="1:9" ht="15" customHeight="1" x14ac:dyDescent="0.25">
      <c r="A3593" s="7">
        <v>3592</v>
      </c>
      <c r="B3593" s="1">
        <v>43612</v>
      </c>
      <c r="C3593" s="6" t="s">
        <v>41</v>
      </c>
      <c r="D3593" s="6" t="s">
        <v>32</v>
      </c>
      <c r="E3593" s="6">
        <v>3</v>
      </c>
      <c r="F3593" s="6">
        <v>2</v>
      </c>
      <c r="G3593" s="6" t="s">
        <v>18</v>
      </c>
      <c r="H3593" s="6" t="s">
        <v>13</v>
      </c>
      <c r="I3593" s="6">
        <f>TabJogos[[#This Row],[PontosTime1]]-TabJogos[[#This Row],[PontosTime2]]</f>
        <v>1</v>
      </c>
    </row>
    <row r="3594" spans="1:9" ht="15" customHeight="1" x14ac:dyDescent="0.25">
      <c r="A3594" s="7">
        <v>3593</v>
      </c>
      <c r="B3594" s="1">
        <v>43612</v>
      </c>
      <c r="C3594" s="6" t="s">
        <v>32</v>
      </c>
      <c r="D3594" s="6" t="s">
        <v>11</v>
      </c>
      <c r="E3594" s="6">
        <v>3</v>
      </c>
      <c r="F3594" s="6">
        <v>0</v>
      </c>
      <c r="G3594" s="6" t="s">
        <v>41</v>
      </c>
      <c r="H3594" s="6" t="s">
        <v>18</v>
      </c>
      <c r="I3594" s="6">
        <f>TabJogos[[#This Row],[PontosTime1]]-TabJogos[[#This Row],[PontosTime2]]</f>
        <v>3</v>
      </c>
    </row>
    <row r="3595" spans="1:9" ht="15" customHeight="1" x14ac:dyDescent="0.25">
      <c r="A3595" s="7">
        <v>3594</v>
      </c>
      <c r="B3595" s="1">
        <v>43612</v>
      </c>
      <c r="C3595" s="6" t="s">
        <v>32</v>
      </c>
      <c r="D3595" s="6" t="s">
        <v>13</v>
      </c>
      <c r="E3595" s="6">
        <v>3</v>
      </c>
      <c r="F3595" s="6">
        <v>2</v>
      </c>
      <c r="G3595" s="6" t="s">
        <v>11</v>
      </c>
      <c r="H3595" s="6" t="s">
        <v>41</v>
      </c>
      <c r="I3595" s="6">
        <f>TabJogos[[#This Row],[PontosTime1]]-TabJogos[[#This Row],[PontosTime2]]</f>
        <v>1</v>
      </c>
    </row>
    <row r="3596" spans="1:9" ht="15" customHeight="1" x14ac:dyDescent="0.25">
      <c r="A3596" s="7">
        <v>3595</v>
      </c>
      <c r="B3596" s="1">
        <v>43612</v>
      </c>
      <c r="C3596" s="6" t="s">
        <v>32</v>
      </c>
      <c r="D3596" s="6" t="s">
        <v>18</v>
      </c>
      <c r="E3596" s="6">
        <v>4</v>
      </c>
      <c r="F3596" s="6">
        <v>1</v>
      </c>
      <c r="G3596" s="6" t="s">
        <v>27</v>
      </c>
      <c r="H3596" s="6" t="s">
        <v>13</v>
      </c>
      <c r="I3596" s="6">
        <f>TabJogos[[#This Row],[PontosTime1]]-TabJogos[[#This Row],[PontosTime2]]</f>
        <v>3</v>
      </c>
    </row>
    <row r="3597" spans="1:9" ht="15" customHeight="1" x14ac:dyDescent="0.25">
      <c r="A3597" s="7">
        <v>3596</v>
      </c>
      <c r="B3597" s="1">
        <v>43612</v>
      </c>
      <c r="C3597" s="6" t="s">
        <v>32</v>
      </c>
      <c r="D3597" s="6" t="s">
        <v>41</v>
      </c>
      <c r="E3597" s="6">
        <v>3</v>
      </c>
      <c r="F3597" s="6">
        <v>1</v>
      </c>
      <c r="G3597" s="6" t="s">
        <v>18</v>
      </c>
      <c r="H3597" s="6" t="s">
        <v>11</v>
      </c>
      <c r="I3597" s="6">
        <f>TabJogos[[#This Row],[PontosTime1]]-TabJogos[[#This Row],[PontosTime2]]</f>
        <v>2</v>
      </c>
    </row>
    <row r="3598" spans="1:9" ht="15" customHeight="1" x14ac:dyDescent="0.25">
      <c r="A3598" s="7">
        <v>3597</v>
      </c>
      <c r="B3598" s="1">
        <v>43612</v>
      </c>
      <c r="C3598" s="6" t="s">
        <v>27</v>
      </c>
      <c r="D3598" s="6" t="s">
        <v>32</v>
      </c>
      <c r="E3598" s="6">
        <v>3</v>
      </c>
      <c r="F3598" s="6">
        <v>2</v>
      </c>
      <c r="G3598" s="6" t="s">
        <v>13</v>
      </c>
      <c r="H3598" s="6" t="s">
        <v>41</v>
      </c>
      <c r="I3598" s="6">
        <f>TabJogos[[#This Row],[PontosTime1]]-TabJogos[[#This Row],[PontosTime2]]</f>
        <v>1</v>
      </c>
    </row>
    <row r="3599" spans="1:9" ht="15" customHeight="1" x14ac:dyDescent="0.25">
      <c r="A3599" s="7">
        <v>3598</v>
      </c>
      <c r="B3599" s="1">
        <v>43612</v>
      </c>
      <c r="C3599" s="6" t="s">
        <v>11</v>
      </c>
      <c r="D3599" s="6" t="s">
        <v>32</v>
      </c>
      <c r="E3599" s="6">
        <v>0</v>
      </c>
      <c r="F3599" s="6">
        <v>3</v>
      </c>
      <c r="G3599" s="6" t="s">
        <v>27</v>
      </c>
      <c r="H3599" s="6" t="s">
        <v>18</v>
      </c>
      <c r="I3599" s="6">
        <f>TabJogos[[#This Row],[PontosTime1]]-TabJogos[[#This Row],[PontosTime2]]</f>
        <v>-3</v>
      </c>
    </row>
    <row r="3600" spans="1:9" ht="15" customHeight="1" x14ac:dyDescent="0.25">
      <c r="A3600" s="7">
        <v>3599</v>
      </c>
      <c r="B3600" s="1">
        <v>43612</v>
      </c>
      <c r="C3600" s="6" t="s">
        <v>27</v>
      </c>
      <c r="D3600" s="6" t="s">
        <v>11</v>
      </c>
      <c r="E3600" s="6">
        <v>3</v>
      </c>
      <c r="F3600" s="6">
        <v>0</v>
      </c>
      <c r="G3600" s="6" t="s">
        <v>13</v>
      </c>
      <c r="H3600" s="6" t="s">
        <v>18</v>
      </c>
      <c r="I3600" s="6">
        <f>TabJogos[[#This Row],[PontosTime1]]-TabJogos[[#This Row],[PontosTime2]]</f>
        <v>3</v>
      </c>
    </row>
    <row r="3601" spans="1:9" ht="15" customHeight="1" x14ac:dyDescent="0.25">
      <c r="A3601" s="7">
        <v>3600</v>
      </c>
      <c r="B3601" s="1">
        <v>43612</v>
      </c>
      <c r="C3601" s="6" t="s">
        <v>27</v>
      </c>
      <c r="D3601" s="6" t="s">
        <v>13</v>
      </c>
      <c r="E3601" s="6">
        <v>4</v>
      </c>
      <c r="F3601" s="6">
        <v>0</v>
      </c>
      <c r="G3601" s="6" t="s">
        <v>11</v>
      </c>
      <c r="H3601" s="6" t="s">
        <v>18</v>
      </c>
      <c r="I3601" s="6">
        <f>TabJogos[[#This Row],[PontosTime1]]-TabJogos[[#This Row],[PontosTime2]]</f>
        <v>4</v>
      </c>
    </row>
    <row r="3602" spans="1:9" ht="15" customHeight="1" x14ac:dyDescent="0.25">
      <c r="A3602" s="7">
        <v>3601</v>
      </c>
      <c r="B3602" s="1">
        <v>43613</v>
      </c>
      <c r="C3602" s="6" t="s">
        <v>11</v>
      </c>
      <c r="D3602" s="6" t="s">
        <v>13</v>
      </c>
      <c r="E3602" s="6">
        <v>2</v>
      </c>
      <c r="F3602" s="6">
        <v>3</v>
      </c>
      <c r="G3602" s="6" t="s">
        <v>18</v>
      </c>
      <c r="H3602" s="6" t="s">
        <v>12</v>
      </c>
      <c r="I3602" s="6">
        <f>TabJogos[[#This Row],[PontosTime1]]-TabJogos[[#This Row],[PontosTime2]]</f>
        <v>-1</v>
      </c>
    </row>
    <row r="3603" spans="1:9" ht="15" customHeight="1" x14ac:dyDescent="0.25">
      <c r="A3603" s="7">
        <v>3602</v>
      </c>
      <c r="B3603" s="1">
        <v>43613</v>
      </c>
      <c r="C3603" s="6" t="s">
        <v>27</v>
      </c>
      <c r="D3603" s="6" t="s">
        <v>12</v>
      </c>
      <c r="E3603" s="6">
        <v>3</v>
      </c>
      <c r="F3603" s="6">
        <v>0</v>
      </c>
      <c r="G3603" s="6" t="s">
        <v>18</v>
      </c>
      <c r="H3603" s="6" t="s">
        <v>41</v>
      </c>
      <c r="I3603" s="6">
        <f>TabJogos[[#This Row],[PontosTime1]]-TabJogos[[#This Row],[PontosTime2]]</f>
        <v>3</v>
      </c>
    </row>
    <row r="3604" spans="1:9" ht="15" customHeight="1" x14ac:dyDescent="0.25">
      <c r="A3604" s="7">
        <v>3603</v>
      </c>
      <c r="B3604" s="1">
        <v>43613</v>
      </c>
      <c r="C3604" s="6" t="s">
        <v>11</v>
      </c>
      <c r="D3604" s="6" t="s">
        <v>27</v>
      </c>
      <c r="E3604" s="6">
        <v>0</v>
      </c>
      <c r="F3604" s="6">
        <v>3</v>
      </c>
      <c r="G3604" s="6" t="s">
        <v>12</v>
      </c>
      <c r="H3604" s="6" t="s">
        <v>13</v>
      </c>
      <c r="I3604" s="6">
        <f>TabJogos[[#This Row],[PontosTime1]]-TabJogos[[#This Row],[PontosTime2]]</f>
        <v>-3</v>
      </c>
    </row>
    <row r="3605" spans="1:9" ht="15" customHeight="1" x14ac:dyDescent="0.25">
      <c r="A3605" s="7">
        <v>3604</v>
      </c>
      <c r="B3605" s="1">
        <v>43613</v>
      </c>
      <c r="C3605" s="6" t="s">
        <v>12</v>
      </c>
      <c r="D3605" s="6" t="s">
        <v>41</v>
      </c>
      <c r="E3605" s="6">
        <v>3</v>
      </c>
      <c r="F3605" s="6">
        <v>1</v>
      </c>
      <c r="G3605" s="6" t="s">
        <v>13</v>
      </c>
      <c r="H3605" s="6" t="s">
        <v>18</v>
      </c>
      <c r="I3605" s="6">
        <f>TabJogos[[#This Row],[PontosTime1]]-TabJogos[[#This Row],[PontosTime2]]</f>
        <v>2</v>
      </c>
    </row>
    <row r="3606" spans="1:9" ht="15" customHeight="1" x14ac:dyDescent="0.25">
      <c r="A3606" s="7">
        <v>3605</v>
      </c>
      <c r="B3606" s="1">
        <v>43613</v>
      </c>
      <c r="C3606" s="6" t="s">
        <v>11</v>
      </c>
      <c r="D3606" s="6" t="s">
        <v>18</v>
      </c>
      <c r="E3606" s="6">
        <v>4</v>
      </c>
      <c r="F3606" s="6">
        <v>1</v>
      </c>
      <c r="G3606" s="6" t="s">
        <v>27</v>
      </c>
      <c r="H3606" s="6" t="s">
        <v>41</v>
      </c>
      <c r="I3606" s="6">
        <f>TabJogos[[#This Row],[PontosTime1]]-TabJogos[[#This Row],[PontosTime2]]</f>
        <v>3</v>
      </c>
    </row>
    <row r="3607" spans="1:9" ht="15" customHeight="1" x14ac:dyDescent="0.25">
      <c r="A3607" s="7">
        <v>3606</v>
      </c>
      <c r="B3607" s="1">
        <v>43613</v>
      </c>
      <c r="C3607" s="6" t="s">
        <v>13</v>
      </c>
      <c r="D3607" s="6" t="s">
        <v>11</v>
      </c>
      <c r="E3607" s="6">
        <v>0</v>
      </c>
      <c r="F3607" s="6">
        <v>3</v>
      </c>
      <c r="G3607" s="6" t="s">
        <v>17</v>
      </c>
      <c r="H3607" s="6" t="s">
        <v>18</v>
      </c>
      <c r="I3607" s="6">
        <f>TabJogos[[#This Row],[PontosTime1]]-TabJogos[[#This Row],[PontosTime2]]</f>
        <v>-3</v>
      </c>
    </row>
    <row r="3608" spans="1:9" ht="15" customHeight="1" x14ac:dyDescent="0.25">
      <c r="A3608" s="7">
        <v>3607</v>
      </c>
      <c r="B3608" s="1">
        <v>43613</v>
      </c>
      <c r="C3608" s="6" t="s">
        <v>27</v>
      </c>
      <c r="D3608" s="6" t="s">
        <v>18</v>
      </c>
      <c r="E3608" s="6">
        <v>0</v>
      </c>
      <c r="F3608" s="6">
        <v>3</v>
      </c>
      <c r="G3608" s="6" t="s">
        <v>17</v>
      </c>
      <c r="H3608" s="6" t="s">
        <v>41</v>
      </c>
      <c r="I3608" s="6">
        <f>TabJogos[[#This Row],[PontosTime1]]-TabJogos[[#This Row],[PontosTime2]]</f>
        <v>-3</v>
      </c>
    </row>
    <row r="3609" spans="1:9" ht="15" customHeight="1" x14ac:dyDescent="0.25">
      <c r="A3609" s="7">
        <v>3608</v>
      </c>
      <c r="B3609" s="1">
        <v>43613</v>
      </c>
      <c r="C3609" s="6" t="s">
        <v>41</v>
      </c>
      <c r="D3609" s="6" t="s">
        <v>13</v>
      </c>
      <c r="E3609" s="6">
        <v>4</v>
      </c>
      <c r="F3609" s="6">
        <v>0</v>
      </c>
      <c r="G3609" s="6" t="s">
        <v>11</v>
      </c>
      <c r="H3609" s="6" t="s">
        <v>17</v>
      </c>
      <c r="I3609" s="6">
        <f>TabJogos[[#This Row],[PontosTime1]]-TabJogos[[#This Row],[PontosTime2]]</f>
        <v>4</v>
      </c>
    </row>
    <row r="3610" spans="1:9" ht="15" customHeight="1" x14ac:dyDescent="0.25">
      <c r="A3610" s="7">
        <v>3609</v>
      </c>
      <c r="B3610" s="1">
        <v>43613</v>
      </c>
      <c r="C3610" s="6" t="s">
        <v>27</v>
      </c>
      <c r="D3610" s="6" t="s">
        <v>13</v>
      </c>
      <c r="E3610" s="6">
        <v>3</v>
      </c>
      <c r="F3610" s="6">
        <v>0</v>
      </c>
      <c r="G3610" s="6" t="s">
        <v>18</v>
      </c>
      <c r="H3610" s="6" t="s">
        <v>41</v>
      </c>
      <c r="I3610" s="6">
        <f>TabJogos[[#This Row],[PontosTime1]]-TabJogos[[#This Row],[PontosTime2]]</f>
        <v>3</v>
      </c>
    </row>
    <row r="3611" spans="1:9" ht="15" customHeight="1" x14ac:dyDescent="0.25">
      <c r="A3611" s="7">
        <v>3610</v>
      </c>
      <c r="B3611" s="1">
        <v>43613</v>
      </c>
      <c r="C3611" s="6" t="s">
        <v>17</v>
      </c>
      <c r="D3611" s="6" t="s">
        <v>13</v>
      </c>
      <c r="E3611" s="6">
        <v>3</v>
      </c>
      <c r="F3611" s="6">
        <v>0</v>
      </c>
      <c r="G3611" s="6" t="s">
        <v>27</v>
      </c>
      <c r="H3611" s="6" t="s">
        <v>11</v>
      </c>
      <c r="I3611" s="6">
        <f>TabJogos[[#This Row],[PontosTime1]]-TabJogos[[#This Row],[PontosTime2]]</f>
        <v>3</v>
      </c>
    </row>
    <row r="3612" spans="1:9" ht="15" customHeight="1" x14ac:dyDescent="0.25">
      <c r="A3612" s="7">
        <v>3611</v>
      </c>
      <c r="B3612" s="1">
        <v>43613</v>
      </c>
      <c r="C3612" s="6" t="s">
        <v>17</v>
      </c>
      <c r="D3612" s="6" t="s">
        <v>18</v>
      </c>
      <c r="E3612" s="6">
        <v>2</v>
      </c>
      <c r="F3612" s="6">
        <v>3</v>
      </c>
      <c r="G3612" s="6" t="s">
        <v>13</v>
      </c>
      <c r="H3612" s="6" t="s">
        <v>41</v>
      </c>
      <c r="I3612" s="6">
        <f>TabJogos[[#This Row],[PontosTime1]]-TabJogos[[#This Row],[PontosTime2]]</f>
        <v>-1</v>
      </c>
    </row>
    <row r="3613" spans="1:9" ht="15" customHeight="1" x14ac:dyDescent="0.25">
      <c r="A3613" s="7">
        <v>3612</v>
      </c>
      <c r="B3613" s="1">
        <v>43613</v>
      </c>
      <c r="C3613" s="6" t="s">
        <v>27</v>
      </c>
      <c r="D3613" s="6" t="s">
        <v>13</v>
      </c>
      <c r="E3613" s="6">
        <v>1</v>
      </c>
      <c r="F3613" s="6">
        <v>3</v>
      </c>
      <c r="G3613" s="6" t="s">
        <v>41</v>
      </c>
      <c r="H3613" s="6" t="s">
        <v>11</v>
      </c>
      <c r="I3613" s="6">
        <f>TabJogos[[#This Row],[PontosTime1]]-TabJogos[[#This Row],[PontosTime2]]</f>
        <v>-2</v>
      </c>
    </row>
    <row r="3614" spans="1:9" ht="15" customHeight="1" x14ac:dyDescent="0.25">
      <c r="A3614" s="7">
        <v>3613</v>
      </c>
      <c r="B3614" s="1">
        <v>43613</v>
      </c>
      <c r="C3614" s="6" t="s">
        <v>11</v>
      </c>
      <c r="D3614" s="6" t="s">
        <v>17</v>
      </c>
      <c r="E3614" s="6">
        <v>4</v>
      </c>
      <c r="F3614" s="6">
        <v>0</v>
      </c>
      <c r="G3614" s="6" t="s">
        <v>13</v>
      </c>
      <c r="H3614" s="6" t="s">
        <v>18</v>
      </c>
      <c r="I3614" s="6">
        <f>TabJogos[[#This Row],[PontosTime1]]-TabJogos[[#This Row],[PontosTime2]]</f>
        <v>4</v>
      </c>
    </row>
    <row r="3615" spans="1:9" ht="15" customHeight="1" x14ac:dyDescent="0.25">
      <c r="A3615" s="7">
        <v>3614</v>
      </c>
      <c r="B3615" s="1">
        <v>43613</v>
      </c>
      <c r="C3615" s="6" t="s">
        <v>11</v>
      </c>
      <c r="D3615" s="6" t="s">
        <v>18</v>
      </c>
      <c r="E3615" s="6">
        <v>1</v>
      </c>
      <c r="F3615" s="6">
        <v>3</v>
      </c>
      <c r="G3615" s="6" t="s">
        <v>17</v>
      </c>
      <c r="H3615" s="6" t="s">
        <v>13</v>
      </c>
      <c r="I3615" s="6">
        <f>TabJogos[[#This Row],[PontosTime1]]-TabJogos[[#This Row],[PontosTime2]]</f>
        <v>-2</v>
      </c>
    </row>
    <row r="3616" spans="1:9" ht="15" customHeight="1" x14ac:dyDescent="0.25">
      <c r="A3616" s="7">
        <v>3615</v>
      </c>
      <c r="B3616" s="1">
        <v>43613</v>
      </c>
      <c r="C3616" s="6" t="s">
        <v>13</v>
      </c>
      <c r="D3616" s="6" t="s">
        <v>11</v>
      </c>
      <c r="E3616" s="6">
        <v>2</v>
      </c>
      <c r="F3616" s="6">
        <v>3</v>
      </c>
      <c r="G3616" s="6" t="s">
        <v>17</v>
      </c>
      <c r="H3616" s="6" t="s">
        <v>18</v>
      </c>
      <c r="I3616" s="6">
        <f>TabJogos[[#This Row],[PontosTime1]]-TabJogos[[#This Row],[PontosTime2]]</f>
        <v>-1</v>
      </c>
    </row>
    <row r="3617" spans="1:9" ht="15" customHeight="1" x14ac:dyDescent="0.25">
      <c r="A3617" s="7">
        <v>3616</v>
      </c>
      <c r="B3617" s="1">
        <v>43614</v>
      </c>
      <c r="C3617" s="6" t="s">
        <v>12</v>
      </c>
      <c r="D3617" s="6" t="s">
        <v>18</v>
      </c>
      <c r="E3617" s="6">
        <v>3</v>
      </c>
      <c r="F3617" s="6">
        <v>1</v>
      </c>
      <c r="G3617" s="6" t="s">
        <v>17</v>
      </c>
      <c r="H3617" s="6" t="s">
        <v>10</v>
      </c>
      <c r="I3617" s="6">
        <f>TabJogos[[#This Row],[PontosTime1]]-TabJogos[[#This Row],[PontosTime2]]</f>
        <v>2</v>
      </c>
    </row>
    <row r="3618" spans="1:9" ht="15" customHeight="1" x14ac:dyDescent="0.25">
      <c r="A3618" s="7">
        <v>3617</v>
      </c>
      <c r="B3618" s="1">
        <v>43614</v>
      </c>
      <c r="C3618" s="6" t="s">
        <v>12</v>
      </c>
      <c r="D3618" s="6" t="s">
        <v>13</v>
      </c>
      <c r="E3618" s="6">
        <v>3</v>
      </c>
      <c r="F3618" s="6">
        <v>0</v>
      </c>
      <c r="G3618" s="6" t="s">
        <v>17</v>
      </c>
      <c r="H3618" s="6" t="s">
        <v>18</v>
      </c>
      <c r="I3618" s="6">
        <f>TabJogos[[#This Row],[PontosTime1]]-TabJogos[[#This Row],[PontosTime2]]</f>
        <v>3</v>
      </c>
    </row>
    <row r="3619" spans="1:9" ht="15" customHeight="1" x14ac:dyDescent="0.25">
      <c r="A3619" s="7">
        <v>3618</v>
      </c>
      <c r="B3619" s="1">
        <v>43614</v>
      </c>
      <c r="C3619" s="6" t="s">
        <v>13</v>
      </c>
      <c r="D3619" s="6" t="s">
        <v>17</v>
      </c>
      <c r="E3619" s="6">
        <v>0</v>
      </c>
      <c r="F3619" s="6">
        <v>3</v>
      </c>
      <c r="G3619" s="6" t="s">
        <v>10</v>
      </c>
      <c r="H3619" s="6" t="s">
        <v>12</v>
      </c>
      <c r="I3619" s="6">
        <f>TabJogos[[#This Row],[PontosTime1]]-TabJogos[[#This Row],[PontosTime2]]</f>
        <v>-3</v>
      </c>
    </row>
    <row r="3620" spans="1:9" ht="15" customHeight="1" x14ac:dyDescent="0.25">
      <c r="A3620" s="7">
        <v>3619</v>
      </c>
      <c r="B3620" s="1">
        <v>43614</v>
      </c>
      <c r="C3620" s="6" t="s">
        <v>10</v>
      </c>
      <c r="D3620" s="6" t="s">
        <v>13</v>
      </c>
      <c r="E3620" s="6">
        <v>3</v>
      </c>
      <c r="F3620" s="6">
        <v>2</v>
      </c>
      <c r="G3620" s="6" t="s">
        <v>18</v>
      </c>
      <c r="H3620" s="6" t="s">
        <v>12</v>
      </c>
      <c r="I3620" s="6">
        <f>TabJogos[[#This Row],[PontosTime1]]-TabJogos[[#This Row],[PontosTime2]]</f>
        <v>1</v>
      </c>
    </row>
    <row r="3621" spans="1:9" ht="15" customHeight="1" x14ac:dyDescent="0.25">
      <c r="A3621" s="7">
        <v>3620</v>
      </c>
      <c r="B3621" s="1">
        <v>43614</v>
      </c>
      <c r="C3621" s="6" t="s">
        <v>10</v>
      </c>
      <c r="D3621" s="6" t="s">
        <v>32</v>
      </c>
      <c r="E3621" s="6">
        <v>3</v>
      </c>
      <c r="F3621" s="6">
        <v>0</v>
      </c>
      <c r="G3621" s="6" t="s">
        <v>18</v>
      </c>
      <c r="H3621" s="6" t="s">
        <v>13</v>
      </c>
      <c r="I3621" s="6">
        <f>TabJogos[[#This Row],[PontosTime1]]-TabJogos[[#This Row],[PontosTime2]]</f>
        <v>3</v>
      </c>
    </row>
    <row r="3622" spans="1:9" ht="15" customHeight="1" x14ac:dyDescent="0.25">
      <c r="A3622" s="7">
        <v>3621</v>
      </c>
      <c r="B3622" s="1">
        <v>43614</v>
      </c>
      <c r="C3622" s="6" t="s">
        <v>10</v>
      </c>
      <c r="D3622" s="6" t="s">
        <v>18</v>
      </c>
      <c r="E3622" s="6">
        <v>1</v>
      </c>
      <c r="F3622" s="6">
        <v>3</v>
      </c>
      <c r="G3622" s="6" t="s">
        <v>13</v>
      </c>
      <c r="H3622" s="6" t="s">
        <v>32</v>
      </c>
      <c r="I3622" s="6">
        <f>TabJogos[[#This Row],[PontosTime1]]-TabJogos[[#This Row],[PontosTime2]]</f>
        <v>-2</v>
      </c>
    </row>
    <row r="3623" spans="1:9" ht="15" customHeight="1" x14ac:dyDescent="0.25">
      <c r="A3623" s="7">
        <v>3622</v>
      </c>
      <c r="B3623" s="1">
        <v>43614</v>
      </c>
      <c r="C3623" s="6" t="s">
        <v>10</v>
      </c>
      <c r="D3623" s="6" t="s">
        <v>13</v>
      </c>
      <c r="E3623" s="6">
        <v>1</v>
      </c>
      <c r="F3623" s="6">
        <v>4</v>
      </c>
      <c r="G3623" s="6" t="s">
        <v>32</v>
      </c>
      <c r="H3623" s="6" t="s">
        <v>18</v>
      </c>
      <c r="I3623" s="6">
        <f>TabJogos[[#This Row],[PontosTime1]]-TabJogos[[#This Row],[PontosTime2]]</f>
        <v>-3</v>
      </c>
    </row>
    <row r="3624" spans="1:9" ht="15" customHeight="1" x14ac:dyDescent="0.25">
      <c r="A3624" s="7">
        <v>3623</v>
      </c>
      <c r="B3624" s="1">
        <v>43614</v>
      </c>
      <c r="C3624" s="6" t="s">
        <v>10</v>
      </c>
      <c r="D3624" s="6" t="s">
        <v>32</v>
      </c>
      <c r="E3624" s="6">
        <v>3</v>
      </c>
      <c r="F3624" s="6">
        <v>0</v>
      </c>
      <c r="G3624" s="6" t="s">
        <v>13</v>
      </c>
      <c r="H3624" s="6" t="s">
        <v>18</v>
      </c>
      <c r="I3624" s="6">
        <f>TabJogos[[#This Row],[PontosTime1]]-TabJogos[[#This Row],[PontosTime2]]</f>
        <v>3</v>
      </c>
    </row>
    <row r="3625" spans="1:9" ht="15" customHeight="1" x14ac:dyDescent="0.25">
      <c r="A3625" s="7">
        <v>3624</v>
      </c>
      <c r="B3625" s="1">
        <v>43614</v>
      </c>
      <c r="C3625" s="6" t="s">
        <v>10</v>
      </c>
      <c r="D3625" s="6" t="s">
        <v>18</v>
      </c>
      <c r="E3625" s="6">
        <v>2</v>
      </c>
      <c r="F3625" s="6">
        <v>3</v>
      </c>
      <c r="G3625" s="6" t="s">
        <v>13</v>
      </c>
      <c r="H3625" s="6" t="s">
        <v>32</v>
      </c>
      <c r="I3625" s="6">
        <f>TabJogos[[#This Row],[PontosTime1]]-TabJogos[[#This Row],[PontosTime2]]</f>
        <v>-1</v>
      </c>
    </row>
    <row r="3626" spans="1:9" ht="15" customHeight="1" x14ac:dyDescent="0.25">
      <c r="A3626" s="7">
        <v>3625</v>
      </c>
      <c r="B3626" s="1">
        <v>43614</v>
      </c>
      <c r="C3626" s="6" t="s">
        <v>18</v>
      </c>
      <c r="D3626" s="6" t="s">
        <v>32</v>
      </c>
      <c r="E3626" s="6">
        <v>3</v>
      </c>
      <c r="F3626" s="6">
        <v>2</v>
      </c>
      <c r="G3626" s="6" t="s">
        <v>17</v>
      </c>
      <c r="H3626" s="6" t="s">
        <v>13</v>
      </c>
      <c r="I3626" s="6">
        <f>TabJogos[[#This Row],[PontosTime1]]-TabJogos[[#This Row],[PontosTime2]]</f>
        <v>1</v>
      </c>
    </row>
    <row r="3627" spans="1:9" ht="15" customHeight="1" x14ac:dyDescent="0.25">
      <c r="A3627" s="7">
        <v>3626</v>
      </c>
      <c r="B3627" s="1">
        <v>43614</v>
      </c>
      <c r="C3627" s="6" t="s">
        <v>32</v>
      </c>
      <c r="D3627" s="6" t="s">
        <v>17</v>
      </c>
      <c r="E3627" s="6">
        <v>0</v>
      </c>
      <c r="F3627" s="6">
        <v>3</v>
      </c>
      <c r="G3627" s="6" t="s">
        <v>18</v>
      </c>
      <c r="H3627" s="6" t="s">
        <v>27</v>
      </c>
      <c r="I3627" s="6">
        <f>TabJogos[[#This Row],[PontosTime1]]-TabJogos[[#This Row],[PontosTime2]]</f>
        <v>-3</v>
      </c>
    </row>
    <row r="3628" spans="1:9" ht="15" customHeight="1" x14ac:dyDescent="0.25">
      <c r="A3628" s="7">
        <v>3627</v>
      </c>
      <c r="B3628" s="1">
        <v>43614</v>
      </c>
      <c r="C3628" s="6" t="s">
        <v>17</v>
      </c>
      <c r="D3628" s="6" t="s">
        <v>27</v>
      </c>
      <c r="E3628" s="6">
        <v>4</v>
      </c>
      <c r="F3628" s="6">
        <v>2</v>
      </c>
      <c r="G3628" s="6" t="s">
        <v>18</v>
      </c>
      <c r="H3628" s="6" t="s">
        <v>13</v>
      </c>
      <c r="I3628" s="6">
        <f>TabJogos[[#This Row],[PontosTime1]]-TabJogos[[#This Row],[PontosTime2]]</f>
        <v>2</v>
      </c>
    </row>
    <row r="3629" spans="1:9" ht="15" customHeight="1" x14ac:dyDescent="0.25">
      <c r="A3629" s="7">
        <v>3628</v>
      </c>
      <c r="B3629" s="1">
        <v>43614</v>
      </c>
      <c r="C3629" s="6" t="s">
        <v>17</v>
      </c>
      <c r="D3629" s="6" t="s">
        <v>41</v>
      </c>
      <c r="E3629" s="6">
        <v>2</v>
      </c>
      <c r="F3629" s="6">
        <v>3</v>
      </c>
      <c r="G3629" s="6" t="s">
        <v>32</v>
      </c>
      <c r="H3629" s="6" t="s">
        <v>27</v>
      </c>
      <c r="I3629" s="6">
        <f>TabJogos[[#This Row],[PontosTime1]]-TabJogos[[#This Row],[PontosTime2]]</f>
        <v>-1</v>
      </c>
    </row>
    <row r="3630" spans="1:9" ht="15" customHeight="1" x14ac:dyDescent="0.25">
      <c r="A3630" s="7">
        <v>3629</v>
      </c>
      <c r="B3630" s="1">
        <v>43614</v>
      </c>
      <c r="C3630" s="6" t="s">
        <v>13</v>
      </c>
      <c r="D3630" s="6" t="s">
        <v>27</v>
      </c>
      <c r="E3630" s="6">
        <v>3</v>
      </c>
      <c r="F3630" s="6">
        <v>2</v>
      </c>
      <c r="G3630" s="6" t="s">
        <v>17</v>
      </c>
      <c r="H3630" s="6" t="s">
        <v>18</v>
      </c>
      <c r="I3630" s="6">
        <f>TabJogos[[#This Row],[PontosTime1]]-TabJogos[[#This Row],[PontosTime2]]</f>
        <v>1</v>
      </c>
    </row>
    <row r="3631" spans="1:9" ht="15" customHeight="1" x14ac:dyDescent="0.25">
      <c r="A3631" s="7">
        <v>3630</v>
      </c>
      <c r="B3631" s="1">
        <v>43614</v>
      </c>
      <c r="C3631" s="6" t="s">
        <v>18</v>
      </c>
      <c r="D3631" s="6" t="s">
        <v>27</v>
      </c>
      <c r="E3631" s="6">
        <v>4</v>
      </c>
      <c r="F3631" s="6">
        <v>1</v>
      </c>
      <c r="G3631" s="6" t="s">
        <v>17</v>
      </c>
      <c r="H3631" s="6" t="s">
        <v>13</v>
      </c>
      <c r="I3631" s="6">
        <f>TabJogos[[#This Row],[PontosTime1]]-TabJogos[[#This Row],[PontosTime2]]</f>
        <v>3</v>
      </c>
    </row>
    <row r="3632" spans="1:9" ht="15" customHeight="1" x14ac:dyDescent="0.25">
      <c r="A3632" s="7">
        <v>3631</v>
      </c>
      <c r="B3632" s="1">
        <v>43614</v>
      </c>
      <c r="C3632" s="6" t="s">
        <v>27</v>
      </c>
      <c r="D3632" s="6" t="s">
        <v>17</v>
      </c>
      <c r="E3632" s="6">
        <v>3</v>
      </c>
      <c r="F3632" s="6">
        <v>0</v>
      </c>
      <c r="G3632" s="6" t="s">
        <v>13</v>
      </c>
      <c r="H3632" s="6" t="s">
        <v>18</v>
      </c>
      <c r="I3632" s="6">
        <f>TabJogos[[#This Row],[PontosTime1]]-TabJogos[[#This Row],[PontosTime2]]</f>
        <v>3</v>
      </c>
    </row>
    <row r="3633" spans="1:9" ht="15" customHeight="1" x14ac:dyDescent="0.25">
      <c r="A3633" s="7">
        <v>3632</v>
      </c>
      <c r="B3633" s="1">
        <v>43615</v>
      </c>
      <c r="C3633" s="6" t="s">
        <v>10</v>
      </c>
      <c r="D3633" s="6" t="s">
        <v>17</v>
      </c>
      <c r="E3633" s="6">
        <v>3</v>
      </c>
      <c r="F3633" s="6">
        <v>2</v>
      </c>
      <c r="G3633" s="6" t="s">
        <v>13</v>
      </c>
      <c r="H3633" s="6" t="s">
        <v>11</v>
      </c>
      <c r="I3633" s="6">
        <f>TabJogos[[#This Row],[PontosTime1]]-TabJogos[[#This Row],[PontosTime2]]</f>
        <v>1</v>
      </c>
    </row>
    <row r="3634" spans="1:9" ht="15" customHeight="1" x14ac:dyDescent="0.25">
      <c r="A3634" s="7">
        <v>3633</v>
      </c>
      <c r="B3634" s="1">
        <v>43615</v>
      </c>
      <c r="C3634" s="6" t="s">
        <v>10</v>
      </c>
      <c r="D3634" s="6" t="s">
        <v>11</v>
      </c>
      <c r="E3634" s="6">
        <v>4</v>
      </c>
      <c r="F3634" s="6">
        <v>0</v>
      </c>
      <c r="G3634" s="6" t="s">
        <v>13</v>
      </c>
      <c r="H3634" s="6" t="s">
        <v>17</v>
      </c>
      <c r="I3634" s="6">
        <f>TabJogos[[#This Row],[PontosTime1]]-TabJogos[[#This Row],[PontosTime2]]</f>
        <v>4</v>
      </c>
    </row>
    <row r="3635" spans="1:9" ht="15" customHeight="1" x14ac:dyDescent="0.25">
      <c r="A3635" s="7">
        <v>3634</v>
      </c>
      <c r="B3635" s="1">
        <v>43615</v>
      </c>
      <c r="C3635" s="6" t="s">
        <v>10</v>
      </c>
      <c r="D3635" s="6" t="s">
        <v>13</v>
      </c>
      <c r="E3635" s="6">
        <v>0</v>
      </c>
      <c r="F3635" s="6">
        <v>3</v>
      </c>
      <c r="G3635" s="6" t="s">
        <v>11</v>
      </c>
      <c r="H3635" s="6" t="s">
        <v>17</v>
      </c>
      <c r="I3635" s="6">
        <f>TabJogos[[#This Row],[PontosTime1]]-TabJogos[[#This Row],[PontosTime2]]</f>
        <v>-3</v>
      </c>
    </row>
    <row r="3636" spans="1:9" ht="15" customHeight="1" x14ac:dyDescent="0.25">
      <c r="A3636" s="7">
        <v>3635</v>
      </c>
      <c r="B3636" s="1">
        <v>43615</v>
      </c>
      <c r="C3636" s="6" t="s">
        <v>11</v>
      </c>
      <c r="D3636" s="6" t="s">
        <v>13</v>
      </c>
      <c r="E3636" s="6">
        <v>3</v>
      </c>
      <c r="F3636" s="6">
        <v>2</v>
      </c>
      <c r="G3636" s="6" t="s">
        <v>10</v>
      </c>
      <c r="H3636" s="6" t="s">
        <v>17</v>
      </c>
      <c r="I3636" s="6">
        <f>TabJogos[[#This Row],[PontosTime1]]-TabJogos[[#This Row],[PontosTime2]]</f>
        <v>1</v>
      </c>
    </row>
    <row r="3637" spans="1:9" ht="15" customHeight="1" x14ac:dyDescent="0.25">
      <c r="A3637" s="7">
        <v>3636</v>
      </c>
      <c r="B3637" s="1">
        <v>43615</v>
      </c>
      <c r="C3637" s="6" t="s">
        <v>17</v>
      </c>
      <c r="D3637" s="6" t="s">
        <v>13</v>
      </c>
      <c r="E3637" s="6">
        <v>3</v>
      </c>
      <c r="F3637" s="6">
        <v>2</v>
      </c>
      <c r="G3637" s="6" t="s">
        <v>11</v>
      </c>
      <c r="H3637" s="6" t="s">
        <v>10</v>
      </c>
      <c r="I3637" s="6">
        <f>TabJogos[[#This Row],[PontosTime1]]-TabJogos[[#This Row],[PontosTime2]]</f>
        <v>1</v>
      </c>
    </row>
    <row r="3638" spans="1:9" ht="15" customHeight="1" x14ac:dyDescent="0.25">
      <c r="A3638" s="7">
        <v>3637</v>
      </c>
      <c r="B3638" s="1">
        <v>43615</v>
      </c>
      <c r="C3638" s="6" t="s">
        <v>13</v>
      </c>
      <c r="D3638" s="6" t="s">
        <v>32</v>
      </c>
      <c r="E3638" s="6">
        <v>3</v>
      </c>
      <c r="F3638" s="6">
        <v>0</v>
      </c>
      <c r="G3638" s="6" t="s">
        <v>17</v>
      </c>
      <c r="H3638" s="6" t="s">
        <v>11</v>
      </c>
      <c r="I3638" s="6">
        <f>TabJogos[[#This Row],[PontosTime1]]-TabJogos[[#This Row],[PontosTime2]]</f>
        <v>3</v>
      </c>
    </row>
    <row r="3639" spans="1:9" ht="15" customHeight="1" x14ac:dyDescent="0.25">
      <c r="A3639" s="7">
        <v>3638</v>
      </c>
      <c r="B3639" s="1">
        <v>43615</v>
      </c>
      <c r="C3639" s="6" t="s">
        <v>11</v>
      </c>
      <c r="D3639" s="6" t="s">
        <v>32</v>
      </c>
      <c r="E3639" s="6">
        <v>3</v>
      </c>
      <c r="F3639" s="6">
        <v>2</v>
      </c>
      <c r="G3639" s="6" t="s">
        <v>10</v>
      </c>
      <c r="H3639" s="6" t="s">
        <v>13</v>
      </c>
      <c r="I3639" s="6">
        <f>TabJogos[[#This Row],[PontosTime1]]-TabJogos[[#This Row],[PontosTime2]]</f>
        <v>1</v>
      </c>
    </row>
    <row r="3640" spans="1:9" ht="15" customHeight="1" x14ac:dyDescent="0.25">
      <c r="A3640" s="7">
        <v>3639</v>
      </c>
      <c r="B3640" s="1">
        <v>43615</v>
      </c>
      <c r="C3640" s="6" t="s">
        <v>32</v>
      </c>
      <c r="D3640" s="6" t="s">
        <v>10</v>
      </c>
      <c r="E3640" s="6">
        <v>1</v>
      </c>
      <c r="F3640" s="6">
        <v>3</v>
      </c>
      <c r="G3640" s="6" t="s">
        <v>13</v>
      </c>
      <c r="H3640" s="6" t="s">
        <v>11</v>
      </c>
      <c r="I3640" s="6">
        <f>TabJogos[[#This Row],[PontosTime1]]-TabJogos[[#This Row],[PontosTime2]]</f>
        <v>-2</v>
      </c>
    </row>
    <row r="3641" spans="1:9" ht="15" customHeight="1" x14ac:dyDescent="0.25">
      <c r="A3641" s="7">
        <v>3640</v>
      </c>
      <c r="B3641" s="1">
        <v>43615</v>
      </c>
      <c r="C3641" s="6" t="s">
        <v>32</v>
      </c>
      <c r="D3641" s="6" t="s">
        <v>13</v>
      </c>
      <c r="E3641" s="6">
        <v>3</v>
      </c>
      <c r="F3641" s="6">
        <v>0</v>
      </c>
      <c r="G3641" s="6" t="s">
        <v>11</v>
      </c>
      <c r="H3641" s="6" t="s">
        <v>41</v>
      </c>
      <c r="I3641" s="6">
        <f>TabJogos[[#This Row],[PontosTime1]]-TabJogos[[#This Row],[PontosTime2]]</f>
        <v>3</v>
      </c>
    </row>
    <row r="3642" spans="1:9" ht="15" customHeight="1" x14ac:dyDescent="0.25">
      <c r="A3642" s="7">
        <v>3641</v>
      </c>
      <c r="B3642" s="1">
        <v>43615</v>
      </c>
      <c r="C3642" s="6" t="s">
        <v>11</v>
      </c>
      <c r="D3642" s="6" t="s">
        <v>32</v>
      </c>
      <c r="E3642" s="6">
        <v>0</v>
      </c>
      <c r="F3642" s="6">
        <v>3</v>
      </c>
      <c r="G3642" s="6" t="s">
        <v>41</v>
      </c>
      <c r="H3642" s="6" t="s">
        <v>13</v>
      </c>
      <c r="I3642" s="6">
        <f>TabJogos[[#This Row],[PontosTime1]]-TabJogos[[#This Row],[PontosTime2]]</f>
        <v>-3</v>
      </c>
    </row>
    <row r="3643" spans="1:9" ht="15" customHeight="1" x14ac:dyDescent="0.25">
      <c r="A3643" s="7">
        <v>3642</v>
      </c>
      <c r="B3643" s="1">
        <v>43615</v>
      </c>
      <c r="C3643" s="6" t="s">
        <v>41</v>
      </c>
      <c r="D3643" s="6" t="s">
        <v>32</v>
      </c>
      <c r="E3643" s="6">
        <v>2</v>
      </c>
      <c r="F3643" s="6">
        <v>3</v>
      </c>
      <c r="G3643" s="6" t="s">
        <v>11</v>
      </c>
      <c r="H3643" s="6" t="s">
        <v>13</v>
      </c>
      <c r="I3643" s="6">
        <f>TabJogos[[#This Row],[PontosTime1]]-TabJogos[[#This Row],[PontosTime2]]</f>
        <v>-1</v>
      </c>
    </row>
    <row r="3644" spans="1:9" ht="15" customHeight="1" x14ac:dyDescent="0.25">
      <c r="A3644" s="7">
        <v>3643</v>
      </c>
      <c r="B3644" s="1">
        <v>43615</v>
      </c>
      <c r="C3644" s="6" t="s">
        <v>11</v>
      </c>
      <c r="D3644" s="6" t="s">
        <v>41</v>
      </c>
      <c r="E3644" s="6">
        <v>3</v>
      </c>
      <c r="F3644" s="6">
        <v>2</v>
      </c>
      <c r="G3644" s="6" t="s">
        <v>13</v>
      </c>
      <c r="H3644" s="6" t="s">
        <v>18</v>
      </c>
      <c r="I3644" s="6">
        <f>TabJogos[[#This Row],[PontosTime1]]-TabJogos[[#This Row],[PontosTime2]]</f>
        <v>1</v>
      </c>
    </row>
    <row r="3645" spans="1:9" ht="15" customHeight="1" x14ac:dyDescent="0.25">
      <c r="A3645" s="7">
        <v>3644</v>
      </c>
      <c r="B3645" s="1">
        <v>43615</v>
      </c>
      <c r="C3645" s="6" t="s">
        <v>11</v>
      </c>
      <c r="D3645" s="6" t="s">
        <v>18</v>
      </c>
      <c r="E3645" s="6">
        <v>2</v>
      </c>
      <c r="F3645" s="6">
        <v>3</v>
      </c>
      <c r="G3645" s="6" t="s">
        <v>13</v>
      </c>
      <c r="H3645" s="6" t="s">
        <v>41</v>
      </c>
      <c r="I3645" s="6">
        <f>TabJogos[[#This Row],[PontosTime1]]-TabJogos[[#This Row],[PontosTime2]]</f>
        <v>-1</v>
      </c>
    </row>
    <row r="3646" spans="1:9" ht="15" customHeight="1" x14ac:dyDescent="0.25">
      <c r="A3646" s="7">
        <v>3645</v>
      </c>
      <c r="B3646" s="1">
        <v>43615</v>
      </c>
      <c r="C3646" s="6" t="s">
        <v>11</v>
      </c>
      <c r="D3646" s="6" t="s">
        <v>13</v>
      </c>
      <c r="E3646" s="6">
        <v>3</v>
      </c>
      <c r="F3646" s="6">
        <v>1</v>
      </c>
      <c r="G3646" s="6" t="s">
        <v>41</v>
      </c>
      <c r="H3646" s="6" t="s">
        <v>18</v>
      </c>
      <c r="I3646" s="6">
        <f>TabJogos[[#This Row],[PontosTime1]]-TabJogos[[#This Row],[PontosTime2]]</f>
        <v>2</v>
      </c>
    </row>
    <row r="3647" spans="1:9" ht="15" customHeight="1" x14ac:dyDescent="0.25">
      <c r="A3647" s="7">
        <v>3646</v>
      </c>
      <c r="B3647" s="1">
        <v>43616</v>
      </c>
      <c r="C3647" s="6" t="s">
        <v>13</v>
      </c>
      <c r="D3647" s="6" t="s">
        <v>18</v>
      </c>
      <c r="E3647" s="6">
        <v>3</v>
      </c>
      <c r="F3647" s="6">
        <v>0</v>
      </c>
      <c r="G3647" s="6" t="s">
        <v>11</v>
      </c>
      <c r="H3647" s="6" t="s">
        <v>12</v>
      </c>
      <c r="I3647" s="6">
        <f>TabJogos[[#This Row],[PontosTime1]]-TabJogos[[#This Row],[PontosTime2]]</f>
        <v>3</v>
      </c>
    </row>
    <row r="3648" spans="1:9" ht="15" customHeight="1" x14ac:dyDescent="0.25">
      <c r="A3648" s="7">
        <v>3647</v>
      </c>
      <c r="B3648" s="1">
        <v>43616</v>
      </c>
      <c r="C3648" s="6" t="s">
        <v>11</v>
      </c>
      <c r="D3648" s="6" t="s">
        <v>13</v>
      </c>
      <c r="E3648" s="6">
        <v>1</v>
      </c>
      <c r="F3648" s="6">
        <v>6</v>
      </c>
      <c r="G3648" s="6" t="s">
        <v>10</v>
      </c>
      <c r="H3648" s="6" t="s">
        <v>18</v>
      </c>
      <c r="I3648" s="6">
        <f>TabJogos[[#This Row],[PontosTime1]]-TabJogos[[#This Row],[PontosTime2]]</f>
        <v>-5</v>
      </c>
    </row>
    <row r="3649" spans="1:9" ht="15" customHeight="1" x14ac:dyDescent="0.25">
      <c r="A3649" s="7">
        <v>3648</v>
      </c>
      <c r="B3649" s="1">
        <v>43616</v>
      </c>
      <c r="C3649" s="6" t="s">
        <v>10</v>
      </c>
      <c r="D3649" s="6" t="s">
        <v>13</v>
      </c>
      <c r="E3649" s="6">
        <v>3</v>
      </c>
      <c r="F3649" s="6">
        <v>2</v>
      </c>
      <c r="G3649" s="6" t="s">
        <v>18</v>
      </c>
      <c r="H3649" s="6" t="s">
        <v>9</v>
      </c>
      <c r="I3649" s="6">
        <f>TabJogos[[#This Row],[PontosTime1]]-TabJogos[[#This Row],[PontosTime2]]</f>
        <v>1</v>
      </c>
    </row>
    <row r="3650" spans="1:9" ht="15" customHeight="1" x14ac:dyDescent="0.25">
      <c r="A3650" s="7">
        <v>3649</v>
      </c>
      <c r="B3650" s="1">
        <v>43616</v>
      </c>
      <c r="C3650" s="6" t="s">
        <v>9</v>
      </c>
      <c r="D3650" s="6" t="s">
        <v>13</v>
      </c>
      <c r="E3650" s="6">
        <v>3</v>
      </c>
      <c r="F3650" s="6">
        <v>0</v>
      </c>
      <c r="G3650" s="6" t="s">
        <v>10</v>
      </c>
      <c r="H3650" s="6" t="s">
        <v>11</v>
      </c>
      <c r="I3650" s="6">
        <f>TabJogos[[#This Row],[PontosTime1]]-TabJogos[[#This Row],[PontosTime2]]</f>
        <v>3</v>
      </c>
    </row>
    <row r="3651" spans="1:9" ht="15" customHeight="1" x14ac:dyDescent="0.25">
      <c r="A3651" s="7">
        <v>3650</v>
      </c>
      <c r="B3651" s="1">
        <v>43616</v>
      </c>
      <c r="C3651" s="6" t="s">
        <v>9</v>
      </c>
      <c r="D3651" s="6" t="s">
        <v>11</v>
      </c>
      <c r="E3651" s="6">
        <v>5</v>
      </c>
      <c r="F3651" s="6">
        <v>1</v>
      </c>
      <c r="G3651" s="6" t="s">
        <v>13</v>
      </c>
      <c r="H3651" s="6" t="s">
        <v>18</v>
      </c>
      <c r="I3651" s="6">
        <f>TabJogos[[#This Row],[PontosTime1]]-TabJogos[[#This Row],[PontosTime2]]</f>
        <v>4</v>
      </c>
    </row>
    <row r="3652" spans="1:9" ht="15" customHeight="1" x14ac:dyDescent="0.25">
      <c r="A3652" s="7">
        <v>3651</v>
      </c>
      <c r="B3652" s="1">
        <v>43616</v>
      </c>
      <c r="C3652" s="6" t="s">
        <v>11</v>
      </c>
      <c r="D3652" s="6" t="s">
        <v>18</v>
      </c>
      <c r="E3652" s="6">
        <v>4</v>
      </c>
      <c r="F3652" s="6">
        <v>0</v>
      </c>
      <c r="G3652" s="6" t="s">
        <v>9</v>
      </c>
      <c r="H3652" s="6" t="s">
        <v>13</v>
      </c>
      <c r="I3652" s="6">
        <f>TabJogos[[#This Row],[PontosTime1]]-TabJogos[[#This Row],[PontosTime2]]</f>
        <v>4</v>
      </c>
    </row>
    <row r="3653" spans="1:9" ht="15" customHeight="1" x14ac:dyDescent="0.25">
      <c r="A3653" s="7">
        <v>3652</v>
      </c>
      <c r="B3653" s="1">
        <v>43616</v>
      </c>
      <c r="C3653" s="6" t="s">
        <v>11</v>
      </c>
      <c r="D3653" s="6" t="s">
        <v>13</v>
      </c>
      <c r="E3653" s="6">
        <v>1</v>
      </c>
      <c r="F3653" s="6">
        <v>3</v>
      </c>
      <c r="G3653" s="6" t="s">
        <v>18</v>
      </c>
      <c r="H3653" s="6" t="s">
        <v>9</v>
      </c>
      <c r="I3653" s="6">
        <f>TabJogos[[#This Row],[PontosTime1]]-TabJogos[[#This Row],[PontosTime2]]</f>
        <v>-2</v>
      </c>
    </row>
    <row r="3654" spans="1:9" ht="15" customHeight="1" x14ac:dyDescent="0.25">
      <c r="A3654" s="7">
        <v>3653</v>
      </c>
      <c r="B3654" s="1">
        <v>43616</v>
      </c>
      <c r="C3654" s="6" t="s">
        <v>9</v>
      </c>
      <c r="D3654" s="6" t="s">
        <v>11</v>
      </c>
      <c r="E3654" s="6">
        <v>3</v>
      </c>
      <c r="F3654" s="6">
        <v>1</v>
      </c>
      <c r="G3654" s="6" t="s">
        <v>13</v>
      </c>
      <c r="H3654" s="6" t="s">
        <v>18</v>
      </c>
      <c r="I3654" s="6">
        <f>TabJogos[[#This Row],[PontosTime1]]-TabJogos[[#This Row],[PontosTime2]]</f>
        <v>2</v>
      </c>
    </row>
    <row r="3655" spans="1:9" ht="15" customHeight="1" x14ac:dyDescent="0.25">
      <c r="A3655" s="7">
        <v>3654</v>
      </c>
      <c r="B3655" s="1">
        <v>43616</v>
      </c>
      <c r="C3655" s="6" t="s">
        <v>9</v>
      </c>
      <c r="D3655" s="6" t="s">
        <v>61</v>
      </c>
      <c r="E3655" s="6">
        <v>3</v>
      </c>
      <c r="F3655" s="6">
        <v>2</v>
      </c>
      <c r="G3655" s="6" t="s">
        <v>11</v>
      </c>
      <c r="H3655" s="6" t="s">
        <v>41</v>
      </c>
      <c r="I3655" s="6">
        <f>TabJogos[[#This Row],[PontosTime1]]-TabJogos[[#This Row],[PontosTime2]]</f>
        <v>1</v>
      </c>
    </row>
    <row r="3656" spans="1:9" ht="15" customHeight="1" x14ac:dyDescent="0.25">
      <c r="A3656" s="7">
        <v>3655</v>
      </c>
      <c r="B3656" s="1">
        <v>43616</v>
      </c>
      <c r="C3656" s="6" t="s">
        <v>61</v>
      </c>
      <c r="D3656" s="6" t="s">
        <v>18</v>
      </c>
      <c r="E3656" s="6">
        <v>1</v>
      </c>
      <c r="F3656" s="6">
        <v>3</v>
      </c>
      <c r="G3656" s="6" t="s">
        <v>17</v>
      </c>
      <c r="H3656" s="6" t="s">
        <v>9</v>
      </c>
      <c r="I3656" s="6">
        <f>TabJogos[[#This Row],[PontosTime1]]-TabJogos[[#This Row],[PontosTime2]]</f>
        <v>-2</v>
      </c>
    </row>
    <row r="3657" spans="1:9" ht="15" customHeight="1" x14ac:dyDescent="0.25">
      <c r="A3657" s="7">
        <v>3656</v>
      </c>
      <c r="B3657" s="1">
        <v>43616</v>
      </c>
      <c r="C3657" s="6" t="s">
        <v>11</v>
      </c>
      <c r="D3657" s="6" t="s">
        <v>17</v>
      </c>
      <c r="E3657" s="6">
        <v>3</v>
      </c>
      <c r="F3657" s="6">
        <v>0</v>
      </c>
      <c r="G3657" s="6" t="s">
        <v>9</v>
      </c>
      <c r="H3657" s="6" t="s">
        <v>13</v>
      </c>
      <c r="I3657" s="6">
        <f>TabJogos[[#This Row],[PontosTime1]]-TabJogos[[#This Row],[PontosTime2]]</f>
        <v>3</v>
      </c>
    </row>
    <row r="3658" spans="1:9" ht="15" customHeight="1" x14ac:dyDescent="0.25">
      <c r="A3658" s="7">
        <v>3657</v>
      </c>
      <c r="B3658" s="1">
        <v>43616</v>
      </c>
      <c r="C3658" s="6" t="s">
        <v>41</v>
      </c>
      <c r="D3658" s="6" t="s">
        <v>17</v>
      </c>
      <c r="E3658" s="6">
        <v>3</v>
      </c>
      <c r="F3658" s="6">
        <v>2</v>
      </c>
      <c r="G3658" s="6" t="s">
        <v>61</v>
      </c>
      <c r="H3658" s="6" t="s">
        <v>11</v>
      </c>
      <c r="I3658" s="6">
        <f>TabJogos[[#This Row],[PontosTime1]]-TabJogos[[#This Row],[PontosTime2]]</f>
        <v>1</v>
      </c>
    </row>
    <row r="3659" spans="1:9" ht="15" customHeight="1" x14ac:dyDescent="0.25">
      <c r="A3659" s="7">
        <v>3658</v>
      </c>
      <c r="B3659" s="1">
        <v>43616</v>
      </c>
      <c r="C3659" s="6" t="s">
        <v>9</v>
      </c>
      <c r="D3659" s="6" t="s">
        <v>11</v>
      </c>
      <c r="E3659" s="6">
        <v>4</v>
      </c>
      <c r="F3659" s="6">
        <v>0</v>
      </c>
      <c r="G3659" s="6" t="s">
        <v>13</v>
      </c>
      <c r="H3659" s="6" t="s">
        <v>17</v>
      </c>
      <c r="I3659" s="6">
        <f>TabJogos[[#This Row],[PontosTime1]]-TabJogos[[#This Row],[PontosTime2]]</f>
        <v>4</v>
      </c>
    </row>
    <row r="3660" spans="1:9" ht="15" customHeight="1" x14ac:dyDescent="0.25">
      <c r="A3660" s="7">
        <v>3659</v>
      </c>
      <c r="B3660" s="1">
        <v>43616</v>
      </c>
      <c r="C3660" s="6" t="s">
        <v>11</v>
      </c>
      <c r="D3660" s="6" t="s">
        <v>13</v>
      </c>
      <c r="E3660" s="6">
        <v>4</v>
      </c>
      <c r="F3660" s="6">
        <v>2</v>
      </c>
      <c r="G3660" s="6" t="s">
        <v>9</v>
      </c>
      <c r="H3660" s="6" t="s">
        <v>17</v>
      </c>
      <c r="I3660" s="6">
        <f>TabJogos[[#This Row],[PontosTime1]]-TabJogos[[#This Row],[PontosTime2]]</f>
        <v>2</v>
      </c>
    </row>
    <row r="3661" spans="1:9" ht="15" customHeight="1" x14ac:dyDescent="0.25">
      <c r="A3661" s="7">
        <v>3660</v>
      </c>
      <c r="B3661" s="1">
        <v>43616</v>
      </c>
      <c r="C3661" s="6" t="s">
        <v>11</v>
      </c>
      <c r="D3661" s="6" t="s">
        <v>17</v>
      </c>
      <c r="E3661" s="6">
        <v>3</v>
      </c>
      <c r="F3661" s="6">
        <v>0</v>
      </c>
      <c r="G3661" s="6" t="s">
        <v>9</v>
      </c>
      <c r="H3661" s="6" t="s">
        <v>13</v>
      </c>
      <c r="I3661" s="6">
        <f>TabJogos[[#This Row],[PontosTime1]]-TabJogos[[#This Row],[PontosTime2]]</f>
        <v>3</v>
      </c>
    </row>
    <row r="3662" spans="1:9" ht="15" customHeight="1" x14ac:dyDescent="0.25">
      <c r="A3662" s="7">
        <v>3661</v>
      </c>
      <c r="B3662" s="1">
        <v>43616</v>
      </c>
      <c r="C3662" s="6" t="s">
        <v>11</v>
      </c>
      <c r="D3662" s="6" t="s">
        <v>9</v>
      </c>
      <c r="E3662" s="6">
        <v>3</v>
      </c>
      <c r="F3662" s="6">
        <v>2</v>
      </c>
      <c r="G3662" s="6" t="s">
        <v>13</v>
      </c>
      <c r="H3662" s="6" t="s">
        <v>17</v>
      </c>
      <c r="I3662" s="6">
        <f>TabJogos[[#This Row],[PontosTime1]]-TabJogos[[#This Row],[PontosTime2]]</f>
        <v>1</v>
      </c>
    </row>
    <row r="3663" spans="1:9" ht="15" customHeight="1" x14ac:dyDescent="0.25">
      <c r="A3663" s="7">
        <v>3662</v>
      </c>
      <c r="B3663" s="1">
        <v>43619</v>
      </c>
      <c r="C3663" s="6" t="s">
        <v>18</v>
      </c>
      <c r="D3663" s="6" t="s">
        <v>11</v>
      </c>
      <c r="E3663" s="6">
        <v>1</v>
      </c>
      <c r="F3663" s="6">
        <v>4</v>
      </c>
      <c r="G3663" s="6" t="s">
        <v>32</v>
      </c>
      <c r="H3663" s="6" t="s">
        <v>13</v>
      </c>
      <c r="I3663" s="6">
        <f>TabJogos[[#This Row],[PontosTime1]]-TabJogos[[#This Row],[PontosTime2]]</f>
        <v>-3</v>
      </c>
    </row>
    <row r="3664" spans="1:9" ht="15" customHeight="1" x14ac:dyDescent="0.25">
      <c r="A3664" s="7">
        <v>3663</v>
      </c>
      <c r="B3664" s="1">
        <v>43619</v>
      </c>
      <c r="C3664" s="6" t="s">
        <v>41</v>
      </c>
      <c r="D3664" s="6" t="s">
        <v>32</v>
      </c>
      <c r="E3664" s="6">
        <v>3</v>
      </c>
      <c r="F3664" s="6">
        <v>1</v>
      </c>
      <c r="G3664" s="6" t="s">
        <v>13</v>
      </c>
      <c r="H3664" s="6" t="s">
        <v>11</v>
      </c>
      <c r="I3664" s="6">
        <f>TabJogos[[#This Row],[PontosTime1]]-TabJogos[[#This Row],[PontosTime2]]</f>
        <v>2</v>
      </c>
    </row>
    <row r="3665" spans="1:9" ht="15" customHeight="1" x14ac:dyDescent="0.25">
      <c r="A3665" s="7">
        <v>3664</v>
      </c>
      <c r="B3665" s="1">
        <v>43619</v>
      </c>
      <c r="C3665" s="6" t="s">
        <v>32</v>
      </c>
      <c r="D3665" s="6" t="s">
        <v>18</v>
      </c>
      <c r="E3665" s="6">
        <v>1</v>
      </c>
      <c r="F3665" s="6">
        <v>3</v>
      </c>
      <c r="G3665" s="6" t="s">
        <v>41</v>
      </c>
      <c r="H3665" s="6" t="s">
        <v>13</v>
      </c>
      <c r="I3665" s="6">
        <f>TabJogos[[#This Row],[PontosTime1]]-TabJogos[[#This Row],[PontosTime2]]</f>
        <v>-2</v>
      </c>
    </row>
    <row r="3666" spans="1:9" ht="15" customHeight="1" x14ac:dyDescent="0.25">
      <c r="A3666" s="7">
        <v>3665</v>
      </c>
      <c r="B3666" s="1">
        <v>43619</v>
      </c>
      <c r="C3666" s="6" t="s">
        <v>11</v>
      </c>
      <c r="D3666" s="6" t="s">
        <v>41</v>
      </c>
      <c r="E3666" s="6">
        <v>3</v>
      </c>
      <c r="F3666" s="6">
        <v>2</v>
      </c>
      <c r="G3666" s="6" t="s">
        <v>13</v>
      </c>
      <c r="H3666" s="6" t="s">
        <v>32</v>
      </c>
      <c r="I3666" s="6">
        <f>TabJogos[[#This Row],[PontosTime1]]-TabJogos[[#This Row],[PontosTime2]]</f>
        <v>1</v>
      </c>
    </row>
    <row r="3667" spans="1:9" ht="15" customHeight="1" x14ac:dyDescent="0.25">
      <c r="A3667" s="7">
        <v>3666</v>
      </c>
      <c r="B3667" s="1">
        <v>43619</v>
      </c>
      <c r="C3667" s="6" t="s">
        <v>41</v>
      </c>
      <c r="D3667" s="6" t="s">
        <v>18</v>
      </c>
      <c r="E3667" s="6">
        <v>2</v>
      </c>
      <c r="F3667" s="6">
        <v>3</v>
      </c>
      <c r="G3667" s="6" t="s">
        <v>32</v>
      </c>
      <c r="H3667" s="6" t="s">
        <v>11</v>
      </c>
      <c r="I3667" s="6">
        <f>TabJogos[[#This Row],[PontosTime1]]-TabJogos[[#This Row],[PontosTime2]]</f>
        <v>-1</v>
      </c>
    </row>
    <row r="3668" spans="1:9" ht="15" customHeight="1" x14ac:dyDescent="0.25">
      <c r="A3668" s="7">
        <v>3667</v>
      </c>
      <c r="B3668" s="1">
        <v>43619</v>
      </c>
      <c r="C3668" s="6" t="s">
        <v>9</v>
      </c>
      <c r="D3668" s="6" t="s">
        <v>32</v>
      </c>
      <c r="E3668" s="6">
        <v>3</v>
      </c>
      <c r="F3668" s="6">
        <v>0</v>
      </c>
      <c r="G3668" s="6" t="s">
        <v>11</v>
      </c>
      <c r="H3668" s="6" t="s">
        <v>13</v>
      </c>
      <c r="I3668" s="6">
        <f>TabJogos[[#This Row],[PontosTime1]]-TabJogos[[#This Row],[PontosTime2]]</f>
        <v>3</v>
      </c>
    </row>
    <row r="3669" spans="1:9" ht="15" customHeight="1" x14ac:dyDescent="0.25">
      <c r="A3669" s="7">
        <v>3668</v>
      </c>
      <c r="B3669" s="1">
        <v>43619</v>
      </c>
      <c r="C3669" s="6" t="s">
        <v>18</v>
      </c>
      <c r="D3669" s="6" t="s">
        <v>32</v>
      </c>
      <c r="E3669" s="6">
        <v>5</v>
      </c>
      <c r="F3669" s="6">
        <v>2</v>
      </c>
      <c r="G3669" s="6" t="s">
        <v>9</v>
      </c>
      <c r="H3669" s="6" t="s">
        <v>41</v>
      </c>
      <c r="I3669" s="6">
        <f>TabJogos[[#This Row],[PontosTime1]]-TabJogos[[#This Row],[PontosTime2]]</f>
        <v>3</v>
      </c>
    </row>
    <row r="3670" spans="1:9" ht="15" customHeight="1" x14ac:dyDescent="0.25">
      <c r="A3670" s="7">
        <v>3669</v>
      </c>
      <c r="B3670" s="1">
        <v>43619</v>
      </c>
      <c r="C3670" s="6" t="s">
        <v>13</v>
      </c>
      <c r="D3670" s="6" t="s">
        <v>41</v>
      </c>
      <c r="E3670" s="6">
        <v>3</v>
      </c>
      <c r="F3670" s="6">
        <v>1</v>
      </c>
      <c r="G3670" s="6" t="s">
        <v>11</v>
      </c>
      <c r="H3670" s="6" t="s">
        <v>18</v>
      </c>
      <c r="I3670" s="6">
        <f>TabJogos[[#This Row],[PontosTime1]]-TabJogos[[#This Row],[PontosTime2]]</f>
        <v>2</v>
      </c>
    </row>
    <row r="3671" spans="1:9" ht="15" customHeight="1" x14ac:dyDescent="0.25">
      <c r="A3671" s="7">
        <v>3670</v>
      </c>
      <c r="B3671" s="1">
        <v>43619</v>
      </c>
      <c r="C3671" s="6" t="s">
        <v>11</v>
      </c>
      <c r="D3671" s="6" t="s">
        <v>41</v>
      </c>
      <c r="E3671" s="6">
        <v>1</v>
      </c>
      <c r="F3671" s="6">
        <v>3</v>
      </c>
      <c r="G3671" s="6" t="s">
        <v>9</v>
      </c>
      <c r="H3671" s="6" t="s">
        <v>13</v>
      </c>
      <c r="I3671" s="6">
        <f>TabJogos[[#This Row],[PontosTime1]]-TabJogos[[#This Row],[PontosTime2]]</f>
        <v>-2</v>
      </c>
    </row>
    <row r="3672" spans="1:9" ht="15" customHeight="1" x14ac:dyDescent="0.25">
      <c r="A3672" s="7">
        <v>3671</v>
      </c>
      <c r="B3672" s="1">
        <v>43619</v>
      </c>
      <c r="C3672" s="6" t="s">
        <v>18</v>
      </c>
      <c r="D3672" s="6" t="s">
        <v>41</v>
      </c>
      <c r="E3672" s="6">
        <v>3</v>
      </c>
      <c r="F3672" s="6">
        <v>2</v>
      </c>
      <c r="G3672" s="6" t="s">
        <v>11</v>
      </c>
      <c r="H3672" s="6" t="s">
        <v>13</v>
      </c>
      <c r="I3672" s="6">
        <f>TabJogos[[#This Row],[PontosTime1]]-TabJogos[[#This Row],[PontosTime2]]</f>
        <v>1</v>
      </c>
    </row>
    <row r="3673" spans="1:9" ht="15" customHeight="1" x14ac:dyDescent="0.25">
      <c r="A3673" s="7">
        <v>3672</v>
      </c>
      <c r="B3673" s="1">
        <v>43620</v>
      </c>
      <c r="C3673" s="6" t="s">
        <v>13</v>
      </c>
      <c r="D3673" s="6" t="s">
        <v>17</v>
      </c>
      <c r="E3673" s="6">
        <v>0</v>
      </c>
      <c r="F3673" s="6">
        <v>3</v>
      </c>
      <c r="G3673" s="6" t="s">
        <v>11</v>
      </c>
      <c r="H3673" s="6" t="s">
        <v>12</v>
      </c>
      <c r="I3673" s="6">
        <f>TabJogos[[#This Row],[PontosTime1]]-TabJogos[[#This Row],[PontosTime2]]</f>
        <v>-3</v>
      </c>
    </row>
    <row r="3674" spans="1:9" ht="15" customHeight="1" x14ac:dyDescent="0.25">
      <c r="A3674" s="7">
        <v>3673</v>
      </c>
      <c r="B3674" s="1">
        <v>43620</v>
      </c>
      <c r="C3674" s="6" t="s">
        <v>13</v>
      </c>
      <c r="D3674" s="6" t="s">
        <v>12</v>
      </c>
      <c r="E3674" s="6">
        <v>3</v>
      </c>
      <c r="F3674" s="6">
        <v>0</v>
      </c>
      <c r="G3674" s="6" t="s">
        <v>11</v>
      </c>
      <c r="H3674" s="6" t="s">
        <v>17</v>
      </c>
      <c r="I3674" s="6">
        <f>TabJogos[[#This Row],[PontosTime1]]-TabJogos[[#This Row],[PontosTime2]]</f>
        <v>3</v>
      </c>
    </row>
    <row r="3675" spans="1:9" ht="15" customHeight="1" x14ac:dyDescent="0.25">
      <c r="A3675" s="7">
        <v>3674</v>
      </c>
      <c r="B3675" s="1">
        <v>43620</v>
      </c>
      <c r="C3675" s="6" t="s">
        <v>9</v>
      </c>
      <c r="D3675" s="6" t="s">
        <v>32</v>
      </c>
      <c r="E3675" s="6">
        <v>3</v>
      </c>
      <c r="F3675" s="6">
        <v>1</v>
      </c>
      <c r="G3675" s="6" t="s">
        <v>13</v>
      </c>
      <c r="H3675" s="6" t="s">
        <v>11</v>
      </c>
      <c r="I3675" s="6">
        <f>TabJogos[[#This Row],[PontosTime1]]-TabJogos[[#This Row],[PontosTime2]]</f>
        <v>2</v>
      </c>
    </row>
    <row r="3676" spans="1:9" ht="15" customHeight="1" x14ac:dyDescent="0.25">
      <c r="A3676" s="7">
        <v>3675</v>
      </c>
      <c r="B3676" s="1">
        <v>43620</v>
      </c>
      <c r="C3676" s="6" t="s">
        <v>9</v>
      </c>
      <c r="D3676" s="6" t="s">
        <v>13</v>
      </c>
      <c r="E3676" s="6">
        <v>1</v>
      </c>
      <c r="F3676" s="6">
        <v>3</v>
      </c>
      <c r="G3676" s="6" t="s">
        <v>32</v>
      </c>
      <c r="H3676" s="6" t="s">
        <v>11</v>
      </c>
      <c r="I3676" s="6">
        <f>TabJogos[[#This Row],[PontosTime1]]-TabJogos[[#This Row],[PontosTime2]]</f>
        <v>-2</v>
      </c>
    </row>
    <row r="3677" spans="1:9" ht="15" customHeight="1" x14ac:dyDescent="0.25">
      <c r="A3677" s="7">
        <v>3676</v>
      </c>
      <c r="B3677" s="1">
        <v>43620</v>
      </c>
      <c r="C3677" s="6" t="s">
        <v>9</v>
      </c>
      <c r="D3677" s="6" t="s">
        <v>11</v>
      </c>
      <c r="E3677" s="6">
        <v>5</v>
      </c>
      <c r="F3677" s="6">
        <v>1</v>
      </c>
      <c r="G3677" s="6" t="s">
        <v>32</v>
      </c>
      <c r="H3677" s="6" t="s">
        <v>41</v>
      </c>
      <c r="I3677" s="6">
        <f>TabJogos[[#This Row],[PontosTime1]]-TabJogos[[#This Row],[PontosTime2]]</f>
        <v>4</v>
      </c>
    </row>
    <row r="3678" spans="1:9" ht="15" customHeight="1" x14ac:dyDescent="0.25">
      <c r="A3678" s="7">
        <v>3677</v>
      </c>
      <c r="B3678" s="1">
        <v>43620</v>
      </c>
      <c r="C3678" s="6" t="s">
        <v>9</v>
      </c>
      <c r="D3678" s="6" t="s">
        <v>32</v>
      </c>
      <c r="E3678" s="6">
        <v>3</v>
      </c>
      <c r="F3678" s="6">
        <v>1</v>
      </c>
      <c r="G3678" s="6" t="s">
        <v>13</v>
      </c>
      <c r="H3678" s="6" t="s">
        <v>11</v>
      </c>
      <c r="I3678" s="6">
        <f>TabJogos[[#This Row],[PontosTime1]]-TabJogos[[#This Row],[PontosTime2]]</f>
        <v>2</v>
      </c>
    </row>
    <row r="3679" spans="1:9" ht="15" customHeight="1" x14ac:dyDescent="0.25">
      <c r="A3679" s="7">
        <v>3678</v>
      </c>
      <c r="B3679" s="1">
        <v>43620</v>
      </c>
      <c r="C3679" s="6" t="s">
        <v>9</v>
      </c>
      <c r="D3679" s="6" t="s">
        <v>41</v>
      </c>
      <c r="E3679" s="6">
        <v>1</v>
      </c>
      <c r="F3679" s="6">
        <v>3</v>
      </c>
      <c r="G3679" s="6" t="s">
        <v>13</v>
      </c>
      <c r="H3679" s="6" t="s">
        <v>32</v>
      </c>
      <c r="I3679" s="6">
        <f>TabJogos[[#This Row],[PontosTime1]]-TabJogos[[#This Row],[PontosTime2]]</f>
        <v>-2</v>
      </c>
    </row>
    <row r="3680" spans="1:9" ht="15" customHeight="1" x14ac:dyDescent="0.25">
      <c r="A3680" s="7">
        <v>3679</v>
      </c>
      <c r="B3680" s="1">
        <v>43621</v>
      </c>
      <c r="C3680" s="6" t="s">
        <v>10</v>
      </c>
      <c r="D3680" s="6" t="s">
        <v>18</v>
      </c>
      <c r="E3680" s="6">
        <v>2</v>
      </c>
      <c r="F3680" s="6">
        <v>3</v>
      </c>
      <c r="G3680" s="6" t="s">
        <v>12</v>
      </c>
      <c r="H3680" s="6" t="s">
        <v>11</v>
      </c>
      <c r="I3680" s="6">
        <f>TabJogos[[#This Row],[PontosTime1]]-TabJogos[[#This Row],[PontosTime2]]</f>
        <v>-1</v>
      </c>
    </row>
    <row r="3681" spans="1:9" ht="15" customHeight="1" x14ac:dyDescent="0.25">
      <c r="A3681" s="7">
        <v>3680</v>
      </c>
      <c r="B3681" s="1">
        <v>43621</v>
      </c>
      <c r="C3681" s="6" t="s">
        <v>12</v>
      </c>
      <c r="D3681" s="6" t="s">
        <v>13</v>
      </c>
      <c r="E3681" s="6">
        <v>2</v>
      </c>
      <c r="F3681" s="6">
        <v>3</v>
      </c>
      <c r="G3681" s="6" t="s">
        <v>9</v>
      </c>
      <c r="H3681" s="6" t="s">
        <v>11</v>
      </c>
      <c r="I3681" s="6">
        <f>TabJogos[[#This Row],[PontosTime1]]-TabJogos[[#This Row],[PontosTime2]]</f>
        <v>-1</v>
      </c>
    </row>
    <row r="3682" spans="1:9" ht="15" customHeight="1" x14ac:dyDescent="0.25">
      <c r="A3682" s="7">
        <v>3681</v>
      </c>
      <c r="B3682" s="1">
        <v>43621</v>
      </c>
      <c r="C3682" s="6" t="s">
        <v>9</v>
      </c>
      <c r="D3682" s="6" t="s">
        <v>18</v>
      </c>
      <c r="E3682" s="6">
        <v>2</v>
      </c>
      <c r="F3682" s="6">
        <v>3</v>
      </c>
      <c r="G3682" s="6" t="s">
        <v>10</v>
      </c>
      <c r="H3682" s="6" t="s">
        <v>11</v>
      </c>
      <c r="I3682" s="6">
        <f>TabJogos[[#This Row],[PontosTime1]]-TabJogos[[#This Row],[PontosTime2]]</f>
        <v>-1</v>
      </c>
    </row>
    <row r="3683" spans="1:9" ht="15" customHeight="1" x14ac:dyDescent="0.25">
      <c r="A3683" s="7">
        <v>3682</v>
      </c>
      <c r="B3683" s="1">
        <v>43621</v>
      </c>
      <c r="C3683" s="6" t="s">
        <v>11</v>
      </c>
      <c r="D3683" s="6" t="s">
        <v>32</v>
      </c>
      <c r="E3683" s="6">
        <v>3</v>
      </c>
      <c r="F3683" s="6">
        <v>2</v>
      </c>
      <c r="G3683" s="6" t="s">
        <v>10</v>
      </c>
      <c r="H3683" s="6" t="s">
        <v>12</v>
      </c>
      <c r="I3683" s="6">
        <f>TabJogos[[#This Row],[PontosTime1]]-TabJogos[[#This Row],[PontosTime2]]</f>
        <v>1</v>
      </c>
    </row>
    <row r="3684" spans="1:9" ht="15" customHeight="1" x14ac:dyDescent="0.25">
      <c r="A3684" s="7">
        <v>3683</v>
      </c>
      <c r="B3684" s="1">
        <v>43621</v>
      </c>
      <c r="C3684" s="6" t="s">
        <v>11</v>
      </c>
      <c r="D3684" s="6" t="s">
        <v>18</v>
      </c>
      <c r="E3684" s="6">
        <v>2</v>
      </c>
      <c r="F3684" s="6">
        <v>3</v>
      </c>
      <c r="G3684" s="6" t="s">
        <v>32</v>
      </c>
      <c r="H3684" s="6" t="s">
        <v>13</v>
      </c>
      <c r="I3684" s="6">
        <f>TabJogos[[#This Row],[PontosTime1]]-TabJogos[[#This Row],[PontosTime2]]</f>
        <v>-1</v>
      </c>
    </row>
    <row r="3685" spans="1:9" ht="15" customHeight="1" x14ac:dyDescent="0.25">
      <c r="A3685" s="7">
        <v>3684</v>
      </c>
      <c r="B3685" s="1">
        <v>43621</v>
      </c>
      <c r="C3685" s="6" t="s">
        <v>32</v>
      </c>
      <c r="D3685" s="6" t="s">
        <v>10</v>
      </c>
      <c r="E3685" s="6">
        <v>3</v>
      </c>
      <c r="F3685" s="6">
        <v>2</v>
      </c>
      <c r="G3685" s="6" t="s">
        <v>13</v>
      </c>
      <c r="H3685" s="6" t="s">
        <v>9</v>
      </c>
      <c r="I3685" s="6">
        <f>TabJogos[[#This Row],[PontosTime1]]-TabJogos[[#This Row],[PontosTime2]]</f>
        <v>1</v>
      </c>
    </row>
    <row r="3686" spans="1:9" ht="15" customHeight="1" x14ac:dyDescent="0.25">
      <c r="A3686" s="7">
        <v>3685</v>
      </c>
      <c r="B3686" s="1">
        <v>43621</v>
      </c>
      <c r="C3686" s="6" t="s">
        <v>32</v>
      </c>
      <c r="D3686" s="6" t="s">
        <v>18</v>
      </c>
      <c r="E3686" s="6">
        <v>3</v>
      </c>
      <c r="F3686" s="6">
        <v>2</v>
      </c>
      <c r="G3686" s="6" t="s">
        <v>11</v>
      </c>
      <c r="H3686" s="6" t="s">
        <v>10</v>
      </c>
      <c r="I3686" s="6">
        <f>TabJogos[[#This Row],[PontosTime1]]-TabJogos[[#This Row],[PontosTime2]]</f>
        <v>1</v>
      </c>
    </row>
    <row r="3687" spans="1:9" ht="15" customHeight="1" x14ac:dyDescent="0.25">
      <c r="A3687" s="7">
        <v>3686</v>
      </c>
      <c r="B3687" s="1">
        <v>43621</v>
      </c>
      <c r="C3687" s="6" t="s">
        <v>11</v>
      </c>
      <c r="D3687" s="6" t="s">
        <v>32</v>
      </c>
      <c r="E3687" s="6">
        <v>3</v>
      </c>
      <c r="F3687" s="6">
        <v>2</v>
      </c>
      <c r="G3687" s="6" t="s">
        <v>18</v>
      </c>
      <c r="H3687" s="6" t="s">
        <v>13</v>
      </c>
      <c r="I3687" s="6">
        <f>TabJogos[[#This Row],[PontosTime1]]-TabJogos[[#This Row],[PontosTime2]]</f>
        <v>1</v>
      </c>
    </row>
    <row r="3688" spans="1:9" ht="15" customHeight="1" x14ac:dyDescent="0.25">
      <c r="A3688" s="7">
        <v>3687</v>
      </c>
      <c r="B3688" s="1">
        <v>43621</v>
      </c>
      <c r="C3688" s="6" t="s">
        <v>10</v>
      </c>
      <c r="D3688" s="6" t="s">
        <v>32</v>
      </c>
      <c r="E3688" s="6">
        <v>3</v>
      </c>
      <c r="F3688" s="6">
        <v>2</v>
      </c>
      <c r="G3688" s="6" t="s">
        <v>41</v>
      </c>
      <c r="H3688" s="6" t="s">
        <v>11</v>
      </c>
      <c r="I3688" s="6">
        <f>TabJogos[[#This Row],[PontosTime1]]-TabJogos[[#This Row],[PontosTime2]]</f>
        <v>1</v>
      </c>
    </row>
    <row r="3689" spans="1:9" ht="15" customHeight="1" x14ac:dyDescent="0.25">
      <c r="A3689" s="7">
        <v>3688</v>
      </c>
      <c r="B3689" s="1">
        <v>43621</v>
      </c>
      <c r="C3689" s="6" t="s">
        <v>13</v>
      </c>
      <c r="D3689" s="6" t="s">
        <v>32</v>
      </c>
      <c r="E3689" s="6">
        <v>3</v>
      </c>
      <c r="F3689" s="6">
        <v>2</v>
      </c>
      <c r="G3689" s="6" t="s">
        <v>10</v>
      </c>
      <c r="H3689" s="6" t="s">
        <v>18</v>
      </c>
      <c r="I3689" s="6">
        <f>TabJogos[[#This Row],[PontosTime1]]-TabJogos[[#This Row],[PontosTime2]]</f>
        <v>1</v>
      </c>
    </row>
    <row r="3690" spans="1:9" ht="15" customHeight="1" x14ac:dyDescent="0.25">
      <c r="A3690" s="7">
        <v>3689</v>
      </c>
      <c r="B3690" s="1">
        <v>43621</v>
      </c>
      <c r="C3690" s="6" t="s">
        <v>11</v>
      </c>
      <c r="D3690" s="6" t="s">
        <v>13</v>
      </c>
      <c r="E3690" s="6">
        <v>3</v>
      </c>
      <c r="F3690" s="6">
        <v>1</v>
      </c>
      <c r="G3690" s="6" t="s">
        <v>17</v>
      </c>
      <c r="H3690" s="6" t="s">
        <v>32</v>
      </c>
      <c r="I3690" s="6">
        <f>TabJogos[[#This Row],[PontosTime1]]-TabJogos[[#This Row],[PontosTime2]]</f>
        <v>2</v>
      </c>
    </row>
    <row r="3691" spans="1:9" ht="15" customHeight="1" x14ac:dyDescent="0.25">
      <c r="A3691" s="7">
        <v>3690</v>
      </c>
      <c r="B3691" s="1">
        <v>43621</v>
      </c>
      <c r="C3691" s="6" t="s">
        <v>18</v>
      </c>
      <c r="D3691" s="6" t="s">
        <v>13</v>
      </c>
      <c r="E3691" s="6">
        <v>3</v>
      </c>
      <c r="F3691" s="6">
        <v>2</v>
      </c>
      <c r="G3691" s="6" t="s">
        <v>11</v>
      </c>
      <c r="H3691" s="6" t="s">
        <v>17</v>
      </c>
      <c r="I3691" s="6">
        <f>TabJogos[[#This Row],[PontosTime1]]-TabJogos[[#This Row],[PontosTime2]]</f>
        <v>1</v>
      </c>
    </row>
    <row r="3692" spans="1:9" ht="15" customHeight="1" x14ac:dyDescent="0.25">
      <c r="A3692" s="7">
        <v>3691</v>
      </c>
      <c r="B3692" s="1">
        <v>43621</v>
      </c>
      <c r="C3692" s="6" t="s">
        <v>17</v>
      </c>
      <c r="D3692" s="6" t="s">
        <v>13</v>
      </c>
      <c r="E3692" s="6">
        <v>4</v>
      </c>
      <c r="F3692" s="6">
        <v>2</v>
      </c>
      <c r="G3692" s="6" t="s">
        <v>11</v>
      </c>
      <c r="H3692" s="6" t="s">
        <v>18</v>
      </c>
      <c r="I3692" s="6">
        <f>TabJogos[[#This Row],[PontosTime1]]-TabJogos[[#This Row],[PontosTime2]]</f>
        <v>2</v>
      </c>
    </row>
    <row r="3693" spans="1:9" ht="15" customHeight="1" x14ac:dyDescent="0.25">
      <c r="A3693" s="7">
        <v>3692</v>
      </c>
      <c r="B3693" s="1">
        <v>43621</v>
      </c>
      <c r="C3693" s="6" t="s">
        <v>11</v>
      </c>
      <c r="D3693" s="6" t="s">
        <v>13</v>
      </c>
      <c r="E3693" s="6">
        <v>3</v>
      </c>
      <c r="F3693" s="6">
        <v>2</v>
      </c>
      <c r="G3693" s="6" t="s">
        <v>17</v>
      </c>
      <c r="H3693" s="6" t="s">
        <v>18</v>
      </c>
      <c r="I3693" s="6">
        <f>TabJogos[[#This Row],[PontosTime1]]-TabJogos[[#This Row],[PontosTime2]]</f>
        <v>1</v>
      </c>
    </row>
    <row r="3694" spans="1:9" ht="15" customHeight="1" x14ac:dyDescent="0.25">
      <c r="A3694" s="7">
        <v>3693</v>
      </c>
      <c r="B3694" s="1">
        <v>43621</v>
      </c>
      <c r="C3694" s="6" t="s">
        <v>11</v>
      </c>
      <c r="D3694" s="6" t="s">
        <v>17</v>
      </c>
      <c r="E3694" s="6">
        <v>3</v>
      </c>
      <c r="F3694" s="6">
        <v>2</v>
      </c>
      <c r="G3694" s="6" t="s">
        <v>18</v>
      </c>
      <c r="H3694" s="6" t="s">
        <v>13</v>
      </c>
      <c r="I3694" s="6">
        <f>TabJogos[[#This Row],[PontosTime1]]-TabJogos[[#This Row],[PontosTime2]]</f>
        <v>1</v>
      </c>
    </row>
    <row r="3695" spans="1:9" ht="15" customHeight="1" x14ac:dyDescent="0.25">
      <c r="A3695" s="7">
        <v>3694</v>
      </c>
      <c r="B3695" s="1">
        <v>43622</v>
      </c>
      <c r="C3695" s="6" t="s">
        <v>11</v>
      </c>
      <c r="D3695" s="6" t="s">
        <v>12</v>
      </c>
      <c r="E3695" s="6">
        <v>3</v>
      </c>
      <c r="F3695" s="6">
        <v>2</v>
      </c>
      <c r="G3695" s="6" t="s">
        <v>13</v>
      </c>
      <c r="H3695" s="6" t="s">
        <v>17</v>
      </c>
      <c r="I3695" s="6">
        <f>TabJogos[[#This Row],[PontosTime1]]-TabJogos[[#This Row],[PontosTime2]]</f>
        <v>1</v>
      </c>
    </row>
    <row r="3696" spans="1:9" ht="15" customHeight="1" x14ac:dyDescent="0.25">
      <c r="A3696" s="7">
        <v>3695</v>
      </c>
      <c r="B3696" s="1">
        <v>43622</v>
      </c>
      <c r="C3696" s="6" t="s">
        <v>11</v>
      </c>
      <c r="D3696" s="6" t="s">
        <v>41</v>
      </c>
      <c r="E3696" s="6">
        <v>4</v>
      </c>
      <c r="F3696" s="6">
        <v>2</v>
      </c>
      <c r="G3696" s="6" t="s">
        <v>17</v>
      </c>
      <c r="H3696" s="6" t="s">
        <v>12</v>
      </c>
      <c r="I3696" s="6">
        <f>TabJogos[[#This Row],[PontosTime1]]-TabJogos[[#This Row],[PontosTime2]]</f>
        <v>2</v>
      </c>
    </row>
    <row r="3697" spans="1:9" ht="15" customHeight="1" x14ac:dyDescent="0.25">
      <c r="A3697" s="7">
        <v>3696</v>
      </c>
      <c r="B3697" s="1">
        <v>43622</v>
      </c>
      <c r="C3697" s="6" t="s">
        <v>11</v>
      </c>
      <c r="D3697" s="6" t="s">
        <v>13</v>
      </c>
      <c r="E3697" s="6">
        <v>4</v>
      </c>
      <c r="F3697" s="6">
        <v>0</v>
      </c>
      <c r="G3697" s="6" t="s">
        <v>41</v>
      </c>
      <c r="H3697" s="6" t="s">
        <v>12</v>
      </c>
      <c r="I3697" s="6">
        <f>TabJogos[[#This Row],[PontosTime1]]-TabJogos[[#This Row],[PontosTime2]]</f>
        <v>4</v>
      </c>
    </row>
    <row r="3698" spans="1:9" ht="15" customHeight="1" x14ac:dyDescent="0.25">
      <c r="A3698" s="7">
        <v>3697</v>
      </c>
      <c r="B3698" s="1">
        <v>43622</v>
      </c>
      <c r="C3698" s="6" t="s">
        <v>11</v>
      </c>
      <c r="D3698" s="6" t="s">
        <v>12</v>
      </c>
      <c r="E3698" s="6">
        <v>3</v>
      </c>
      <c r="F3698" s="6">
        <v>2</v>
      </c>
      <c r="G3698" s="6" t="s">
        <v>41</v>
      </c>
      <c r="H3698" s="6" t="s">
        <v>13</v>
      </c>
      <c r="I3698" s="6">
        <f>TabJogos[[#This Row],[PontosTime1]]-TabJogos[[#This Row],[PontosTime2]]</f>
        <v>1</v>
      </c>
    </row>
    <row r="3699" spans="1:9" ht="15" customHeight="1" x14ac:dyDescent="0.25">
      <c r="A3699" s="7">
        <v>3698</v>
      </c>
      <c r="B3699" s="1">
        <v>43622</v>
      </c>
      <c r="C3699" s="6" t="s">
        <v>12</v>
      </c>
      <c r="D3699" s="6" t="s">
        <v>13</v>
      </c>
      <c r="E3699" s="6">
        <v>3</v>
      </c>
      <c r="F3699" s="6">
        <v>2</v>
      </c>
      <c r="G3699" s="6" t="s">
        <v>41</v>
      </c>
      <c r="H3699" s="6" t="s">
        <v>11</v>
      </c>
      <c r="I3699" s="6">
        <f>TabJogos[[#This Row],[PontosTime1]]-TabJogos[[#This Row],[PontosTime2]]</f>
        <v>1</v>
      </c>
    </row>
    <row r="3700" spans="1:9" ht="15" customHeight="1" x14ac:dyDescent="0.25">
      <c r="A3700" s="7">
        <v>3699</v>
      </c>
      <c r="B3700" s="1">
        <v>43622</v>
      </c>
      <c r="C3700" s="6" t="s">
        <v>18</v>
      </c>
      <c r="D3700" s="6" t="s">
        <v>13</v>
      </c>
      <c r="E3700" s="6">
        <v>4</v>
      </c>
      <c r="F3700" s="6">
        <v>0</v>
      </c>
      <c r="G3700" s="6" t="s">
        <v>41</v>
      </c>
      <c r="H3700" s="6" t="s">
        <v>9</v>
      </c>
      <c r="I3700" s="6">
        <f>TabJogos[[#This Row],[PontosTime1]]-TabJogos[[#This Row],[PontosTime2]]</f>
        <v>4</v>
      </c>
    </row>
    <row r="3701" spans="1:9" ht="15" customHeight="1" x14ac:dyDescent="0.25">
      <c r="A3701" s="7">
        <v>3700</v>
      </c>
      <c r="B3701" s="1">
        <v>43622</v>
      </c>
      <c r="C3701" s="6" t="s">
        <v>9</v>
      </c>
      <c r="D3701" s="6" t="s">
        <v>13</v>
      </c>
      <c r="E3701" s="6">
        <v>3</v>
      </c>
      <c r="F3701" s="6">
        <v>2</v>
      </c>
      <c r="G3701" s="6" t="s">
        <v>18</v>
      </c>
      <c r="H3701" s="6" t="s">
        <v>11</v>
      </c>
      <c r="I3701" s="6">
        <f>TabJogos[[#This Row],[PontosTime1]]-TabJogos[[#This Row],[PontosTime2]]</f>
        <v>1</v>
      </c>
    </row>
    <row r="3702" spans="1:9" ht="15" customHeight="1" x14ac:dyDescent="0.25">
      <c r="A3702" s="7">
        <v>3701</v>
      </c>
      <c r="B3702" s="1">
        <v>43622</v>
      </c>
      <c r="C3702" s="6" t="s">
        <v>13</v>
      </c>
      <c r="D3702" s="6" t="s">
        <v>41</v>
      </c>
      <c r="E3702" s="6">
        <v>3</v>
      </c>
      <c r="F3702" s="6">
        <v>0</v>
      </c>
      <c r="G3702" s="6" t="s">
        <v>9</v>
      </c>
      <c r="H3702" s="6" t="s">
        <v>18</v>
      </c>
      <c r="I3702" s="6">
        <f>TabJogos[[#This Row],[PontosTime1]]-TabJogos[[#This Row],[PontosTime2]]</f>
        <v>3</v>
      </c>
    </row>
    <row r="3703" spans="1:9" ht="15" customHeight="1" x14ac:dyDescent="0.25">
      <c r="A3703" s="7">
        <v>3702</v>
      </c>
      <c r="B3703" s="1">
        <v>43622</v>
      </c>
      <c r="C3703" s="6" t="s">
        <v>9</v>
      </c>
      <c r="D3703" s="6" t="s">
        <v>41</v>
      </c>
      <c r="E3703" s="6">
        <v>3</v>
      </c>
      <c r="F3703" s="6">
        <v>1</v>
      </c>
      <c r="G3703" s="6" t="s">
        <v>11</v>
      </c>
      <c r="H3703" s="6" t="s">
        <v>13</v>
      </c>
      <c r="I3703" s="6">
        <f>TabJogos[[#This Row],[PontosTime1]]-TabJogos[[#This Row],[PontosTime2]]</f>
        <v>2</v>
      </c>
    </row>
    <row r="3704" spans="1:9" ht="15" customHeight="1" x14ac:dyDescent="0.25">
      <c r="A3704" s="7">
        <v>3703</v>
      </c>
      <c r="B3704" s="1">
        <v>43622</v>
      </c>
      <c r="C3704" s="6" t="s">
        <v>41</v>
      </c>
      <c r="D3704" s="6" t="s">
        <v>18</v>
      </c>
      <c r="E3704" s="6">
        <v>2</v>
      </c>
      <c r="F3704" s="6">
        <v>3</v>
      </c>
      <c r="G3704" s="6" t="s">
        <v>13</v>
      </c>
      <c r="H3704" s="6" t="s">
        <v>9</v>
      </c>
      <c r="I3704" s="6">
        <f>TabJogos[[#This Row],[PontosTime1]]-TabJogos[[#This Row],[PontosTime2]]</f>
        <v>-1</v>
      </c>
    </row>
    <row r="3705" spans="1:9" ht="15" customHeight="1" x14ac:dyDescent="0.25">
      <c r="A3705" s="7">
        <v>3704</v>
      </c>
      <c r="B3705" s="1">
        <v>43622</v>
      </c>
      <c r="C3705" s="6" t="s">
        <v>11</v>
      </c>
      <c r="D3705" s="6" t="s">
        <v>9</v>
      </c>
      <c r="E3705" s="6">
        <v>1</v>
      </c>
      <c r="F3705" s="6">
        <v>3</v>
      </c>
      <c r="G3705" s="6" t="s">
        <v>13</v>
      </c>
      <c r="H3705" s="6" t="s">
        <v>18</v>
      </c>
      <c r="I3705" s="6">
        <f>TabJogos[[#This Row],[PontosTime1]]-TabJogos[[#This Row],[PontosTime2]]</f>
        <v>-2</v>
      </c>
    </row>
    <row r="3706" spans="1:9" ht="15" customHeight="1" x14ac:dyDescent="0.25">
      <c r="A3706" s="7">
        <v>3705</v>
      </c>
      <c r="B3706" s="1">
        <v>43622</v>
      </c>
      <c r="C3706" s="6" t="s">
        <v>11</v>
      </c>
      <c r="D3706" s="6" t="s">
        <v>13</v>
      </c>
      <c r="E3706" s="6">
        <v>3</v>
      </c>
      <c r="F3706" s="6">
        <v>1</v>
      </c>
      <c r="G3706" s="6" t="s">
        <v>9</v>
      </c>
      <c r="H3706" s="6" t="s">
        <v>18</v>
      </c>
      <c r="I3706" s="6">
        <f>TabJogos[[#This Row],[PontosTime1]]-TabJogos[[#This Row],[PontosTime2]]</f>
        <v>2</v>
      </c>
    </row>
    <row r="3707" spans="1:9" ht="15" customHeight="1" x14ac:dyDescent="0.25">
      <c r="A3707" s="7">
        <v>3706</v>
      </c>
      <c r="B3707" s="1">
        <v>43622</v>
      </c>
      <c r="C3707" s="6" t="s">
        <v>11</v>
      </c>
      <c r="D3707" s="6" t="s">
        <v>18</v>
      </c>
      <c r="E3707" s="6">
        <v>3</v>
      </c>
      <c r="F3707" s="6">
        <v>2</v>
      </c>
      <c r="G3707" s="6" t="s">
        <v>13</v>
      </c>
      <c r="H3707" s="6" t="s">
        <v>9</v>
      </c>
      <c r="I3707" s="6">
        <f>TabJogos[[#This Row],[PontosTime1]]-TabJogos[[#This Row],[PontosTime2]]</f>
        <v>1</v>
      </c>
    </row>
    <row r="3708" spans="1:9" ht="15" customHeight="1" x14ac:dyDescent="0.25">
      <c r="A3708" s="7">
        <v>3707</v>
      </c>
      <c r="B3708" s="1">
        <v>43622</v>
      </c>
      <c r="C3708" s="6" t="s">
        <v>11</v>
      </c>
      <c r="D3708" s="6" t="s">
        <v>9</v>
      </c>
      <c r="E3708" s="6">
        <v>6</v>
      </c>
      <c r="F3708" s="6">
        <v>0</v>
      </c>
      <c r="G3708" s="6" t="s">
        <v>9</v>
      </c>
      <c r="H3708" s="6" t="s">
        <v>13</v>
      </c>
      <c r="I3708" s="6">
        <f>TabJogos[[#This Row],[PontosTime1]]-TabJogos[[#This Row],[PontosTime2]]</f>
        <v>6</v>
      </c>
    </row>
    <row r="3709" spans="1:9" ht="15" customHeight="1" x14ac:dyDescent="0.25">
      <c r="A3709" s="7">
        <v>3708</v>
      </c>
      <c r="B3709" s="1">
        <v>43623</v>
      </c>
      <c r="C3709" s="6" t="s">
        <v>12</v>
      </c>
      <c r="D3709" s="6" t="s">
        <v>11</v>
      </c>
      <c r="E3709" s="6">
        <v>3</v>
      </c>
      <c r="F3709" s="6">
        <v>0</v>
      </c>
      <c r="G3709" s="6" t="s">
        <v>13</v>
      </c>
      <c r="H3709" s="6" t="s">
        <v>18</v>
      </c>
      <c r="I3709" s="6">
        <f>TabJogos[[#This Row],[PontosTime1]]-TabJogos[[#This Row],[PontosTime2]]</f>
        <v>3</v>
      </c>
    </row>
    <row r="3710" spans="1:9" ht="15" customHeight="1" x14ac:dyDescent="0.25">
      <c r="A3710" s="7">
        <v>3709</v>
      </c>
      <c r="B3710" s="1">
        <v>43623</v>
      </c>
      <c r="C3710" s="6" t="s">
        <v>11</v>
      </c>
      <c r="D3710" s="6" t="s">
        <v>18</v>
      </c>
      <c r="E3710" s="6">
        <v>3</v>
      </c>
      <c r="F3710" s="6">
        <v>1</v>
      </c>
      <c r="G3710" s="6" t="s">
        <v>13</v>
      </c>
      <c r="H3710" s="6" t="s">
        <v>12</v>
      </c>
      <c r="I3710" s="6">
        <f>TabJogos[[#This Row],[PontosTime1]]-TabJogos[[#This Row],[PontosTime2]]</f>
        <v>2</v>
      </c>
    </row>
    <row r="3711" spans="1:9" ht="15" customHeight="1" x14ac:dyDescent="0.25">
      <c r="A3711" s="7">
        <v>3710</v>
      </c>
      <c r="B3711" s="1">
        <v>43623</v>
      </c>
      <c r="C3711" s="6" t="s">
        <v>18</v>
      </c>
      <c r="D3711" s="6" t="s">
        <v>11</v>
      </c>
      <c r="E3711" s="6">
        <v>3</v>
      </c>
      <c r="F3711" s="6">
        <v>0</v>
      </c>
      <c r="G3711" s="6" t="s">
        <v>16</v>
      </c>
      <c r="H3711" s="6" t="s">
        <v>13</v>
      </c>
      <c r="I3711" s="6">
        <f>TabJogos[[#This Row],[PontosTime1]]-TabJogos[[#This Row],[PontosTime2]]</f>
        <v>3</v>
      </c>
    </row>
    <row r="3712" spans="1:9" ht="15" customHeight="1" x14ac:dyDescent="0.25">
      <c r="A3712" s="7">
        <v>3711</v>
      </c>
      <c r="B3712" s="1">
        <v>43623</v>
      </c>
      <c r="C3712" s="6" t="s">
        <v>11</v>
      </c>
      <c r="D3712" s="6" t="s">
        <v>13</v>
      </c>
      <c r="E3712" s="6">
        <v>3</v>
      </c>
      <c r="F3712" s="6">
        <v>0</v>
      </c>
      <c r="G3712" s="6" t="s">
        <v>9</v>
      </c>
      <c r="H3712" s="6" t="s">
        <v>18</v>
      </c>
      <c r="I3712" s="6">
        <f>TabJogos[[#This Row],[PontosTime1]]-TabJogos[[#This Row],[PontosTime2]]</f>
        <v>3</v>
      </c>
    </row>
    <row r="3713" spans="1:9" ht="15" customHeight="1" x14ac:dyDescent="0.25">
      <c r="A3713" s="7">
        <v>3712</v>
      </c>
      <c r="B3713" s="1">
        <v>43623</v>
      </c>
      <c r="C3713" s="6" t="s">
        <v>11</v>
      </c>
      <c r="D3713" s="6" t="s">
        <v>16</v>
      </c>
      <c r="E3713" s="6">
        <v>3</v>
      </c>
      <c r="F3713" s="6">
        <v>0</v>
      </c>
      <c r="G3713" s="6" t="s">
        <v>13</v>
      </c>
      <c r="H3713" s="6" t="s">
        <v>9</v>
      </c>
      <c r="I3713" s="6">
        <f>TabJogos[[#This Row],[PontosTime1]]-TabJogos[[#This Row],[PontosTime2]]</f>
        <v>3</v>
      </c>
    </row>
    <row r="3714" spans="1:9" ht="15" customHeight="1" x14ac:dyDescent="0.25">
      <c r="A3714" s="7">
        <v>3713</v>
      </c>
      <c r="B3714" s="1">
        <v>43623</v>
      </c>
      <c r="C3714" s="6" t="s">
        <v>11</v>
      </c>
      <c r="D3714" s="6" t="s">
        <v>13</v>
      </c>
      <c r="E3714" s="6">
        <v>2</v>
      </c>
      <c r="F3714" s="6">
        <v>3</v>
      </c>
      <c r="G3714" s="6" t="s">
        <v>16</v>
      </c>
      <c r="H3714" s="6" t="s">
        <v>18</v>
      </c>
      <c r="I3714" s="6">
        <f>TabJogos[[#This Row],[PontosTime1]]-TabJogos[[#This Row],[PontosTime2]]</f>
        <v>-1</v>
      </c>
    </row>
    <row r="3715" spans="1:9" ht="15" customHeight="1" x14ac:dyDescent="0.25">
      <c r="A3715" s="7">
        <v>3714</v>
      </c>
      <c r="B3715" s="1">
        <v>43623</v>
      </c>
      <c r="C3715" s="6" t="s">
        <v>13</v>
      </c>
      <c r="D3715" s="6" t="s">
        <v>18</v>
      </c>
      <c r="E3715" s="6">
        <v>3</v>
      </c>
      <c r="F3715" s="6">
        <v>0</v>
      </c>
      <c r="G3715" s="6" t="s">
        <v>16</v>
      </c>
      <c r="H3715" s="6" t="s">
        <v>9</v>
      </c>
      <c r="I3715" s="6">
        <f>TabJogos[[#This Row],[PontosTime1]]-TabJogos[[#This Row],[PontosTime2]]</f>
        <v>3</v>
      </c>
    </row>
    <row r="3716" spans="1:9" ht="15" customHeight="1" x14ac:dyDescent="0.25">
      <c r="A3716" s="7">
        <v>3715</v>
      </c>
      <c r="B3716" s="1">
        <v>43623</v>
      </c>
      <c r="C3716" s="6" t="s">
        <v>11</v>
      </c>
      <c r="D3716" s="6" t="s">
        <v>18</v>
      </c>
      <c r="E3716" s="6">
        <v>3</v>
      </c>
      <c r="F3716" s="6">
        <v>2</v>
      </c>
      <c r="G3716" s="6" t="s">
        <v>9</v>
      </c>
      <c r="H3716" s="6" t="s">
        <v>13</v>
      </c>
      <c r="I3716" s="6">
        <f>TabJogos[[#This Row],[PontosTime1]]-TabJogos[[#This Row],[PontosTime2]]</f>
        <v>1</v>
      </c>
    </row>
    <row r="3717" spans="1:9" ht="15" customHeight="1" x14ac:dyDescent="0.25">
      <c r="A3717" s="7">
        <v>3716</v>
      </c>
      <c r="B3717" s="1">
        <v>43623</v>
      </c>
      <c r="C3717" s="6" t="s">
        <v>11</v>
      </c>
      <c r="D3717" s="6" t="s">
        <v>9</v>
      </c>
      <c r="E3717" s="6">
        <v>1</v>
      </c>
      <c r="F3717" s="6">
        <v>3</v>
      </c>
      <c r="G3717" s="6" t="s">
        <v>17</v>
      </c>
      <c r="H3717" s="6" t="s">
        <v>18</v>
      </c>
      <c r="I3717" s="6">
        <f>TabJogos[[#This Row],[PontosTime1]]-TabJogos[[#This Row],[PontosTime2]]</f>
        <v>-2</v>
      </c>
    </row>
    <row r="3718" spans="1:9" ht="15" customHeight="1" x14ac:dyDescent="0.25">
      <c r="A3718" s="7">
        <v>3717</v>
      </c>
      <c r="B3718" s="1">
        <v>43623</v>
      </c>
      <c r="C3718" s="6" t="s">
        <v>17</v>
      </c>
      <c r="D3718" s="6" t="s">
        <v>9</v>
      </c>
      <c r="E3718" s="6">
        <v>1</v>
      </c>
      <c r="F3718" s="6">
        <v>3</v>
      </c>
      <c r="G3718" s="6" t="s">
        <v>13</v>
      </c>
      <c r="H3718" s="6" t="s">
        <v>18</v>
      </c>
      <c r="I3718" s="6">
        <f>TabJogos[[#This Row],[PontosTime1]]-TabJogos[[#This Row],[PontosTime2]]</f>
        <v>-2</v>
      </c>
    </row>
    <row r="3719" spans="1:9" ht="15" customHeight="1" x14ac:dyDescent="0.25">
      <c r="A3719" s="7">
        <v>3718</v>
      </c>
      <c r="B3719" s="1">
        <v>43623</v>
      </c>
      <c r="C3719" s="6" t="s">
        <v>17</v>
      </c>
      <c r="D3719" s="6" t="s">
        <v>13</v>
      </c>
      <c r="E3719" s="6">
        <v>3</v>
      </c>
      <c r="F3719" s="6">
        <v>1</v>
      </c>
      <c r="G3719" s="6" t="s">
        <v>11</v>
      </c>
      <c r="H3719" s="6" t="s">
        <v>18</v>
      </c>
      <c r="I3719" s="6">
        <f>TabJogos[[#This Row],[PontosTime1]]-TabJogos[[#This Row],[PontosTime2]]</f>
        <v>2</v>
      </c>
    </row>
    <row r="3720" spans="1:9" ht="15" customHeight="1" x14ac:dyDescent="0.25">
      <c r="A3720" s="7">
        <v>3719</v>
      </c>
      <c r="B3720" s="1">
        <v>43627</v>
      </c>
      <c r="C3720" s="6" t="s">
        <v>13</v>
      </c>
      <c r="D3720" s="6" t="s">
        <v>18</v>
      </c>
      <c r="E3720" s="6">
        <v>1</v>
      </c>
      <c r="F3720" s="6">
        <v>3</v>
      </c>
      <c r="G3720" s="6" t="s">
        <v>10</v>
      </c>
      <c r="H3720" s="6" t="s">
        <v>12</v>
      </c>
      <c r="I3720" s="6">
        <f>TabJogos[[#This Row],[PontosTime1]]-TabJogos[[#This Row],[PontosTime2]]</f>
        <v>-2</v>
      </c>
    </row>
    <row r="3721" spans="1:9" ht="15" customHeight="1" x14ac:dyDescent="0.25">
      <c r="A3721" s="7">
        <v>3720</v>
      </c>
      <c r="B3721" s="1">
        <v>43627</v>
      </c>
      <c r="C3721" s="6" t="s">
        <v>13</v>
      </c>
      <c r="D3721" s="6" t="s">
        <v>12</v>
      </c>
      <c r="E3721" s="6">
        <v>2</v>
      </c>
      <c r="F3721" s="6">
        <v>3</v>
      </c>
      <c r="G3721" s="6" t="s">
        <v>10</v>
      </c>
      <c r="H3721" s="6" t="s">
        <v>18</v>
      </c>
      <c r="I3721" s="6">
        <f>TabJogos[[#This Row],[PontosTime1]]-TabJogos[[#This Row],[PontosTime2]]</f>
        <v>-1</v>
      </c>
    </row>
    <row r="3722" spans="1:9" ht="15" customHeight="1" x14ac:dyDescent="0.25">
      <c r="A3722" s="7">
        <v>3721</v>
      </c>
      <c r="B3722" s="1">
        <v>43627</v>
      </c>
      <c r="C3722" s="6" t="s">
        <v>41</v>
      </c>
      <c r="D3722" s="6" t="s">
        <v>10</v>
      </c>
      <c r="E3722" s="6">
        <v>0</v>
      </c>
      <c r="F3722" s="6">
        <v>4</v>
      </c>
      <c r="G3722" s="6" t="s">
        <v>12</v>
      </c>
      <c r="H3722" s="6" t="s">
        <v>18</v>
      </c>
      <c r="I3722" s="6">
        <f>TabJogos[[#This Row],[PontosTime1]]-TabJogos[[#This Row],[PontosTime2]]</f>
        <v>-4</v>
      </c>
    </row>
    <row r="3723" spans="1:9" ht="15" customHeight="1" x14ac:dyDescent="0.25">
      <c r="A3723" s="7">
        <v>3722</v>
      </c>
      <c r="B3723" s="1">
        <v>43627</v>
      </c>
      <c r="C3723" s="6" t="s">
        <v>17</v>
      </c>
      <c r="D3723" s="6" t="s">
        <v>12</v>
      </c>
      <c r="E3723" s="6">
        <v>3</v>
      </c>
      <c r="F3723" s="6">
        <v>2</v>
      </c>
      <c r="G3723" s="6" t="s">
        <v>13</v>
      </c>
      <c r="H3723" s="6" t="s">
        <v>18</v>
      </c>
      <c r="I3723" s="6">
        <f>TabJogos[[#This Row],[PontosTime1]]-TabJogos[[#This Row],[PontosTime2]]</f>
        <v>1</v>
      </c>
    </row>
    <row r="3724" spans="1:9" ht="15" customHeight="1" x14ac:dyDescent="0.25">
      <c r="A3724" s="7">
        <v>3723</v>
      </c>
      <c r="B3724" s="1">
        <v>43627</v>
      </c>
      <c r="C3724" s="6" t="s">
        <v>41</v>
      </c>
      <c r="D3724" s="6" t="s">
        <v>18</v>
      </c>
      <c r="E3724" s="6">
        <v>4</v>
      </c>
      <c r="F3724" s="6">
        <v>2</v>
      </c>
      <c r="G3724" s="6" t="s">
        <v>10</v>
      </c>
      <c r="H3724" s="6" t="s">
        <v>17</v>
      </c>
      <c r="I3724" s="6">
        <f>TabJogos[[#This Row],[PontosTime1]]-TabJogos[[#This Row],[PontosTime2]]</f>
        <v>2</v>
      </c>
    </row>
    <row r="3725" spans="1:9" ht="15" customHeight="1" x14ac:dyDescent="0.25">
      <c r="A3725" s="7">
        <v>3724</v>
      </c>
      <c r="B3725" s="1">
        <v>43627</v>
      </c>
      <c r="C3725" s="6" t="s">
        <v>11</v>
      </c>
      <c r="D3725" s="6" t="s">
        <v>18</v>
      </c>
      <c r="E3725" s="6">
        <v>0</v>
      </c>
      <c r="F3725" s="6">
        <v>3</v>
      </c>
      <c r="G3725" s="6" t="s">
        <v>13</v>
      </c>
      <c r="H3725" s="6" t="s">
        <v>17</v>
      </c>
      <c r="I3725" s="6">
        <f>TabJogos[[#This Row],[PontosTime1]]-TabJogos[[#This Row],[PontosTime2]]</f>
        <v>-3</v>
      </c>
    </row>
    <row r="3726" spans="1:9" ht="15" customHeight="1" x14ac:dyDescent="0.25">
      <c r="A3726" s="7">
        <v>3725</v>
      </c>
      <c r="B3726" s="1">
        <v>43627</v>
      </c>
      <c r="C3726" s="6" t="s">
        <v>11</v>
      </c>
      <c r="D3726" s="6" t="s">
        <v>13</v>
      </c>
      <c r="E3726" s="6">
        <v>4</v>
      </c>
      <c r="F3726" s="6">
        <v>1</v>
      </c>
      <c r="G3726" s="6" t="s">
        <v>41</v>
      </c>
      <c r="H3726" s="6" t="s">
        <v>18</v>
      </c>
      <c r="I3726" s="6">
        <f>TabJogos[[#This Row],[PontosTime1]]-TabJogos[[#This Row],[PontosTime2]]</f>
        <v>3</v>
      </c>
    </row>
    <row r="3727" spans="1:9" ht="15" customHeight="1" x14ac:dyDescent="0.25">
      <c r="A3727" s="7">
        <v>3726</v>
      </c>
      <c r="B3727" s="1">
        <v>43627</v>
      </c>
      <c r="C3727" s="6" t="s">
        <v>11</v>
      </c>
      <c r="D3727" s="6" t="s">
        <v>41</v>
      </c>
      <c r="E3727" s="6">
        <v>1</v>
      </c>
      <c r="F3727" s="6">
        <v>3</v>
      </c>
      <c r="G3727" s="6" t="s">
        <v>13</v>
      </c>
      <c r="H3727" s="6" t="s">
        <v>32</v>
      </c>
      <c r="I3727" s="6">
        <f>TabJogos[[#This Row],[PontosTime1]]-TabJogos[[#This Row],[PontosTime2]]</f>
        <v>-2</v>
      </c>
    </row>
    <row r="3728" spans="1:9" ht="15" customHeight="1" x14ac:dyDescent="0.25">
      <c r="A3728" s="7">
        <v>3727</v>
      </c>
      <c r="B3728" s="1">
        <v>43627</v>
      </c>
      <c r="C3728" s="6" t="s">
        <v>11</v>
      </c>
      <c r="D3728" s="6" t="s">
        <v>32</v>
      </c>
      <c r="E3728" s="6">
        <v>3</v>
      </c>
      <c r="F3728" s="6">
        <v>0</v>
      </c>
      <c r="G3728" s="6" t="s">
        <v>13</v>
      </c>
      <c r="H3728" s="6" t="s">
        <v>18</v>
      </c>
      <c r="I3728" s="6">
        <f>TabJogos[[#This Row],[PontosTime1]]-TabJogos[[#This Row],[PontosTime2]]</f>
        <v>3</v>
      </c>
    </row>
    <row r="3729" spans="1:9" ht="15" customHeight="1" x14ac:dyDescent="0.25">
      <c r="A3729" s="7">
        <v>3728</v>
      </c>
      <c r="B3729" s="1">
        <v>43627</v>
      </c>
      <c r="C3729" s="6" t="s">
        <v>41</v>
      </c>
      <c r="D3729" s="6" t="s">
        <v>32</v>
      </c>
      <c r="E3729" s="6">
        <v>4</v>
      </c>
      <c r="F3729" s="6">
        <v>0</v>
      </c>
      <c r="G3729" s="6" t="s">
        <v>11</v>
      </c>
      <c r="H3729" s="6" t="s">
        <v>18</v>
      </c>
      <c r="I3729" s="6">
        <f>TabJogos[[#This Row],[PontosTime1]]-TabJogos[[#This Row],[PontosTime2]]</f>
        <v>4</v>
      </c>
    </row>
    <row r="3730" spans="1:9" ht="15" customHeight="1" x14ac:dyDescent="0.25">
      <c r="A3730" s="7">
        <v>3729</v>
      </c>
      <c r="B3730" s="1">
        <v>43627</v>
      </c>
      <c r="C3730" s="6" t="s">
        <v>41</v>
      </c>
      <c r="D3730" s="6" t="s">
        <v>13</v>
      </c>
      <c r="E3730" s="6">
        <v>3</v>
      </c>
      <c r="F3730" s="6">
        <v>0</v>
      </c>
      <c r="G3730" s="6" t="s">
        <v>32</v>
      </c>
      <c r="H3730" s="6" t="s">
        <v>18</v>
      </c>
      <c r="I3730" s="6">
        <f>TabJogos[[#This Row],[PontosTime1]]-TabJogos[[#This Row],[PontosTime2]]</f>
        <v>3</v>
      </c>
    </row>
    <row r="3731" spans="1:9" ht="15" customHeight="1" x14ac:dyDescent="0.25">
      <c r="A3731" s="7">
        <v>3730</v>
      </c>
      <c r="B3731" s="1">
        <v>43627</v>
      </c>
      <c r="C3731" s="6" t="s">
        <v>11</v>
      </c>
      <c r="D3731" s="6" t="s">
        <v>41</v>
      </c>
      <c r="E3731" s="6">
        <v>3</v>
      </c>
      <c r="F3731" s="6">
        <v>2</v>
      </c>
      <c r="G3731" s="6" t="s">
        <v>18</v>
      </c>
      <c r="H3731" s="6" t="s">
        <v>13</v>
      </c>
      <c r="I3731" s="6">
        <f>TabJogos[[#This Row],[PontosTime1]]-TabJogos[[#This Row],[PontosTime2]]</f>
        <v>1</v>
      </c>
    </row>
    <row r="3732" spans="1:9" ht="15" customHeight="1" x14ac:dyDescent="0.25">
      <c r="A3732" s="7">
        <v>3731</v>
      </c>
      <c r="B3732" s="1">
        <v>43628</v>
      </c>
      <c r="C3732" s="6" t="s">
        <v>10</v>
      </c>
      <c r="D3732" s="6" t="s">
        <v>13</v>
      </c>
      <c r="E3732" s="6">
        <v>2</v>
      </c>
      <c r="F3732" s="6">
        <v>3</v>
      </c>
      <c r="G3732" s="6" t="s">
        <v>12</v>
      </c>
      <c r="H3732" s="6" t="s">
        <v>11</v>
      </c>
      <c r="I3732" s="6">
        <f>TabJogos[[#This Row],[PontosTime1]]-TabJogos[[#This Row],[PontosTime2]]</f>
        <v>-1</v>
      </c>
    </row>
    <row r="3733" spans="1:9" ht="15" customHeight="1" x14ac:dyDescent="0.25">
      <c r="A3733" s="7">
        <v>3732</v>
      </c>
      <c r="B3733" s="1">
        <v>43628</v>
      </c>
      <c r="C3733" s="6" t="s">
        <v>12</v>
      </c>
      <c r="D3733" s="6" t="s">
        <v>13</v>
      </c>
      <c r="E3733" s="6">
        <v>4</v>
      </c>
      <c r="F3733" s="6">
        <v>2</v>
      </c>
      <c r="G3733" s="6" t="s">
        <v>11</v>
      </c>
      <c r="H3733" s="6" t="s">
        <v>10</v>
      </c>
      <c r="I3733" s="6">
        <f>TabJogos[[#This Row],[PontosTime1]]-TabJogos[[#This Row],[PontosTime2]]</f>
        <v>2</v>
      </c>
    </row>
    <row r="3734" spans="1:9" ht="15" customHeight="1" x14ac:dyDescent="0.25">
      <c r="A3734" s="7">
        <v>3733</v>
      </c>
      <c r="B3734" s="1">
        <v>43628</v>
      </c>
      <c r="C3734" s="6" t="s">
        <v>12</v>
      </c>
      <c r="D3734" s="6" t="s">
        <v>10</v>
      </c>
      <c r="E3734" s="6">
        <v>3</v>
      </c>
      <c r="F3734" s="6">
        <v>1</v>
      </c>
      <c r="G3734" s="6" t="s">
        <v>11</v>
      </c>
      <c r="H3734" s="6" t="s">
        <v>13</v>
      </c>
      <c r="I3734" s="6">
        <f>TabJogos[[#This Row],[PontosTime1]]-TabJogos[[#This Row],[PontosTime2]]</f>
        <v>2</v>
      </c>
    </row>
    <row r="3735" spans="1:9" ht="15" customHeight="1" x14ac:dyDescent="0.25">
      <c r="A3735" s="7">
        <v>3734</v>
      </c>
      <c r="B3735" s="1">
        <v>43628</v>
      </c>
      <c r="C3735" s="6" t="s">
        <v>11</v>
      </c>
      <c r="D3735" s="6" t="s">
        <v>41</v>
      </c>
      <c r="E3735" s="6">
        <v>3</v>
      </c>
      <c r="F3735" s="6">
        <v>0</v>
      </c>
      <c r="G3735" s="6" t="s">
        <v>13</v>
      </c>
      <c r="H3735" s="6" t="s">
        <v>10</v>
      </c>
      <c r="I3735" s="6">
        <f>TabJogos[[#This Row],[PontosTime1]]-TabJogos[[#This Row],[PontosTime2]]</f>
        <v>3</v>
      </c>
    </row>
    <row r="3736" spans="1:9" ht="15" customHeight="1" x14ac:dyDescent="0.25">
      <c r="A3736" s="7">
        <v>3735</v>
      </c>
      <c r="B3736" s="1">
        <v>43628</v>
      </c>
      <c r="C3736" s="6" t="s">
        <v>11</v>
      </c>
      <c r="D3736" s="6" t="s">
        <v>10</v>
      </c>
      <c r="E3736" s="6">
        <v>3</v>
      </c>
      <c r="F3736" s="6">
        <v>1</v>
      </c>
      <c r="G3736" s="6" t="s">
        <v>13</v>
      </c>
      <c r="H3736" s="6" t="s">
        <v>41</v>
      </c>
      <c r="I3736" s="6">
        <f>TabJogos[[#This Row],[PontosTime1]]-TabJogos[[#This Row],[PontosTime2]]</f>
        <v>2</v>
      </c>
    </row>
    <row r="3737" spans="1:9" ht="15" customHeight="1" x14ac:dyDescent="0.25">
      <c r="A3737" s="7">
        <v>3736</v>
      </c>
      <c r="B3737" s="1">
        <v>43628</v>
      </c>
      <c r="C3737" s="6" t="s">
        <v>11</v>
      </c>
      <c r="D3737" s="6" t="s">
        <v>13</v>
      </c>
      <c r="E3737" s="6">
        <v>6</v>
      </c>
      <c r="F3737" s="6">
        <v>0</v>
      </c>
      <c r="G3737" s="6" t="s">
        <v>27</v>
      </c>
      <c r="H3737" s="6" t="s">
        <v>10</v>
      </c>
      <c r="I3737" s="6">
        <f>TabJogos[[#This Row],[PontosTime1]]-TabJogos[[#This Row],[PontosTime2]]</f>
        <v>6</v>
      </c>
    </row>
    <row r="3738" spans="1:9" ht="15" customHeight="1" x14ac:dyDescent="0.25">
      <c r="A3738" s="7">
        <v>3737</v>
      </c>
      <c r="B3738" s="1">
        <v>43628</v>
      </c>
      <c r="C3738" s="6" t="s">
        <v>11</v>
      </c>
      <c r="D3738" s="6" t="s">
        <v>41</v>
      </c>
      <c r="E3738" s="6">
        <v>0</v>
      </c>
      <c r="F3738" s="6">
        <v>3</v>
      </c>
      <c r="G3738" s="6" t="s">
        <v>13</v>
      </c>
      <c r="H3738" s="6" t="s">
        <v>27</v>
      </c>
      <c r="I3738" s="6">
        <f>TabJogos[[#This Row],[PontosTime1]]-TabJogos[[#This Row],[PontosTime2]]</f>
        <v>-3</v>
      </c>
    </row>
    <row r="3739" spans="1:9" ht="15" customHeight="1" x14ac:dyDescent="0.25">
      <c r="A3739" s="7">
        <v>3738</v>
      </c>
      <c r="B3739" s="1">
        <v>43628</v>
      </c>
      <c r="C3739" s="6" t="s">
        <v>27</v>
      </c>
      <c r="D3739" s="6" t="s">
        <v>41</v>
      </c>
      <c r="E3739" s="6">
        <v>6</v>
      </c>
      <c r="F3739" s="6">
        <v>0</v>
      </c>
      <c r="G3739" s="6" t="s">
        <v>13</v>
      </c>
      <c r="H3739" s="6" t="s">
        <v>10</v>
      </c>
      <c r="I3739" s="6">
        <f>TabJogos[[#This Row],[PontosTime1]]-TabJogos[[#This Row],[PontosTime2]]</f>
        <v>6</v>
      </c>
    </row>
    <row r="3740" spans="1:9" ht="15" customHeight="1" x14ac:dyDescent="0.25">
      <c r="A3740" s="7">
        <v>3739</v>
      </c>
      <c r="B3740" s="1">
        <v>43628</v>
      </c>
      <c r="C3740" s="6" t="s">
        <v>10</v>
      </c>
      <c r="D3740" s="6" t="s">
        <v>41</v>
      </c>
      <c r="E3740" s="6">
        <v>3</v>
      </c>
      <c r="F3740" s="6">
        <v>1</v>
      </c>
      <c r="G3740" s="6" t="s">
        <v>27</v>
      </c>
      <c r="H3740" s="6" t="s">
        <v>11</v>
      </c>
      <c r="I3740" s="6">
        <f>TabJogos[[#This Row],[PontosTime1]]-TabJogos[[#This Row],[PontosTime2]]</f>
        <v>2</v>
      </c>
    </row>
    <row r="3741" spans="1:9" ht="15" customHeight="1" x14ac:dyDescent="0.25">
      <c r="A3741" s="7">
        <v>3740</v>
      </c>
      <c r="B3741" s="1">
        <v>43628</v>
      </c>
      <c r="C3741" s="6" t="s">
        <v>13</v>
      </c>
      <c r="D3741" s="6" t="s">
        <v>41</v>
      </c>
      <c r="E3741" s="6">
        <v>3</v>
      </c>
      <c r="F3741" s="6">
        <v>1</v>
      </c>
      <c r="G3741" s="6" t="s">
        <v>11</v>
      </c>
      <c r="H3741" s="6" t="s">
        <v>10</v>
      </c>
      <c r="I3741" s="6">
        <f>TabJogos[[#This Row],[PontosTime1]]-TabJogos[[#This Row],[PontosTime2]]</f>
        <v>2</v>
      </c>
    </row>
    <row r="3742" spans="1:9" ht="15" customHeight="1" x14ac:dyDescent="0.25">
      <c r="A3742" s="7">
        <v>3741</v>
      </c>
      <c r="B3742" s="1">
        <v>43629</v>
      </c>
      <c r="C3742" s="6" t="s">
        <v>17</v>
      </c>
      <c r="D3742" s="6" t="s">
        <v>18</v>
      </c>
      <c r="E3742" s="6">
        <v>6</v>
      </c>
      <c r="F3742" s="6">
        <v>1</v>
      </c>
      <c r="G3742" s="6" t="s">
        <v>16</v>
      </c>
      <c r="H3742" s="6" t="s">
        <v>10</v>
      </c>
      <c r="I3742" s="6">
        <f>TabJogos[[#This Row],[PontosTime1]]-TabJogos[[#This Row],[PontosTime2]]</f>
        <v>5</v>
      </c>
    </row>
    <row r="3743" spans="1:9" ht="15" customHeight="1" x14ac:dyDescent="0.25">
      <c r="A3743" s="7">
        <v>3742</v>
      </c>
      <c r="B3743" s="1">
        <v>43629</v>
      </c>
      <c r="C3743" s="6" t="s">
        <v>11</v>
      </c>
      <c r="D3743" s="6" t="s">
        <v>17</v>
      </c>
      <c r="E3743" s="6">
        <v>3</v>
      </c>
      <c r="F3743" s="6">
        <v>1</v>
      </c>
      <c r="G3743" s="6" t="s">
        <v>13</v>
      </c>
      <c r="H3743" s="6" t="s">
        <v>18</v>
      </c>
      <c r="I3743" s="6">
        <f>TabJogos[[#This Row],[PontosTime1]]-TabJogos[[#This Row],[PontosTime2]]</f>
        <v>2</v>
      </c>
    </row>
    <row r="3744" spans="1:9" ht="15" customHeight="1" x14ac:dyDescent="0.25">
      <c r="A3744" s="7">
        <v>3743</v>
      </c>
      <c r="B3744" s="1">
        <v>43629</v>
      </c>
      <c r="C3744" s="6" t="s">
        <v>10</v>
      </c>
      <c r="D3744" s="6" t="s">
        <v>11</v>
      </c>
      <c r="E3744" s="6">
        <v>3</v>
      </c>
      <c r="F3744" s="6">
        <v>0</v>
      </c>
      <c r="G3744" s="6" t="s">
        <v>16</v>
      </c>
      <c r="H3744" s="6" t="s">
        <v>12</v>
      </c>
      <c r="I3744" s="6">
        <f>TabJogos[[#This Row],[PontosTime1]]-TabJogos[[#This Row],[PontosTime2]]</f>
        <v>3</v>
      </c>
    </row>
    <row r="3745" spans="1:9" ht="15" customHeight="1" x14ac:dyDescent="0.25">
      <c r="A3745" s="7">
        <v>3744</v>
      </c>
      <c r="B3745" s="1">
        <v>43629</v>
      </c>
      <c r="C3745" s="6" t="s">
        <v>10</v>
      </c>
      <c r="D3745" s="6" t="s">
        <v>18</v>
      </c>
      <c r="E3745" s="6">
        <v>3</v>
      </c>
      <c r="F3745" s="6">
        <v>0</v>
      </c>
      <c r="G3745" s="6" t="s">
        <v>11</v>
      </c>
      <c r="H3745" s="6" t="s">
        <v>13</v>
      </c>
      <c r="I3745" s="6">
        <f>TabJogos[[#This Row],[PontosTime1]]-TabJogos[[#This Row],[PontosTime2]]</f>
        <v>3</v>
      </c>
    </row>
    <row r="3746" spans="1:9" ht="15" customHeight="1" x14ac:dyDescent="0.25">
      <c r="A3746" s="7">
        <v>3745</v>
      </c>
      <c r="B3746" s="1">
        <v>43629</v>
      </c>
      <c r="C3746" s="6" t="s">
        <v>10</v>
      </c>
      <c r="D3746" s="6" t="s">
        <v>18</v>
      </c>
      <c r="E3746" s="6">
        <v>4</v>
      </c>
      <c r="F3746" s="6">
        <v>2</v>
      </c>
      <c r="G3746" s="6" t="s">
        <v>32</v>
      </c>
      <c r="H3746" s="6" t="s">
        <v>16</v>
      </c>
      <c r="I3746" s="6">
        <f>TabJogos[[#This Row],[PontosTime1]]-TabJogos[[#This Row],[PontosTime2]]</f>
        <v>2</v>
      </c>
    </row>
    <row r="3747" spans="1:9" ht="15" customHeight="1" x14ac:dyDescent="0.25">
      <c r="A3747" s="7">
        <v>3746</v>
      </c>
      <c r="B3747" s="1">
        <v>43629</v>
      </c>
      <c r="C3747" s="6" t="s">
        <v>11</v>
      </c>
      <c r="D3747" s="6" t="s">
        <v>18</v>
      </c>
      <c r="E3747" s="6">
        <v>1</v>
      </c>
      <c r="F3747" s="6">
        <v>3</v>
      </c>
      <c r="G3747" s="6" t="s">
        <v>10</v>
      </c>
      <c r="H3747" s="6" t="s">
        <v>13</v>
      </c>
      <c r="I3747" s="6">
        <f>TabJogos[[#This Row],[PontosTime1]]-TabJogos[[#This Row],[PontosTime2]]</f>
        <v>-2</v>
      </c>
    </row>
    <row r="3748" spans="1:9" ht="15" customHeight="1" x14ac:dyDescent="0.25">
      <c r="A3748" s="7">
        <v>3747</v>
      </c>
      <c r="B3748" s="1">
        <v>43629</v>
      </c>
      <c r="C3748" s="6" t="s">
        <v>13</v>
      </c>
      <c r="D3748" s="6" t="s">
        <v>10</v>
      </c>
      <c r="E3748" s="6">
        <v>3</v>
      </c>
      <c r="F3748" s="6">
        <v>1</v>
      </c>
      <c r="G3748" s="6" t="s">
        <v>16</v>
      </c>
      <c r="H3748" s="6" t="s">
        <v>32</v>
      </c>
      <c r="I3748" s="6">
        <f>TabJogos[[#This Row],[PontosTime1]]-TabJogos[[#This Row],[PontosTime2]]</f>
        <v>2</v>
      </c>
    </row>
    <row r="3749" spans="1:9" ht="15" customHeight="1" x14ac:dyDescent="0.25">
      <c r="A3749" s="7">
        <v>3748</v>
      </c>
      <c r="B3749" s="1">
        <v>43629</v>
      </c>
      <c r="C3749" s="6" t="s">
        <v>13</v>
      </c>
      <c r="D3749" s="6" t="s">
        <v>18</v>
      </c>
      <c r="E3749" s="6">
        <v>3</v>
      </c>
      <c r="F3749" s="6">
        <v>1</v>
      </c>
      <c r="G3749" s="6" t="s">
        <v>10</v>
      </c>
      <c r="H3749" s="6" t="s">
        <v>11</v>
      </c>
      <c r="I3749" s="6">
        <f>TabJogos[[#This Row],[PontosTime1]]-TabJogos[[#This Row],[PontosTime2]]</f>
        <v>2</v>
      </c>
    </row>
    <row r="3750" spans="1:9" ht="15" customHeight="1" x14ac:dyDescent="0.25">
      <c r="A3750" s="7">
        <v>3749</v>
      </c>
      <c r="B3750" s="1">
        <v>43629</v>
      </c>
      <c r="C3750" s="6" t="s">
        <v>11</v>
      </c>
      <c r="D3750" s="6" t="s">
        <v>13</v>
      </c>
      <c r="E3750" s="6">
        <v>3</v>
      </c>
      <c r="F3750" s="6">
        <v>0</v>
      </c>
      <c r="G3750" s="6" t="s">
        <v>18</v>
      </c>
      <c r="H3750" s="6" t="s">
        <v>10</v>
      </c>
      <c r="I3750" s="6">
        <f>TabJogos[[#This Row],[PontosTime1]]-TabJogos[[#This Row],[PontosTime2]]</f>
        <v>3</v>
      </c>
    </row>
    <row r="3751" spans="1:9" ht="15" customHeight="1" x14ac:dyDescent="0.25">
      <c r="A3751" s="7">
        <v>3750</v>
      </c>
      <c r="B3751" s="1">
        <v>43629</v>
      </c>
      <c r="C3751" s="6" t="s">
        <v>11</v>
      </c>
      <c r="D3751" s="6" t="s">
        <v>18</v>
      </c>
      <c r="E3751" s="6">
        <v>0</v>
      </c>
      <c r="F3751" s="6">
        <v>4</v>
      </c>
      <c r="G3751" s="6" t="s">
        <v>13</v>
      </c>
      <c r="H3751" s="6" t="s">
        <v>10</v>
      </c>
      <c r="I3751" s="6">
        <f>TabJogos[[#This Row],[PontosTime1]]-TabJogos[[#This Row],[PontosTime2]]</f>
        <v>-4</v>
      </c>
    </row>
    <row r="3752" spans="1:9" ht="15" customHeight="1" x14ac:dyDescent="0.25">
      <c r="A3752" s="7">
        <v>3751</v>
      </c>
      <c r="B3752" s="1">
        <v>43629</v>
      </c>
      <c r="C3752" s="6" t="s">
        <v>11</v>
      </c>
      <c r="D3752" s="6" t="s">
        <v>10</v>
      </c>
      <c r="E3752" s="6">
        <v>2</v>
      </c>
      <c r="F3752" s="6">
        <v>3</v>
      </c>
      <c r="G3752" s="6" t="s">
        <v>18</v>
      </c>
      <c r="H3752" s="6" t="s">
        <v>13</v>
      </c>
      <c r="I3752" s="6">
        <f>TabJogos[[#This Row],[PontosTime1]]-TabJogos[[#This Row],[PontosTime2]]</f>
        <v>-1</v>
      </c>
    </row>
    <row r="3753" spans="1:9" ht="15" customHeight="1" x14ac:dyDescent="0.25">
      <c r="A3753" s="7">
        <v>3752</v>
      </c>
      <c r="B3753" s="1">
        <v>43629</v>
      </c>
      <c r="C3753" s="6" t="s">
        <v>11</v>
      </c>
      <c r="D3753" s="6" t="s">
        <v>13</v>
      </c>
      <c r="E3753" s="6">
        <v>1</v>
      </c>
      <c r="F3753" s="6">
        <v>4</v>
      </c>
      <c r="G3753" s="6" t="s">
        <v>18</v>
      </c>
      <c r="H3753" s="6" t="s">
        <v>9</v>
      </c>
      <c r="I3753" s="6">
        <f>TabJogos[[#This Row],[PontosTime1]]-TabJogos[[#This Row],[PontosTime2]]</f>
        <v>-3</v>
      </c>
    </row>
    <row r="3754" spans="1:9" ht="15" customHeight="1" x14ac:dyDescent="0.25">
      <c r="A3754" s="7">
        <v>3753</v>
      </c>
      <c r="B3754" s="1">
        <v>43629</v>
      </c>
      <c r="C3754" s="6" t="s">
        <v>18</v>
      </c>
      <c r="D3754" s="6" t="s">
        <v>13</v>
      </c>
      <c r="E3754" s="6">
        <v>3</v>
      </c>
      <c r="F3754" s="6">
        <v>2</v>
      </c>
      <c r="G3754" s="6" t="s">
        <v>9</v>
      </c>
      <c r="H3754" s="6" t="s">
        <v>10</v>
      </c>
      <c r="I3754" s="6">
        <f>TabJogos[[#This Row],[PontosTime1]]-TabJogos[[#This Row],[PontosTime2]]</f>
        <v>1</v>
      </c>
    </row>
    <row r="3755" spans="1:9" ht="15" customHeight="1" x14ac:dyDescent="0.25">
      <c r="A3755" s="7">
        <v>3754</v>
      </c>
      <c r="B3755" s="1">
        <v>43629</v>
      </c>
      <c r="C3755" s="6" t="s">
        <v>18</v>
      </c>
      <c r="D3755" s="6" t="s">
        <v>10</v>
      </c>
      <c r="E3755" s="6">
        <v>0</v>
      </c>
      <c r="F3755" s="6">
        <v>3</v>
      </c>
      <c r="G3755" s="6" t="s">
        <v>13</v>
      </c>
      <c r="H3755" s="6" t="s">
        <v>9</v>
      </c>
      <c r="I3755" s="6">
        <f>TabJogos[[#This Row],[PontosTime1]]-TabJogos[[#This Row],[PontosTime2]]</f>
        <v>-3</v>
      </c>
    </row>
    <row r="3756" spans="1:9" ht="15" customHeight="1" x14ac:dyDescent="0.25">
      <c r="A3756" s="7">
        <v>3755</v>
      </c>
      <c r="B3756" s="1">
        <v>43630</v>
      </c>
      <c r="C3756" s="6" t="s">
        <v>9</v>
      </c>
      <c r="D3756" s="6" t="s">
        <v>18</v>
      </c>
      <c r="E3756" s="6">
        <v>3</v>
      </c>
      <c r="F3756" s="6">
        <v>0</v>
      </c>
      <c r="G3756" s="6" t="s">
        <v>16</v>
      </c>
      <c r="H3756" s="6" t="s">
        <v>10</v>
      </c>
      <c r="I3756" s="6">
        <f>TabJogos[[#This Row],[PontosTime1]]-TabJogos[[#This Row],[PontosTime2]]</f>
        <v>3</v>
      </c>
    </row>
    <row r="3757" spans="1:9" ht="15" customHeight="1" x14ac:dyDescent="0.25">
      <c r="A3757" s="7">
        <v>3756</v>
      </c>
      <c r="B3757" s="1">
        <v>43630</v>
      </c>
      <c r="C3757" s="6" t="s">
        <v>9</v>
      </c>
      <c r="D3757" s="6" t="s">
        <v>11</v>
      </c>
      <c r="E3757" s="6">
        <v>3</v>
      </c>
      <c r="F3757" s="6">
        <v>1</v>
      </c>
      <c r="G3757" s="6" t="s">
        <v>12</v>
      </c>
      <c r="H3757" s="6" t="s">
        <v>18</v>
      </c>
      <c r="I3757" s="6">
        <f>TabJogos[[#This Row],[PontosTime1]]-TabJogos[[#This Row],[PontosTime2]]</f>
        <v>2</v>
      </c>
    </row>
    <row r="3758" spans="1:9" ht="15" customHeight="1" x14ac:dyDescent="0.25">
      <c r="A3758" s="7">
        <v>3757</v>
      </c>
      <c r="B3758" s="1">
        <v>43630</v>
      </c>
      <c r="C3758" s="6" t="s">
        <v>9</v>
      </c>
      <c r="D3758" s="6" t="s">
        <v>10</v>
      </c>
      <c r="E3758" s="6">
        <v>0</v>
      </c>
      <c r="F3758" s="6">
        <v>3</v>
      </c>
      <c r="G3758" s="6" t="s">
        <v>11</v>
      </c>
      <c r="H3758" s="6" t="s">
        <v>18</v>
      </c>
      <c r="I3758" s="6">
        <f>TabJogos[[#This Row],[PontosTime1]]-TabJogos[[#This Row],[PontosTime2]]</f>
        <v>-3</v>
      </c>
    </row>
    <row r="3759" spans="1:9" ht="15" customHeight="1" x14ac:dyDescent="0.25">
      <c r="A3759" s="7">
        <v>3758</v>
      </c>
      <c r="B3759" s="1">
        <v>43630</v>
      </c>
      <c r="C3759" s="6" t="s">
        <v>11</v>
      </c>
      <c r="D3759" s="6" t="s">
        <v>12</v>
      </c>
      <c r="E3759" s="6">
        <v>0</v>
      </c>
      <c r="F3759" s="6">
        <v>3</v>
      </c>
      <c r="G3759" s="6" t="s">
        <v>10</v>
      </c>
      <c r="H3759" s="6" t="s">
        <v>18</v>
      </c>
      <c r="I3759" s="6">
        <f>TabJogos[[#This Row],[PontosTime1]]-TabJogos[[#This Row],[PontosTime2]]</f>
        <v>-3</v>
      </c>
    </row>
    <row r="3760" spans="1:9" ht="15" customHeight="1" x14ac:dyDescent="0.25">
      <c r="A3760" s="7">
        <v>3759</v>
      </c>
      <c r="B3760" s="1">
        <v>43630</v>
      </c>
      <c r="C3760" s="6" t="s">
        <v>41</v>
      </c>
      <c r="D3760" s="6" t="s">
        <v>10</v>
      </c>
      <c r="E3760" s="6">
        <v>3</v>
      </c>
      <c r="F3760" s="6">
        <v>1</v>
      </c>
      <c r="G3760" s="6" t="s">
        <v>9</v>
      </c>
      <c r="H3760" s="6" t="s">
        <v>18</v>
      </c>
      <c r="I3760" s="6">
        <f>TabJogos[[#This Row],[PontosTime1]]-TabJogos[[#This Row],[PontosTime2]]</f>
        <v>2</v>
      </c>
    </row>
    <row r="3761" spans="1:9" ht="15" customHeight="1" x14ac:dyDescent="0.25">
      <c r="A3761" s="7">
        <v>3760</v>
      </c>
      <c r="B3761" s="1">
        <v>43630</v>
      </c>
      <c r="C3761" s="6" t="s">
        <v>41</v>
      </c>
      <c r="D3761" s="6" t="s">
        <v>11</v>
      </c>
      <c r="E3761" s="6">
        <v>3</v>
      </c>
      <c r="F3761" s="6">
        <v>2</v>
      </c>
      <c r="G3761" s="6" t="s">
        <v>10</v>
      </c>
      <c r="H3761" s="6" t="s">
        <v>12</v>
      </c>
      <c r="I3761" s="6">
        <f>TabJogos[[#This Row],[PontosTime1]]-TabJogos[[#This Row],[PontosTime2]]</f>
        <v>1</v>
      </c>
    </row>
    <row r="3762" spans="1:9" ht="15" customHeight="1" x14ac:dyDescent="0.25">
      <c r="A3762" s="7">
        <v>3761</v>
      </c>
      <c r="B3762" s="1">
        <v>43630</v>
      </c>
      <c r="C3762" s="6" t="s">
        <v>41</v>
      </c>
      <c r="D3762" s="6" t="s">
        <v>18</v>
      </c>
      <c r="E3762" s="6">
        <v>5</v>
      </c>
      <c r="F3762" s="6">
        <v>0</v>
      </c>
      <c r="G3762" s="6" t="s">
        <v>17</v>
      </c>
      <c r="H3762" s="6" t="s">
        <v>11</v>
      </c>
      <c r="I3762" s="6">
        <f>TabJogos[[#This Row],[PontosTime1]]-TabJogos[[#This Row],[PontosTime2]]</f>
        <v>5</v>
      </c>
    </row>
    <row r="3763" spans="1:9" ht="15" customHeight="1" x14ac:dyDescent="0.25">
      <c r="A3763" s="7">
        <v>3762</v>
      </c>
      <c r="B3763" s="1">
        <v>43630</v>
      </c>
      <c r="C3763" s="6" t="s">
        <v>41</v>
      </c>
      <c r="D3763" s="6" t="s">
        <v>9</v>
      </c>
      <c r="E3763" s="6">
        <v>4</v>
      </c>
      <c r="F3763" s="6">
        <v>1</v>
      </c>
      <c r="G3763" s="6" t="s">
        <v>17</v>
      </c>
      <c r="H3763" s="6" t="s">
        <v>18</v>
      </c>
      <c r="I3763" s="6">
        <f>TabJogos[[#This Row],[PontosTime1]]-TabJogos[[#This Row],[PontosTime2]]</f>
        <v>3</v>
      </c>
    </row>
    <row r="3764" spans="1:9" ht="15" customHeight="1" x14ac:dyDescent="0.25">
      <c r="A3764" s="7">
        <v>3763</v>
      </c>
      <c r="B3764" s="1">
        <v>43630</v>
      </c>
      <c r="C3764" s="6" t="s">
        <v>9</v>
      </c>
      <c r="D3764" s="6" t="s">
        <v>18</v>
      </c>
      <c r="E3764" s="6">
        <v>4</v>
      </c>
      <c r="F3764" s="6">
        <v>2</v>
      </c>
      <c r="G3764" s="6" t="s">
        <v>11</v>
      </c>
      <c r="H3764" s="6" t="s">
        <v>41</v>
      </c>
      <c r="I3764" s="6">
        <f>TabJogos[[#This Row],[PontosTime1]]-TabJogos[[#This Row],[PontosTime2]]</f>
        <v>2</v>
      </c>
    </row>
    <row r="3765" spans="1:9" ht="15" customHeight="1" x14ac:dyDescent="0.25">
      <c r="A3765" s="7">
        <v>3764</v>
      </c>
      <c r="B3765" s="1">
        <v>43630</v>
      </c>
      <c r="C3765" s="6" t="s">
        <v>11</v>
      </c>
      <c r="D3765" s="6" t="s">
        <v>18</v>
      </c>
      <c r="E3765" s="6">
        <v>0</v>
      </c>
      <c r="F3765" s="6">
        <v>3</v>
      </c>
      <c r="G3765" s="6" t="s">
        <v>17</v>
      </c>
      <c r="H3765" s="6" t="s">
        <v>9</v>
      </c>
      <c r="I3765" s="6">
        <f>TabJogos[[#This Row],[PontosTime1]]-TabJogos[[#This Row],[PontosTime2]]</f>
        <v>-3</v>
      </c>
    </row>
    <row r="3766" spans="1:9" ht="15" customHeight="1" x14ac:dyDescent="0.25">
      <c r="A3766" s="7">
        <v>3765</v>
      </c>
      <c r="B3766" s="1">
        <v>43630</v>
      </c>
      <c r="C3766" s="6" t="s">
        <v>11</v>
      </c>
      <c r="D3766" s="6" t="s">
        <v>9</v>
      </c>
      <c r="E3766" s="6">
        <v>3</v>
      </c>
      <c r="F3766" s="6">
        <v>2</v>
      </c>
      <c r="G3766" s="6" t="s">
        <v>17</v>
      </c>
      <c r="H3766" s="6" t="s">
        <v>18</v>
      </c>
      <c r="I3766" s="6">
        <f>TabJogos[[#This Row],[PontosTime1]]-TabJogos[[#This Row],[PontosTime2]]</f>
        <v>1</v>
      </c>
    </row>
    <row r="3767" spans="1:9" ht="15" customHeight="1" x14ac:dyDescent="0.25">
      <c r="A3767" s="7">
        <v>3766</v>
      </c>
      <c r="B3767" s="1">
        <v>43630</v>
      </c>
      <c r="C3767" s="6" t="s">
        <v>11</v>
      </c>
      <c r="D3767" s="6" t="s">
        <v>17</v>
      </c>
      <c r="E3767" s="6">
        <v>4</v>
      </c>
      <c r="F3767" s="6">
        <v>0</v>
      </c>
      <c r="G3767" s="6" t="s">
        <v>18</v>
      </c>
      <c r="H3767" s="6" t="s">
        <v>9</v>
      </c>
      <c r="I3767" s="6">
        <f>TabJogos[[#This Row],[PontosTime1]]-TabJogos[[#This Row],[PontosTime2]]</f>
        <v>4</v>
      </c>
    </row>
    <row r="3768" spans="1:9" ht="15" customHeight="1" x14ac:dyDescent="0.25">
      <c r="A3768" s="7">
        <v>3767</v>
      </c>
      <c r="B3768" s="1">
        <v>43633</v>
      </c>
      <c r="C3768" s="6" t="s">
        <v>10</v>
      </c>
      <c r="D3768" s="6" t="s">
        <v>17</v>
      </c>
      <c r="E3768" s="6">
        <v>3</v>
      </c>
      <c r="F3768" s="6">
        <v>2</v>
      </c>
      <c r="G3768" s="6" t="s">
        <v>9</v>
      </c>
      <c r="H3768" s="6" t="s">
        <v>13</v>
      </c>
      <c r="I3768" s="6">
        <f>TabJogos[[#This Row],[PontosTime1]]-TabJogos[[#This Row],[PontosTime2]]</f>
        <v>1</v>
      </c>
    </row>
    <row r="3769" spans="1:9" ht="15" customHeight="1" x14ac:dyDescent="0.25">
      <c r="A3769" s="7">
        <v>3768</v>
      </c>
      <c r="B3769" s="1">
        <v>43633</v>
      </c>
      <c r="C3769" s="6" t="s">
        <v>10</v>
      </c>
      <c r="D3769" s="6" t="s">
        <v>13</v>
      </c>
      <c r="E3769" s="6">
        <v>1</v>
      </c>
      <c r="F3769" s="6">
        <v>3</v>
      </c>
      <c r="G3769" s="6" t="s">
        <v>17</v>
      </c>
      <c r="H3769" s="6" t="s">
        <v>9</v>
      </c>
      <c r="I3769" s="6">
        <f>TabJogos[[#This Row],[PontosTime1]]-TabJogos[[#This Row],[PontosTime2]]</f>
        <v>-2</v>
      </c>
    </row>
    <row r="3770" spans="1:9" ht="15" customHeight="1" x14ac:dyDescent="0.25">
      <c r="A3770" s="7">
        <v>3769</v>
      </c>
      <c r="B3770" s="1">
        <v>43633</v>
      </c>
      <c r="C3770" s="6" t="s">
        <v>10</v>
      </c>
      <c r="D3770" s="6" t="s">
        <v>9</v>
      </c>
      <c r="E3770" s="6">
        <v>2</v>
      </c>
      <c r="F3770" s="6">
        <v>3</v>
      </c>
      <c r="G3770" s="6" t="s">
        <v>17</v>
      </c>
      <c r="H3770" s="6" t="s">
        <v>28</v>
      </c>
      <c r="I3770" s="6">
        <f>TabJogos[[#This Row],[PontosTime1]]-TabJogos[[#This Row],[PontosTime2]]</f>
        <v>-1</v>
      </c>
    </row>
    <row r="3771" spans="1:9" ht="15" customHeight="1" x14ac:dyDescent="0.25">
      <c r="A3771" s="7">
        <v>3770</v>
      </c>
      <c r="B3771" s="1">
        <v>43633</v>
      </c>
      <c r="C3771" s="6" t="s">
        <v>10</v>
      </c>
      <c r="D3771" s="6" t="s">
        <v>13</v>
      </c>
      <c r="E3771" s="6">
        <v>0</v>
      </c>
      <c r="F3771" s="6">
        <v>4</v>
      </c>
      <c r="G3771" s="6" t="s">
        <v>17</v>
      </c>
      <c r="H3771" s="6" t="s">
        <v>9</v>
      </c>
      <c r="I3771" s="6">
        <f>TabJogos[[#This Row],[PontosTime1]]-TabJogos[[#This Row],[PontosTime2]]</f>
        <v>-4</v>
      </c>
    </row>
    <row r="3772" spans="1:9" ht="15" customHeight="1" x14ac:dyDescent="0.25">
      <c r="A3772" s="7">
        <v>3771</v>
      </c>
      <c r="B3772" s="1">
        <v>43633</v>
      </c>
      <c r="C3772" s="6" t="s">
        <v>10</v>
      </c>
      <c r="D3772" s="6" t="s">
        <v>17</v>
      </c>
      <c r="E3772" s="6">
        <v>3</v>
      </c>
      <c r="F3772" s="6">
        <v>1</v>
      </c>
      <c r="G3772" s="6" t="s">
        <v>13</v>
      </c>
      <c r="H3772" s="6" t="s">
        <v>9</v>
      </c>
      <c r="I3772" s="6">
        <f>TabJogos[[#This Row],[PontosTime1]]-TabJogos[[#This Row],[PontosTime2]]</f>
        <v>2</v>
      </c>
    </row>
    <row r="3773" spans="1:9" ht="15" customHeight="1" x14ac:dyDescent="0.25">
      <c r="A3773" s="7">
        <v>3772</v>
      </c>
      <c r="B3773" s="1">
        <v>43633</v>
      </c>
      <c r="C3773" s="6" t="s">
        <v>10</v>
      </c>
      <c r="D3773" s="6" t="s">
        <v>18</v>
      </c>
      <c r="E3773" s="6">
        <v>4</v>
      </c>
      <c r="F3773" s="6">
        <v>1</v>
      </c>
      <c r="G3773" s="6" t="s">
        <v>13</v>
      </c>
      <c r="H3773" s="6" t="s">
        <v>10</v>
      </c>
      <c r="I3773" s="6">
        <f>TabJogos[[#This Row],[PontosTime1]]-TabJogos[[#This Row],[PontosTime2]]</f>
        <v>3</v>
      </c>
    </row>
    <row r="3774" spans="1:9" ht="15" customHeight="1" x14ac:dyDescent="0.25">
      <c r="A3774" s="7">
        <v>3773</v>
      </c>
      <c r="B3774" s="1">
        <v>43633</v>
      </c>
      <c r="C3774" s="6" t="s">
        <v>17</v>
      </c>
      <c r="D3774" s="6" t="s">
        <v>9</v>
      </c>
      <c r="E3774" s="6">
        <v>0</v>
      </c>
      <c r="F3774" s="6">
        <v>3</v>
      </c>
      <c r="G3774" s="6" t="s">
        <v>18</v>
      </c>
      <c r="H3774" s="6" t="s">
        <v>13</v>
      </c>
      <c r="I3774" s="6">
        <f>TabJogos[[#This Row],[PontosTime1]]-TabJogos[[#This Row],[PontosTime2]]</f>
        <v>-3</v>
      </c>
    </row>
    <row r="3775" spans="1:9" ht="15" customHeight="1" x14ac:dyDescent="0.25">
      <c r="A3775" s="7">
        <v>3774</v>
      </c>
      <c r="B3775" s="1">
        <v>43633</v>
      </c>
      <c r="C3775" s="6" t="s">
        <v>17</v>
      </c>
      <c r="D3775" s="6" t="s">
        <v>18</v>
      </c>
      <c r="E3775" s="6">
        <v>5</v>
      </c>
      <c r="F3775" s="6">
        <v>2</v>
      </c>
      <c r="G3775" s="6" t="s">
        <v>13</v>
      </c>
      <c r="H3775" s="6" t="s">
        <v>9</v>
      </c>
      <c r="I3775" s="6">
        <f>TabJogos[[#This Row],[PontosTime1]]-TabJogos[[#This Row],[PontosTime2]]</f>
        <v>3</v>
      </c>
    </row>
    <row r="3776" spans="1:9" ht="15" customHeight="1" x14ac:dyDescent="0.25">
      <c r="A3776" s="7">
        <v>3775</v>
      </c>
      <c r="B3776" s="1">
        <v>43633</v>
      </c>
      <c r="C3776" s="6" t="s">
        <v>18</v>
      </c>
      <c r="D3776" s="6" t="s">
        <v>9</v>
      </c>
      <c r="E3776" s="6">
        <v>3</v>
      </c>
      <c r="F3776" s="6">
        <v>2</v>
      </c>
      <c r="G3776" s="6" t="s">
        <v>13</v>
      </c>
      <c r="H3776" s="6" t="s">
        <v>17</v>
      </c>
      <c r="I3776" s="6">
        <f>TabJogos[[#This Row],[PontosTime1]]-TabJogos[[#This Row],[PontosTime2]]</f>
        <v>1</v>
      </c>
    </row>
    <row r="3777" spans="1:9" ht="15" customHeight="1" x14ac:dyDescent="0.25">
      <c r="A3777" s="7">
        <v>3776</v>
      </c>
      <c r="B3777" s="1">
        <v>43633</v>
      </c>
      <c r="C3777" s="6" t="s">
        <v>9</v>
      </c>
      <c r="D3777" s="6" t="s">
        <v>17</v>
      </c>
      <c r="E3777" s="6">
        <v>3</v>
      </c>
      <c r="F3777" s="6">
        <v>2</v>
      </c>
      <c r="G3777" s="6" t="s">
        <v>18</v>
      </c>
      <c r="H3777" s="6" t="s">
        <v>13</v>
      </c>
      <c r="I3777" s="6">
        <f>TabJogos[[#This Row],[PontosTime1]]-TabJogos[[#This Row],[PontosTime2]]</f>
        <v>1</v>
      </c>
    </row>
    <row r="3778" spans="1:9" ht="15" customHeight="1" x14ac:dyDescent="0.25">
      <c r="A3778" s="7">
        <v>3777</v>
      </c>
      <c r="B3778" s="1">
        <v>43633</v>
      </c>
      <c r="C3778" s="6" t="s">
        <v>17</v>
      </c>
      <c r="D3778" s="6" t="s">
        <v>18</v>
      </c>
      <c r="E3778" s="6">
        <v>1</v>
      </c>
      <c r="F3778" s="6">
        <v>3</v>
      </c>
      <c r="G3778" s="6" t="s">
        <v>9</v>
      </c>
      <c r="H3778" s="6" t="s">
        <v>13</v>
      </c>
      <c r="I3778" s="6">
        <f>TabJogos[[#This Row],[PontosTime1]]-TabJogos[[#This Row],[PontosTime2]]</f>
        <v>-2</v>
      </c>
    </row>
    <row r="3779" spans="1:9" ht="15" customHeight="1" x14ac:dyDescent="0.25">
      <c r="A3779" s="7">
        <v>3778</v>
      </c>
      <c r="B3779" s="1">
        <v>43634</v>
      </c>
      <c r="C3779" s="6" t="s">
        <v>18</v>
      </c>
      <c r="D3779" s="6" t="s">
        <v>10</v>
      </c>
      <c r="E3779" s="6">
        <v>0</v>
      </c>
      <c r="F3779" s="6">
        <v>4</v>
      </c>
      <c r="G3779" s="6" t="s">
        <v>41</v>
      </c>
      <c r="H3779" s="6" t="s">
        <v>9</v>
      </c>
      <c r="I3779" s="6">
        <f>TabJogos[[#This Row],[PontosTime1]]-TabJogos[[#This Row],[PontosTime2]]</f>
        <v>-4</v>
      </c>
    </row>
    <row r="3780" spans="1:9" ht="15" customHeight="1" x14ac:dyDescent="0.25">
      <c r="A3780" s="7">
        <v>3779</v>
      </c>
      <c r="B3780" s="1">
        <v>43634</v>
      </c>
      <c r="C3780" s="6" t="s">
        <v>9</v>
      </c>
      <c r="D3780" s="6" t="s">
        <v>12</v>
      </c>
      <c r="E3780" s="6">
        <v>3</v>
      </c>
      <c r="F3780" s="6">
        <v>0</v>
      </c>
      <c r="G3780" s="6" t="s">
        <v>41</v>
      </c>
      <c r="H3780" s="6" t="s">
        <v>13</v>
      </c>
      <c r="I3780" s="6">
        <f>TabJogos[[#This Row],[PontosTime1]]-TabJogos[[#This Row],[PontosTime2]]</f>
        <v>3</v>
      </c>
    </row>
    <row r="3781" spans="1:9" ht="15" customHeight="1" x14ac:dyDescent="0.25">
      <c r="A3781" s="7">
        <v>3780</v>
      </c>
      <c r="B3781" s="1">
        <v>43634</v>
      </c>
      <c r="C3781" s="6" t="s">
        <v>18</v>
      </c>
      <c r="D3781" s="6" t="s">
        <v>12</v>
      </c>
      <c r="E3781" s="6">
        <v>3</v>
      </c>
      <c r="F3781" s="6">
        <v>2</v>
      </c>
      <c r="G3781" s="6" t="s">
        <v>9</v>
      </c>
      <c r="H3781" s="6" t="s">
        <v>10</v>
      </c>
      <c r="I3781" s="6">
        <f>TabJogos[[#This Row],[PontosTime1]]-TabJogos[[#This Row],[PontosTime2]]</f>
        <v>1</v>
      </c>
    </row>
    <row r="3782" spans="1:9" ht="15" customHeight="1" x14ac:dyDescent="0.25">
      <c r="A3782" s="7">
        <v>3781</v>
      </c>
      <c r="B3782" s="1">
        <v>43634</v>
      </c>
      <c r="C3782" s="6" t="s">
        <v>13</v>
      </c>
      <c r="D3782" s="6" t="s">
        <v>18</v>
      </c>
      <c r="E3782" s="6">
        <v>3</v>
      </c>
      <c r="F3782" s="6">
        <v>1</v>
      </c>
      <c r="G3782" s="6" t="s">
        <v>41</v>
      </c>
      <c r="H3782" s="6" t="s">
        <v>12</v>
      </c>
      <c r="I3782" s="6">
        <f>TabJogos[[#This Row],[PontosTime1]]-TabJogos[[#This Row],[PontosTime2]]</f>
        <v>2</v>
      </c>
    </row>
    <row r="3783" spans="1:9" ht="15" customHeight="1" x14ac:dyDescent="0.25">
      <c r="A3783" s="7">
        <v>3782</v>
      </c>
      <c r="B3783" s="1">
        <v>43634</v>
      </c>
      <c r="C3783" s="6" t="s">
        <v>13</v>
      </c>
      <c r="D3783" s="6" t="s">
        <v>9</v>
      </c>
      <c r="E3783" s="6">
        <v>1</v>
      </c>
      <c r="F3783" s="6">
        <v>3</v>
      </c>
      <c r="G3783" s="6" t="s">
        <v>41</v>
      </c>
      <c r="H3783" s="6" t="s">
        <v>18</v>
      </c>
      <c r="I3783" s="6">
        <f>TabJogos[[#This Row],[PontosTime1]]-TabJogos[[#This Row],[PontosTime2]]</f>
        <v>-2</v>
      </c>
    </row>
    <row r="3784" spans="1:9" ht="15" customHeight="1" x14ac:dyDescent="0.25">
      <c r="A3784" s="7">
        <v>3783</v>
      </c>
      <c r="B3784" s="1">
        <v>43634</v>
      </c>
      <c r="C3784" s="6" t="s">
        <v>13</v>
      </c>
      <c r="D3784" s="6" t="s">
        <v>41</v>
      </c>
      <c r="E3784" s="6">
        <v>3</v>
      </c>
      <c r="F3784" s="6">
        <v>2</v>
      </c>
      <c r="G3784" s="6" t="s">
        <v>9</v>
      </c>
      <c r="H3784" s="6" t="s">
        <v>18</v>
      </c>
      <c r="I3784" s="6">
        <f>TabJogos[[#This Row],[PontosTime1]]-TabJogos[[#This Row],[PontosTime2]]</f>
        <v>1</v>
      </c>
    </row>
    <row r="3785" spans="1:9" ht="15" customHeight="1" x14ac:dyDescent="0.25">
      <c r="A3785" s="7">
        <v>3784</v>
      </c>
      <c r="B3785" s="1">
        <v>43634</v>
      </c>
      <c r="C3785" s="6" t="s">
        <v>9</v>
      </c>
      <c r="D3785" s="6" t="s">
        <v>41</v>
      </c>
      <c r="E3785" s="6">
        <v>3</v>
      </c>
      <c r="F3785" s="6">
        <v>0</v>
      </c>
      <c r="G3785" s="6" t="s">
        <v>13</v>
      </c>
      <c r="H3785" s="6" t="s">
        <v>18</v>
      </c>
      <c r="I3785" s="6">
        <f>TabJogos[[#This Row],[PontosTime1]]-TabJogos[[#This Row],[PontosTime2]]</f>
        <v>3</v>
      </c>
    </row>
    <row r="3786" spans="1:9" ht="15" customHeight="1" x14ac:dyDescent="0.25">
      <c r="A3786" s="7">
        <v>3785</v>
      </c>
      <c r="B3786" s="1">
        <v>43634</v>
      </c>
      <c r="C3786" s="6" t="s">
        <v>13</v>
      </c>
      <c r="D3786" s="6" t="s">
        <v>9</v>
      </c>
      <c r="E3786" s="6">
        <v>0</v>
      </c>
      <c r="F3786" s="6">
        <v>3</v>
      </c>
      <c r="G3786" s="6" t="s">
        <v>41</v>
      </c>
      <c r="H3786" s="6" t="s">
        <v>18</v>
      </c>
      <c r="I3786" s="6">
        <f>TabJogos[[#This Row],[PontosTime1]]-TabJogos[[#This Row],[PontosTime2]]</f>
        <v>-3</v>
      </c>
    </row>
    <row r="3787" spans="1:9" ht="15" customHeight="1" x14ac:dyDescent="0.25">
      <c r="A3787" s="7">
        <v>3786</v>
      </c>
      <c r="B3787" s="1">
        <v>43634</v>
      </c>
      <c r="C3787" s="6" t="s">
        <v>13</v>
      </c>
      <c r="D3787" s="6" t="s">
        <v>41</v>
      </c>
      <c r="E3787" s="6">
        <v>4</v>
      </c>
      <c r="F3787" s="6">
        <v>1</v>
      </c>
      <c r="G3787" s="6" t="s">
        <v>9</v>
      </c>
      <c r="H3787" s="6" t="s">
        <v>18</v>
      </c>
      <c r="I3787" s="6">
        <f>TabJogos[[#This Row],[PontosTime1]]-TabJogos[[#This Row],[PontosTime2]]</f>
        <v>3</v>
      </c>
    </row>
    <row r="3788" spans="1:9" ht="15" customHeight="1" x14ac:dyDescent="0.25">
      <c r="A3788" s="7">
        <v>3787</v>
      </c>
      <c r="B3788" s="1">
        <v>43634</v>
      </c>
      <c r="C3788" s="6" t="s">
        <v>13</v>
      </c>
      <c r="D3788" s="6" t="s">
        <v>18</v>
      </c>
      <c r="E3788" s="6">
        <v>3</v>
      </c>
      <c r="F3788" s="6">
        <v>1</v>
      </c>
      <c r="G3788" s="6" t="s">
        <v>41</v>
      </c>
      <c r="H3788" s="6" t="s">
        <v>9</v>
      </c>
      <c r="I3788" s="6">
        <f>TabJogos[[#This Row],[PontosTime1]]-TabJogos[[#This Row],[PontosTime2]]</f>
        <v>2</v>
      </c>
    </row>
    <row r="3789" spans="1:9" ht="15" customHeight="1" x14ac:dyDescent="0.25">
      <c r="A3789" s="7">
        <v>3788</v>
      </c>
      <c r="B3789" s="1">
        <v>43634</v>
      </c>
      <c r="C3789" s="6" t="s">
        <v>41</v>
      </c>
      <c r="D3789" s="6" t="s">
        <v>18</v>
      </c>
      <c r="E3789" s="6">
        <v>3</v>
      </c>
      <c r="F3789" s="6">
        <v>1</v>
      </c>
      <c r="G3789" s="6" t="s">
        <v>13</v>
      </c>
      <c r="H3789" s="6" t="s">
        <v>9</v>
      </c>
      <c r="I3789" s="6">
        <f>TabJogos[[#This Row],[PontosTime1]]-TabJogos[[#This Row],[PontosTime2]]</f>
        <v>2</v>
      </c>
    </row>
    <row r="3790" spans="1:9" ht="15" customHeight="1" x14ac:dyDescent="0.25">
      <c r="A3790" s="7">
        <v>3789</v>
      </c>
      <c r="B3790" s="1">
        <v>43634</v>
      </c>
      <c r="C3790" s="6" t="s">
        <v>41</v>
      </c>
      <c r="D3790" s="6" t="s">
        <v>13</v>
      </c>
      <c r="E3790" s="6">
        <v>3</v>
      </c>
      <c r="F3790" s="6">
        <v>1</v>
      </c>
      <c r="G3790" s="6" t="s">
        <v>18</v>
      </c>
      <c r="H3790" s="6" t="s">
        <v>9</v>
      </c>
      <c r="I3790" s="6">
        <f>TabJogos[[#This Row],[PontosTime1]]-TabJogos[[#This Row],[PontosTime2]]</f>
        <v>2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20"/>
  <sheetViews>
    <sheetView workbookViewId="0">
      <selection sqref="A1:A20"/>
    </sheetView>
  </sheetViews>
  <sheetFormatPr defaultRowHeight="15" x14ac:dyDescent="0.25"/>
  <sheetData>
    <row r="1" spans="1:1" x14ac:dyDescent="0.25">
      <c r="A1" s="25">
        <v>43588</v>
      </c>
    </row>
    <row r="2" spans="1:1" x14ac:dyDescent="0.25">
      <c r="A2" s="26">
        <v>43588</v>
      </c>
    </row>
    <row r="3" spans="1:1" x14ac:dyDescent="0.25">
      <c r="A3" s="25">
        <v>43588</v>
      </c>
    </row>
    <row r="4" spans="1:1" x14ac:dyDescent="0.25">
      <c r="A4" s="26">
        <v>43588</v>
      </c>
    </row>
    <row r="5" spans="1:1" x14ac:dyDescent="0.25">
      <c r="A5" s="25">
        <v>43588</v>
      </c>
    </row>
    <row r="6" spans="1:1" x14ac:dyDescent="0.25">
      <c r="A6" s="26">
        <v>43588</v>
      </c>
    </row>
    <row r="7" spans="1:1" x14ac:dyDescent="0.25">
      <c r="A7" s="25">
        <v>43588</v>
      </c>
    </row>
    <row r="8" spans="1:1" x14ac:dyDescent="0.25">
      <c r="A8" s="26">
        <v>43588</v>
      </c>
    </row>
    <row r="9" spans="1:1" x14ac:dyDescent="0.25">
      <c r="A9" s="25">
        <v>43588</v>
      </c>
    </row>
    <row r="10" spans="1:1" x14ac:dyDescent="0.25">
      <c r="A10" s="26">
        <v>43588</v>
      </c>
    </row>
    <row r="11" spans="1:1" x14ac:dyDescent="0.25">
      <c r="A11" s="25">
        <v>43588</v>
      </c>
    </row>
    <row r="12" spans="1:1" x14ac:dyDescent="0.25">
      <c r="A12" s="26">
        <v>43588</v>
      </c>
    </row>
    <row r="13" spans="1:1" x14ac:dyDescent="0.25">
      <c r="A13" s="25">
        <v>43588</v>
      </c>
    </row>
    <row r="14" spans="1:1" x14ac:dyDescent="0.25">
      <c r="A14" s="26">
        <v>43588</v>
      </c>
    </row>
    <row r="15" spans="1:1" x14ac:dyDescent="0.25">
      <c r="A15" s="25">
        <v>43588</v>
      </c>
    </row>
    <row r="16" spans="1:1" x14ac:dyDescent="0.25">
      <c r="A16" s="26">
        <v>43588</v>
      </c>
    </row>
    <row r="17" spans="1:1" x14ac:dyDescent="0.25">
      <c r="A17" s="25">
        <v>43588</v>
      </c>
    </row>
    <row r="18" spans="1:1" x14ac:dyDescent="0.25">
      <c r="A18" s="26">
        <v>43588</v>
      </c>
    </row>
    <row r="19" spans="1:1" x14ac:dyDescent="0.25">
      <c r="A19" s="25">
        <v>43588</v>
      </c>
    </row>
    <row r="20" spans="1:1" x14ac:dyDescent="0.25">
      <c r="A20" s="26">
        <v>43588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1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0" t="s">
        <v>51</v>
      </c>
      <c r="J1" s="19" t="s">
        <v>52</v>
      </c>
      <c r="P1" s="5"/>
    </row>
    <row r="2" spans="1:16" s="5" customFormat="1" ht="12.75" customHeight="1" x14ac:dyDescent="0.25">
      <c r="A2" s="3" t="s">
        <v>29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7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27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737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400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337</v>
      </c>
      <c r="E3" s="3">
        <f t="shared" ca="1" si="0"/>
        <v>63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61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155</v>
      </c>
      <c r="H3" s="4">
        <f t="shared" ca="1" si="1"/>
        <v>0.54274084124830391</v>
      </c>
      <c r="I3" s="27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54.274084124830388</v>
      </c>
      <c r="L3" s="12" t="s">
        <v>53</v>
      </c>
      <c r="M3" s="14">
        <v>1</v>
      </c>
    </row>
    <row r="4" spans="1:16" s="5" customFormat="1" ht="12.75" customHeight="1" x14ac:dyDescent="0.25">
      <c r="A4" s="3" t="s">
        <v>32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663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359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304</v>
      </c>
      <c r="E4" s="3">
        <f t="shared" ca="1" si="0"/>
        <v>55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83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154</v>
      </c>
      <c r="H4" s="4">
        <f t="shared" ca="1" si="1"/>
        <v>0.54147812971342379</v>
      </c>
      <c r="I4" s="27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54.147812971342383</v>
      </c>
      <c r="L4" s="12" t="s">
        <v>54</v>
      </c>
      <c r="M4" s="14">
        <f ca="1">EOMONTH(TODAY(),0)</f>
        <v>43646</v>
      </c>
    </row>
    <row r="5" spans="1:16" s="5" customFormat="1" ht="12.75" customHeight="1" x14ac:dyDescent="0.25">
      <c r="A5" s="3" t="s">
        <v>15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1315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716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599</v>
      </c>
      <c r="E5" s="3">
        <f t="shared" ca="1" si="0"/>
        <v>117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100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404</v>
      </c>
      <c r="H5" s="4">
        <f t="shared" ca="1" si="1"/>
        <v>0.54448669201520916</v>
      </c>
      <c r="I5" s="27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54.448669201520914</v>
      </c>
      <c r="K5" s="28"/>
      <c r="M5" s="29"/>
      <c r="N5" s="29"/>
    </row>
    <row r="6" spans="1:16" s="5" customFormat="1" ht="12.75" customHeight="1" x14ac:dyDescent="0.25">
      <c r="A6" s="3" t="s">
        <v>17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1105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587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518</v>
      </c>
      <c r="E6" s="3">
        <f t="shared" ca="1" si="0"/>
        <v>69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94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162</v>
      </c>
      <c r="H6" s="4">
        <f t="shared" ca="1" si="1"/>
        <v>0.53122171945701357</v>
      </c>
      <c r="I6" s="27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53.122171945701361</v>
      </c>
    </row>
    <row r="7" spans="1:16" s="5" customFormat="1" ht="12.75" customHeight="1" x14ac:dyDescent="0.25">
      <c r="A7" s="3" t="s">
        <v>16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383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192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191</v>
      </c>
      <c r="E7" s="3">
        <f t="shared" ca="1" si="0"/>
        <v>1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34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10</v>
      </c>
      <c r="H7" s="4">
        <f t="shared" ca="1" si="1"/>
        <v>0.50130548302872058</v>
      </c>
      <c r="I7" s="27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50.130548302872057</v>
      </c>
    </row>
    <row r="8" spans="1:16" s="5" customFormat="1" ht="12.75" customHeight="1" x14ac:dyDescent="0.25">
      <c r="A8" s="3" t="s">
        <v>11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2334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1230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1104</v>
      </c>
      <c r="E8" s="3">
        <f t="shared" ca="1" si="0"/>
        <v>126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206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458</v>
      </c>
      <c r="H8" s="4">
        <f t="shared" ca="1" si="1"/>
        <v>0.52699228791773778</v>
      </c>
      <c r="I8" s="27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52.699228791773777</v>
      </c>
    </row>
    <row r="9" spans="1:16" s="5" customFormat="1" ht="12.75" customHeight="1" x14ac:dyDescent="0.25">
      <c r="A9" s="3" t="s">
        <v>18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1939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971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968</v>
      </c>
      <c r="E9" s="3">
        <f t="shared" ca="1" si="0"/>
        <v>3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161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25</v>
      </c>
      <c r="H9" s="4">
        <f t="shared" ca="1" si="1"/>
        <v>0.50077359463641047</v>
      </c>
      <c r="I9" s="27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50.077359463641045</v>
      </c>
      <c r="K9" s="28"/>
      <c r="M9" s="29"/>
      <c r="N9" s="29"/>
    </row>
    <row r="10" spans="1:16" s="5" customFormat="1" ht="12.75" customHeight="1" x14ac:dyDescent="0.25">
      <c r="A10" s="3" t="s">
        <v>10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892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437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455</v>
      </c>
      <c r="E10" s="3">
        <f t="shared" ca="1" si="0"/>
        <v>-18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65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-72</v>
      </c>
      <c r="H10" s="4">
        <f t="shared" ca="1" si="1"/>
        <v>0.48991031390134532</v>
      </c>
      <c r="I10" s="27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48.99103139013453</v>
      </c>
      <c r="K10" s="28"/>
      <c r="M10" s="29"/>
    </row>
    <row r="11" spans="1:16" s="5" customFormat="1" ht="12.75" customHeight="1" x14ac:dyDescent="0.25">
      <c r="A11" s="3" t="s">
        <v>26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7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9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981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483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498</v>
      </c>
      <c r="E12" s="3">
        <f t="shared" ca="1" si="0"/>
        <v>-15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92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-29</v>
      </c>
      <c r="H12" s="4">
        <f t="shared" ca="1" si="1"/>
        <v>0.49235474006116209</v>
      </c>
      <c r="I12" s="27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49.235474006116206</v>
      </c>
      <c r="K12" s="28"/>
      <c r="M12" s="29"/>
      <c r="N12" s="29"/>
    </row>
    <row r="13" spans="1:16" s="5" customFormat="1" ht="12.75" customHeight="1" x14ac:dyDescent="0.25">
      <c r="A13" s="3" t="s">
        <v>14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7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41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598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299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299</v>
      </c>
      <c r="E14" s="3">
        <f t="shared" ca="1" si="0"/>
        <v>0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69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-25</v>
      </c>
      <c r="H14" s="4">
        <f t="shared" ca="1" si="1"/>
        <v>0.5</v>
      </c>
      <c r="I14" s="27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50</v>
      </c>
    </row>
    <row r="15" spans="1:16" s="5" customFormat="1" ht="12.75" customHeight="1" x14ac:dyDescent="0.25">
      <c r="A15" s="3" t="s">
        <v>28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610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280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330</v>
      </c>
      <c r="E15" s="3">
        <f t="shared" ca="1" si="0"/>
        <v>-50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66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-116</v>
      </c>
      <c r="H15" s="4">
        <f t="shared" ca="1" si="1"/>
        <v>0.45901639344262296</v>
      </c>
      <c r="I15" s="27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45.901639344262293</v>
      </c>
    </row>
    <row r="16" spans="1:16" s="5" customFormat="1" ht="12.75" customHeight="1" x14ac:dyDescent="0.25">
      <c r="A16" s="3" t="s">
        <v>24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7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13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2217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967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1250</v>
      </c>
      <c r="E17" s="3">
        <f t="shared" ca="1" si="0"/>
        <v>-283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183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-961</v>
      </c>
      <c r="H17" s="4">
        <f t="shared" ca="1" si="1"/>
        <v>0.43617501127649977</v>
      </c>
      <c r="I17" s="27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43.61750112764998</v>
      </c>
    </row>
    <row r="18" spans="1:15" s="5" customFormat="1" ht="12.75" customHeight="1" x14ac:dyDescent="0.25">
      <c r="A18" s="3" t="s">
        <v>12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445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193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252</v>
      </c>
      <c r="E18" s="3">
        <f t="shared" ca="1" si="0"/>
        <v>-59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33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-182</v>
      </c>
      <c r="H18" s="4">
        <f t="shared" ca="1" si="1"/>
        <v>0.43370786516853932</v>
      </c>
      <c r="I18" s="27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43.370786516853933</v>
      </c>
    </row>
    <row r="19" spans="1:15" s="5" customFormat="1" ht="12.75" customHeight="1" x14ac:dyDescent="0.25">
      <c r="A19" s="3" t="s">
        <v>25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7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37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7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45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25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20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2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14</v>
      </c>
      <c r="H21" s="4">
        <f t="shared" ca="1" si="1"/>
        <v>0.55555555555555558</v>
      </c>
      <c r="I21" s="27">
        <f ca="1">IF(TabResultados3[[#This Row],[Jogos]]&lt;20,0,IF(TabResultados3[[#This Row],[Jogos]]&lt;=40,0.9+0.1*(TabResultados3[[#This Row],[Jogos]]-20)/20,1))</f>
        <v>1</v>
      </c>
      <c r="J21" s="22">
        <f ca="1">100*TabResultados3[[#This Row],[Aprov]]*TabResultados3[[#This Row],[KJogos]]</f>
        <v>55.555555555555557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20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7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7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30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7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22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7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28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12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16</v>
      </c>
      <c r="E26" s="3">
        <f t="shared" ca="1" si="0"/>
        <v>-4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-17</v>
      </c>
      <c r="H26" s="4">
        <f t="shared" ca="1" si="1"/>
        <v>0.42857142857142855</v>
      </c>
      <c r="I26" s="27">
        <f ca="1">IF(TabResultados3[[#This Row],[Jogos]]&lt;20,0,IF(TabResultados3[[#This Row],[Jogos]]&lt;=40,0.9+0.1*(TabResultados3[[#This Row],[Jogos]]-20)/20,1))</f>
        <v>0.94000000000000006</v>
      </c>
      <c r="J26" s="22">
        <f ca="1">100*TabResultados3[[#This Row],[Aprov]]*TabResultados3[[#This Row],[KJogos]]</f>
        <v>40.285714285714285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31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7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19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7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36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7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33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7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1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1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2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2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2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2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2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2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2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2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0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Historico</vt:lpstr>
      <vt:lpstr>Planilha2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2019-06-28T17:18:19Z</dcterms:modified>
  <cp:category/>
  <cp:contentStatus/>
</cp:coreProperties>
</file>
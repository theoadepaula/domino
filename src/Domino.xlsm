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296BEAA2-7D12-4464-92A2-9682A146C6F0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<sst xmlns="http://schemas.openxmlformats.org/spreadsheetml/2006/main" count="7508" uniqueCount="56">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</sst>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866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866"/>
  <sheetViews>
    <sheetView tabSelected="1" zoomScale="80" zoomScaleNormal="80" workbookViewId="0">
      <pane ySplit="1" topLeftCell="A1827" activePane="bottomLeft" state="frozenSplit"/>
      <selection activeCell="D1" sqref="D1 D1"/>
      <selection pane="bottomLeft" activeCell="A1866" sqref="A1866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80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35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45</v>
      </c>
      <c r="E2" s="3">
        <f t="shared" ref="E2:E28" ca="1" si="0">C2-D2</f>
        <v>-10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2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-43</v>
      </c>
      <c r="H2" s="4">
        <f t="shared" ref="H2:H28" ca="1" si="1">IFERROR(C2/B2,-0.000001)</f>
        <v>0.4375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43.75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134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77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57</v>
      </c>
      <c r="E3" s="3">
        <f t="shared" ca="1" si="0"/>
        <v>20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47</v>
      </c>
      <c r="H3" s="4">
        <f t="shared" ca="1" si="1"/>
        <v>0.57462686567164178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57.462686567164177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43373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112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61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51</v>
      </c>
      <c r="E5" s="3">
        <f t="shared" ca="1" si="0"/>
        <v>10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30</v>
      </c>
      <c r="H5" s="4">
        <f t="shared" ca="1" si="1"/>
        <v>0.5446428571428571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54.464285714285708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15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10</v>
      </c>
      <c r="E6" s="3">
        <f t="shared" ca="1" si="0"/>
        <v>-5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-8</v>
      </c>
      <c r="H6" s="4">
        <f t="shared" ca="1" si="1"/>
        <v>0.33333333333333331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100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44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56</v>
      </c>
      <c r="E7" s="3">
        <f t="shared" ca="1" si="0"/>
        <v>-12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6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-49</v>
      </c>
      <c r="H7" s="4">
        <f t="shared" ca="1" si="1"/>
        <v>0.44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44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41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18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23</v>
      </c>
      <c r="E8" s="3">
        <f t="shared" ca="1" si="0"/>
        <v>-5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1</v>
      </c>
      <c r="H8" s="4">
        <f t="shared" ca="1" si="1"/>
        <v>0.43902439024390244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43.902439024390247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19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7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12</v>
      </c>
      <c r="E11" s="3">
        <f t="shared" ca="1" si="0"/>
        <v>-5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-13</v>
      </c>
      <c r="H11" s="4">
        <f t="shared" ca="1" si="1"/>
        <v>0.36842105263157893</v>
      </c>
      <c r="I11" s="29">
        <f ca="1">IF(TabResultados3[[#This Row],[Jogos]]&lt;20,0,IF(TabResultados3[[#This Row],[Jogos]]&lt;=40,0.9+0.1*(TabResultados3[[#This Row],[Jogos]]-20)/20,1))</f>
        <v>0</v>
      </c>
      <c r="J11" s="22">
        <f ca="1">100*TabResultados3[[#This Row],[Aprov]]*TabResultados3[[#This Row],[KJogos]]</f>
        <v>0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30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15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15</v>
      </c>
      <c r="E13" s="3">
        <f t="shared" ca="1" si="0"/>
        <v>0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2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6</v>
      </c>
      <c r="H13" s="4">
        <f t="shared" ca="1" si="1"/>
        <v>0.5</v>
      </c>
      <c r="I13" s="29">
        <f ca="1">IF(TabResultados3[[#This Row],[Jogos]]&lt;20,0,IF(TabResultados3[[#This Row],[Jogos]]&lt;=40,0.9+0.1*(TabResultados3[[#This Row],[Jogos]]-20)/20,1))</f>
        <v>0.95000000000000007</v>
      </c>
      <c r="J13" s="22">
        <f ca="1">100*TabResultados3[[#This Row],[Aprov]]*TabResultados3[[#This Row],[KJogos]]</f>
        <v>47.5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47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28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19</v>
      </c>
      <c r="E14" s="3">
        <f t="shared" ca="1" si="0"/>
        <v>9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27</v>
      </c>
      <c r="H14" s="4">
        <f t="shared" ca="1" si="1"/>
        <v>0.5957446808510638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59.574468085106382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67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38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29</v>
      </c>
      <c r="E19" s="3">
        <f t="shared" ca="1" si="0"/>
        <v>9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6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24</v>
      </c>
      <c r="H19" s="4">
        <f t="shared" ca="1" si="1"/>
        <v>0.56716417910447758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56.71641791044776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2018-09-25T13:12:27Z</dcterms:modified>
</cp:coreProperties>
</file>
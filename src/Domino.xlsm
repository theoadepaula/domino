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ergio.rocha\Downloads\"/>
    </mc:Choice>
  </mc:AlternateContent>
  <xr:revisionPtr revIDLastSave="0" documentId="13_ncr:1_{1A7F233B-AE47-4963-A364-453EAACF08BD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Historico" sheetId="3" r:id="rId1"/>
    <sheet name="Planilha2" sheetId="6" r:id="rId2"/>
    <sheet name="Desempenho" sheetId="4" r:id="rId3"/>
  </sheets>
  <definedNames>
    <definedName name="limite">Desempenho!$P$3</definedName>
    <definedName name="limite1">Desempenho!$S$2</definedName>
    <definedName name="limite2">Desempenho!$S$3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4" l="1"/>
  <c r="S3" i="4"/>
  <c r="I12" i="4" s="1"/>
  <c r="I3" i="4"/>
  <c r="I4" i="4"/>
  <c r="I8" i="4"/>
  <c r="I10" i="4"/>
  <c r="I13" i="4"/>
  <c r="I15" i="4"/>
  <c r="I16" i="4"/>
  <c r="I17" i="4"/>
  <c r="I19" i="4"/>
  <c r="I20" i="4"/>
  <c r="I21" i="4"/>
  <c r="I22" i="4"/>
  <c r="I23" i="4"/>
  <c r="I24" i="4"/>
  <c r="I25" i="4"/>
  <c r="I26" i="4"/>
  <c r="I27" i="4"/>
  <c r="I28" i="4"/>
  <c r="I29" i="4"/>
  <c r="I30" i="4"/>
  <c r="I5098" i="3"/>
  <c r="I5097" i="3"/>
  <c r="I5096" i="3"/>
  <c r="I5095" i="3"/>
  <c r="I5094" i="3"/>
  <c r="I5093" i="3"/>
  <c r="I5092" i="3"/>
  <c r="I5091" i="3"/>
  <c r="I5090" i="3"/>
  <c r="I5089" i="3"/>
  <c r="I5088" i="3"/>
  <c r="I5087" i="3"/>
  <c r="I5" i="4" l="1"/>
  <c r="I11" i="4"/>
  <c r="I18" i="4"/>
  <c r="I9" i="4"/>
  <c r="I6" i="4"/>
  <c r="I7" i="4"/>
  <c r="I14" i="4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C6" i="4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4980" i="3"/>
  <c r="I4981" i="3"/>
  <c r="I4982" i="3"/>
  <c r="I4983" i="3"/>
  <c r="I4984" i="3"/>
  <c r="I4973" i="3"/>
  <c r="I4974" i="3"/>
  <c r="I4975" i="3"/>
  <c r="I4976" i="3"/>
  <c r="I4977" i="3"/>
  <c r="I4978" i="3"/>
  <c r="I4979" i="3"/>
  <c r="I4957" i="3" l="1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883" i="3"/>
  <c r="I4884" i="3"/>
  <c r="I4885" i="3"/>
  <c r="I4886" i="3"/>
  <c r="I4887" i="3"/>
  <c r="I4888" i="3"/>
  <c r="I4889" i="3"/>
  <c r="I4950" i="3" l="1"/>
  <c r="I4951" i="3"/>
  <c r="I4952" i="3"/>
  <c r="I4953" i="3"/>
  <c r="I4954" i="3"/>
  <c r="I4955" i="3"/>
  <c r="I4956" i="3"/>
  <c r="I4940" i="3"/>
  <c r="I4941" i="3"/>
  <c r="I4942" i="3"/>
  <c r="I4943" i="3"/>
  <c r="I4944" i="3"/>
  <c r="I4945" i="3"/>
  <c r="I4946" i="3"/>
  <c r="I4947" i="3"/>
  <c r="I4948" i="3"/>
  <c r="I4949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03" i="3"/>
  <c r="I4904" i="3"/>
  <c r="I4905" i="3"/>
  <c r="I4906" i="3"/>
  <c r="I4907" i="3"/>
  <c r="I4908" i="3"/>
  <c r="I4896" i="3"/>
  <c r="I4897" i="3"/>
  <c r="I4898" i="3"/>
  <c r="I4899" i="3"/>
  <c r="I4900" i="3"/>
  <c r="I4901" i="3"/>
  <c r="I4902" i="3"/>
  <c r="I4890" i="3"/>
  <c r="I4891" i="3"/>
  <c r="I4892" i="3"/>
  <c r="I4893" i="3"/>
  <c r="I4894" i="3"/>
  <c r="I4895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51" i="3"/>
  <c r="I4852" i="3"/>
  <c r="I4853" i="3"/>
  <c r="I4854" i="3"/>
  <c r="I4855" i="3"/>
  <c r="I4856" i="3"/>
  <c r="I4857" i="3"/>
  <c r="I4843" i="3"/>
  <c r="I4844" i="3"/>
  <c r="I4845" i="3"/>
  <c r="I4846" i="3"/>
  <c r="I4847" i="3"/>
  <c r="I4848" i="3"/>
  <c r="I4849" i="3"/>
  <c r="I485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B12" i="4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4" i="4" l="1"/>
  <c r="G18" i="4"/>
  <c r="B8" i="4"/>
  <c r="J8" i="4" s="1"/>
  <c r="D14" i="4"/>
  <c r="G25" i="4"/>
  <c r="C21" i="4"/>
  <c r="G15" i="4"/>
  <c r="C27" i="4"/>
  <c r="G26" i="4"/>
  <c r="G6" i="4"/>
  <c r="C28" i="4"/>
  <c r="F28" i="4"/>
  <c r="F3" i="4"/>
  <c r="F2" i="4"/>
  <c r="F10" i="4"/>
  <c r="B5" i="4"/>
  <c r="J5" i="4" s="1"/>
  <c r="B25" i="4"/>
  <c r="J25" i="4" s="1"/>
  <c r="B4" i="4"/>
  <c r="J4" i="4" s="1"/>
  <c r="B26" i="4"/>
  <c r="J26" i="4" s="1"/>
  <c r="B30" i="4"/>
  <c r="J30" i="4" s="1"/>
  <c r="C19" i="4"/>
  <c r="C22" i="4"/>
  <c r="D8" i="4"/>
  <c r="G11" i="4"/>
  <c r="F24" i="4"/>
  <c r="F8" i="4"/>
  <c r="D21" i="4"/>
  <c r="G27" i="4"/>
  <c r="D28" i="4"/>
  <c r="F17" i="4"/>
  <c r="B19" i="4"/>
  <c r="J19" i="4" s="1"/>
  <c r="C18" i="4"/>
  <c r="C14" i="4"/>
  <c r="D25" i="4"/>
  <c r="D9" i="4"/>
  <c r="D18" i="4"/>
  <c r="D15" i="4"/>
  <c r="D17" i="4"/>
  <c r="D26" i="4"/>
  <c r="D6" i="4"/>
  <c r="G7" i="4"/>
  <c r="F16" i="4"/>
  <c r="F20" i="4"/>
  <c r="F6" i="4"/>
  <c r="B27" i="4"/>
  <c r="J27" i="4" s="1"/>
  <c r="C30" i="4"/>
  <c r="G19" i="4"/>
  <c r="D12" i="4"/>
  <c r="G4" i="4"/>
  <c r="F25" i="4"/>
  <c r="F15" i="4"/>
  <c r="F4" i="4"/>
  <c r="B16" i="4"/>
  <c r="J16" i="4" s="1"/>
  <c r="B6" i="4"/>
  <c r="B29" i="4"/>
  <c r="J29" i="4" s="1"/>
  <c r="B21" i="4"/>
  <c r="J21" i="4" s="1"/>
  <c r="F30" i="4"/>
  <c r="D19" i="4"/>
  <c r="C13" i="4"/>
  <c r="C3" i="4"/>
  <c r="D2" i="4"/>
  <c r="F13" i="4"/>
  <c r="C20" i="4"/>
  <c r="G24" i="4"/>
  <c r="D10" i="4"/>
  <c r="F27" i="4"/>
  <c r="B7" i="4"/>
  <c r="C25" i="4"/>
  <c r="C29" i="4"/>
  <c r="G17" i="4"/>
  <c r="C7" i="4"/>
  <c r="C23" i="4"/>
  <c r="G8" i="4"/>
  <c r="C9" i="4"/>
  <c r="G29" i="4"/>
  <c r="G3" i="4"/>
  <c r="C17" i="4"/>
  <c r="D4" i="4"/>
  <c r="D11" i="4"/>
  <c r="D7" i="4"/>
  <c r="F21" i="4"/>
  <c r="F5" i="4"/>
  <c r="F18" i="4"/>
  <c r="B13" i="4"/>
  <c r="J13" i="4" s="1"/>
  <c r="D30" i="4"/>
  <c r="G22" i="4"/>
  <c r="B22" i="4"/>
  <c r="J22" i="4" s="1"/>
  <c r="C10" i="4"/>
  <c r="G14" i="4"/>
  <c r="C26" i="4"/>
  <c r="B28" i="4"/>
  <c r="J28" i="4" s="1"/>
  <c r="D22" i="4"/>
  <c r="D23" i="4"/>
  <c r="G9" i="4"/>
  <c r="C15" i="4"/>
  <c r="D13" i="4"/>
  <c r="G23" i="4"/>
  <c r="C8" i="4"/>
  <c r="G5" i="4"/>
  <c r="D29" i="4"/>
  <c r="D3" i="4"/>
  <c r="G16" i="4"/>
  <c r="C4" i="4"/>
  <c r="C11" i="4"/>
  <c r="G2" i="4"/>
  <c r="F29" i="4"/>
  <c r="F26" i="4"/>
  <c r="F7" i="4"/>
  <c r="B23" i="4"/>
  <c r="J23" i="4" s="1"/>
  <c r="B9" i="4"/>
  <c r="B20" i="4"/>
  <c r="J20" i="4" s="1"/>
  <c r="B24" i="4"/>
  <c r="J24" i="4" s="1"/>
  <c r="B18" i="4"/>
  <c r="G30" i="4"/>
  <c r="G12" i="4"/>
  <c r="C12" i="4"/>
  <c r="D5" i="4"/>
  <c r="B17" i="4"/>
  <c r="J17" i="4" s="1"/>
  <c r="G20" i="4"/>
  <c r="D16" i="4"/>
  <c r="B10" i="4"/>
  <c r="J10" i="4" s="1"/>
  <c r="F9" i="4"/>
  <c r="F19" i="4"/>
  <c r="F22" i="4"/>
  <c r="G13" i="4"/>
  <c r="D20" i="4"/>
  <c r="G21" i="4"/>
  <c r="C5" i="4"/>
  <c r="C24" i="4"/>
  <c r="D27" i="4"/>
  <c r="C16" i="4"/>
  <c r="G10" i="4"/>
  <c r="G28" i="4"/>
  <c r="F23" i="4"/>
  <c r="F11" i="4"/>
  <c r="B15" i="4"/>
  <c r="J15" i="4" s="1"/>
  <c r="F14" i="4"/>
  <c r="B11" i="4"/>
  <c r="B3" i="4"/>
  <c r="J3" i="4" s="1"/>
  <c r="B14" i="4"/>
  <c r="F12" i="4"/>
  <c r="H15" i="4" l="1"/>
  <c r="E15" i="4"/>
  <c r="E7" i="4"/>
  <c r="H7" i="4"/>
  <c r="H20" i="4"/>
  <c r="E20" i="4"/>
  <c r="H18" i="4"/>
  <c r="E18" i="4"/>
  <c r="H27" i="4"/>
  <c r="E27" i="4"/>
  <c r="H2" i="4"/>
  <c r="J2" i="4" s="1"/>
  <c r="E2" i="4"/>
  <c r="E12" i="4"/>
  <c r="H12" i="4"/>
  <c r="E17" i="4"/>
  <c r="H17" i="4"/>
  <c r="E29" i="4"/>
  <c r="H29" i="4"/>
  <c r="E30" i="4"/>
  <c r="H30" i="4"/>
  <c r="E22" i="4"/>
  <c r="H22" i="4"/>
  <c r="E21" i="4"/>
  <c r="H21" i="4"/>
  <c r="H16" i="4"/>
  <c r="E16" i="4"/>
  <c r="E25" i="4"/>
  <c r="H25" i="4"/>
  <c r="E3" i="4"/>
  <c r="H3" i="4"/>
  <c r="E19" i="4"/>
  <c r="H19" i="4"/>
  <c r="E8" i="4"/>
  <c r="H8" i="4"/>
  <c r="H13" i="4"/>
  <c r="E13" i="4"/>
  <c r="E26" i="4"/>
  <c r="H26" i="4"/>
  <c r="H9" i="4"/>
  <c r="E9" i="4"/>
  <c r="E28" i="4"/>
  <c r="H28" i="4"/>
  <c r="E24" i="4"/>
  <c r="H24" i="4"/>
  <c r="H5" i="4"/>
  <c r="E5" i="4"/>
  <c r="E11" i="4"/>
  <c r="H11" i="4"/>
  <c r="H4" i="4"/>
  <c r="E4" i="4"/>
  <c r="E6" i="4"/>
  <c r="H6" i="4"/>
  <c r="H10" i="4"/>
  <c r="E10" i="4"/>
  <c r="H23" i="4"/>
  <c r="E23" i="4"/>
  <c r="E14" i="4"/>
  <c r="H14" i="4"/>
  <c r="J14" i="4" l="1"/>
  <c r="J6" i="4"/>
  <c r="J11" i="4"/>
  <c r="J9" i="4"/>
  <c r="J12" i="4"/>
  <c r="J18" i="4"/>
  <c r="J7" i="4"/>
</calcChain>
</file>

<file path=xl/sharedStrings.xml><?xml version="1.0" encoding="utf-8"?>
<sst xmlns="http://schemas.openxmlformats.org/spreadsheetml/2006/main" count="20441" uniqueCount="70">
  <si>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</si>
  <si>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</si>
  <si>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</si>
  <si>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</si>
  <si>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</si>
  <si>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</si>
  <si>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</si>
  <si>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</si>
  <si>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</si>
  <si>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</si>
  <si>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</si>
  <si>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</si>
  <si>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</si>
  <si>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</si>
  <si>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</si>
  <si>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</si>
  <si>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</si>
  <si>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</si>
  <si>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</si>
  <si>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</si>
  <si>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</si>
  <si>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</si>
  <si>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</si>
  <si>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</si>
  <si>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</si>
  <si>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</si>
  <si>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</si>
  <si>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</si>
  <si>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</si>
  <si>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</si>
  <si>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</si>
  <si>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</si>
  <si>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</si>
  <si>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</si>
  <si>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</si>
  <si>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</si>
  <si>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</si>
  <si>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</si>
  <si>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</si>
  <si>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</si>
  <si>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</si>
  <si>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</si>
  <si>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</si>
  <si>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</si>
  <si>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</si>
  <si>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</si>
  <si>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</si>
  <si>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</si>
  <si>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</si>
  <si>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</si>
  <si>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</si>
  <si>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</si>
  <si>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</si>
  <si>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</si>
  <si>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</si>
  <si>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</si>
  <si>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</si>
  <si>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</si>
  <si>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</si>
  <si>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</si>
  <si>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</si>
  <si>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</si>
  <si>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</si>
  <si>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</si>
  <si>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</si>
  <si>
    <t>Rafael</t>
  </si>
  <si>
    <t>g</t>
  </si>
  <si>
    <t>Limite</t>
  </si>
  <si>
    <t>Limite 1</t>
  </si>
  <si>
    <t>Limite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</si>
</sst>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5133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2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5229"/>
  <sheetViews>
    <sheetView zoomScaleNormal="100" workbookViewId="0">
      <pane ySplit="1" topLeftCell="A5077" activePane="bottomLeft" state="frozenSplit"/>
      <selection activeCell="D1" sqref="D1 D1"/>
      <selection pane="bottomLeft" activeCell="B5099" sqref="B5099:I509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A4831" s="7">
        <v>4792</v>
      </c>
      <c r="B4831" s="1">
        <v>43795</v>
      </c>
      <c r="C4831" s="6" t="s">
        <v>18</v>
      </c>
      <c r="D4831" s="6" t="s">
        <v>11</v>
      </c>
      <c r="E4831" s="6">
        <v>3</v>
      </c>
      <c r="F4831" s="6">
        <v>2</v>
      </c>
      <c r="G4831" s="6" t="s">
        <v>10</v>
      </c>
      <c r="H4831" s="6" t="s">
        <v>9</v>
      </c>
      <c r="I4831" s="6">
        <f>TabJogos[[#This Row],[PontosTime1]]-TabJogos[[#This Row],[PontosTime2]]</f>
        <v>1</v>
      </c>
    </row>
    <row r="4832" spans="1:9" ht="15" customHeight="1" x14ac:dyDescent="0.25">
      <c r="A4832" s="7">
        <v>4793</v>
      </c>
      <c r="B4832" s="1">
        <v>43795</v>
      </c>
      <c r="C4832" s="6" t="s">
        <v>11</v>
      </c>
      <c r="D4832" s="6" t="s">
        <v>9</v>
      </c>
      <c r="E4832" s="6">
        <v>3</v>
      </c>
      <c r="F4832" s="6">
        <v>2</v>
      </c>
      <c r="G4832" s="6" t="s">
        <v>10</v>
      </c>
      <c r="H4832" s="6" t="s">
        <v>18</v>
      </c>
      <c r="I4832" s="6">
        <f>TabJogos[[#This Row],[PontosTime1]]-TabJogos[[#This Row],[PontosTime2]]</f>
        <v>1</v>
      </c>
    </row>
    <row r="4833" spans="1:9" ht="15" customHeight="1" x14ac:dyDescent="0.25">
      <c r="A4833" s="7">
        <v>4794</v>
      </c>
      <c r="B4833" s="1">
        <v>43795</v>
      </c>
      <c r="C4833" s="6" t="s">
        <v>10</v>
      </c>
      <c r="D4833" s="6" t="s">
        <v>11</v>
      </c>
      <c r="E4833" s="6">
        <v>5</v>
      </c>
      <c r="F4833" s="6">
        <v>0</v>
      </c>
      <c r="G4833" s="6" t="s">
        <v>9</v>
      </c>
      <c r="H4833" s="6" t="s">
        <v>41</v>
      </c>
      <c r="I4833" s="6">
        <f>TabJogos[[#This Row],[PontosTime1]]-TabJogos[[#This Row],[PontosTime2]]</f>
        <v>5</v>
      </c>
    </row>
    <row r="4834" spans="1:9" ht="15" customHeight="1" x14ac:dyDescent="0.25">
      <c r="A4834" s="7">
        <v>4795</v>
      </c>
      <c r="B4834" s="1">
        <v>43795</v>
      </c>
      <c r="C4834" s="6" t="s">
        <v>11</v>
      </c>
      <c r="D4834" s="6" t="s">
        <v>18</v>
      </c>
      <c r="E4834" s="6">
        <v>3</v>
      </c>
      <c r="F4834" s="6">
        <v>2</v>
      </c>
      <c r="G4834" s="6" t="s">
        <v>41</v>
      </c>
      <c r="H4834" s="6" t="s">
        <v>10</v>
      </c>
      <c r="I4834" s="6">
        <f>TabJogos[[#This Row],[PontosTime1]]-TabJogos[[#This Row],[PontosTime2]]</f>
        <v>1</v>
      </c>
    </row>
    <row r="4835" spans="1:9" ht="15" customHeight="1" x14ac:dyDescent="0.25">
      <c r="A4835" s="7">
        <v>4796</v>
      </c>
      <c r="B4835" s="1">
        <v>43795</v>
      </c>
      <c r="C4835" s="6" t="s">
        <v>11</v>
      </c>
      <c r="D4835" s="6" t="s">
        <v>27</v>
      </c>
      <c r="E4835" s="6">
        <v>3</v>
      </c>
      <c r="F4835" s="6">
        <v>1</v>
      </c>
      <c r="G4835" s="6" t="s">
        <v>9</v>
      </c>
      <c r="H4835" s="6" t="s">
        <v>18</v>
      </c>
      <c r="I4835" s="6">
        <f>TabJogos[[#This Row],[PontosTime1]]-TabJogos[[#This Row],[PontosTime2]]</f>
        <v>2</v>
      </c>
    </row>
    <row r="4836" spans="1:9" ht="15" customHeight="1" x14ac:dyDescent="0.25">
      <c r="A4836" s="7">
        <v>4797</v>
      </c>
      <c r="B4836" s="1">
        <v>43795</v>
      </c>
      <c r="C4836" s="6" t="s">
        <v>11</v>
      </c>
      <c r="D4836" s="6" t="s">
        <v>41</v>
      </c>
      <c r="E4836" s="6">
        <v>3</v>
      </c>
      <c r="F4836" s="6">
        <v>2</v>
      </c>
      <c r="G4836" s="6" t="s">
        <v>18</v>
      </c>
      <c r="H4836" s="6" t="s">
        <v>27</v>
      </c>
      <c r="I4836" s="6">
        <f>TabJogos[[#This Row],[PontosTime1]]-TabJogos[[#This Row],[PontosTime2]]</f>
        <v>1</v>
      </c>
    </row>
    <row r="4837" spans="1:9" ht="15" customHeight="1" x14ac:dyDescent="0.25">
      <c r="A4837" s="7">
        <v>4798</v>
      </c>
      <c r="B4837" s="1">
        <v>43795</v>
      </c>
      <c r="C4837" s="6" t="s">
        <v>11</v>
      </c>
      <c r="D4837" s="6" t="s">
        <v>9</v>
      </c>
      <c r="E4837" s="6">
        <v>3</v>
      </c>
      <c r="F4837" s="6">
        <v>1</v>
      </c>
      <c r="G4837" s="6" t="s">
        <v>41</v>
      </c>
      <c r="H4837" s="6" t="s">
        <v>27</v>
      </c>
      <c r="I4837" s="6">
        <f>TabJogos[[#This Row],[PontosTime1]]-TabJogos[[#This Row],[PontosTime2]]</f>
        <v>2</v>
      </c>
    </row>
    <row r="4838" spans="1:9" ht="15" customHeight="1" x14ac:dyDescent="0.25">
      <c r="A4838" s="7">
        <v>4799</v>
      </c>
      <c r="B4838" s="1">
        <v>43795</v>
      </c>
      <c r="C4838" s="6" t="s">
        <v>9</v>
      </c>
      <c r="D4838" s="6" t="s">
        <v>41</v>
      </c>
      <c r="E4838" s="6">
        <v>3</v>
      </c>
      <c r="F4838" s="6">
        <v>1</v>
      </c>
      <c r="G4838" s="6" t="s">
        <v>18</v>
      </c>
      <c r="H4838" s="6" t="s">
        <v>11</v>
      </c>
      <c r="I4838" s="6">
        <f>TabJogos[[#This Row],[PontosTime1]]-TabJogos[[#This Row],[PontosTime2]]</f>
        <v>2</v>
      </c>
    </row>
    <row r="4839" spans="1:9" ht="15" customHeight="1" x14ac:dyDescent="0.25">
      <c r="A4839" s="7">
        <v>4800</v>
      </c>
      <c r="B4839" s="1">
        <v>43795</v>
      </c>
      <c r="C4839" s="6" t="s">
        <v>41</v>
      </c>
      <c r="D4839" s="6" t="s">
        <v>18</v>
      </c>
      <c r="E4839" s="6">
        <v>3</v>
      </c>
      <c r="F4839" s="6">
        <v>0</v>
      </c>
      <c r="G4839" s="6" t="s">
        <v>9</v>
      </c>
      <c r="H4839" s="6" t="s">
        <v>27</v>
      </c>
      <c r="I4839" s="6">
        <f>TabJogos[[#This Row],[PontosTime1]]-TabJogos[[#This Row],[PontosTime2]]</f>
        <v>3</v>
      </c>
    </row>
    <row r="4840" spans="1:9" ht="15" customHeight="1" x14ac:dyDescent="0.25">
      <c r="A4840" s="7">
        <v>4801</v>
      </c>
      <c r="B4840" s="1">
        <v>43795</v>
      </c>
      <c r="C4840" s="6" t="s">
        <v>9</v>
      </c>
      <c r="D4840" s="6" t="s">
        <v>18</v>
      </c>
      <c r="E4840" s="6">
        <v>3</v>
      </c>
      <c r="F4840" s="6">
        <v>2</v>
      </c>
      <c r="G4840" s="6" t="s">
        <v>41</v>
      </c>
      <c r="H4840" s="6" t="s">
        <v>11</v>
      </c>
      <c r="I4840" s="6">
        <f>TabJogos[[#This Row],[PontosTime1]]-TabJogos[[#This Row],[PontosTime2]]</f>
        <v>1</v>
      </c>
    </row>
    <row r="4841" spans="1:9" ht="15" customHeight="1" x14ac:dyDescent="0.25">
      <c r="A4841" s="7">
        <v>4802</v>
      </c>
      <c r="B4841" s="1">
        <v>43795</v>
      </c>
      <c r="C4841" s="6" t="s">
        <v>11</v>
      </c>
      <c r="D4841" s="6" t="s">
        <v>18</v>
      </c>
      <c r="E4841" s="6">
        <v>3</v>
      </c>
      <c r="F4841" s="6">
        <v>0</v>
      </c>
      <c r="G4841" s="6" t="s">
        <v>41</v>
      </c>
      <c r="H4841" s="6" t="s">
        <v>9</v>
      </c>
      <c r="I4841" s="6">
        <f>TabJogos[[#This Row],[PontosTime1]]-TabJogos[[#This Row],[PontosTime2]]</f>
        <v>3</v>
      </c>
    </row>
    <row r="4842" spans="1:9" ht="15" customHeight="1" x14ac:dyDescent="0.25">
      <c r="A4842" s="7">
        <v>4803</v>
      </c>
      <c r="B4842" s="1">
        <v>43795</v>
      </c>
      <c r="C4842" s="6" t="s">
        <v>11</v>
      </c>
      <c r="D4842" s="6" t="s">
        <v>9</v>
      </c>
      <c r="E4842" s="6">
        <v>3</v>
      </c>
      <c r="F4842" s="6">
        <v>0</v>
      </c>
      <c r="G4842" s="6" t="s">
        <v>41</v>
      </c>
      <c r="H4842" s="6" t="s">
        <v>18</v>
      </c>
      <c r="I4842" s="6">
        <f>TabJogos[[#This Row],[PontosTime1]]-TabJogos[[#This Row],[PontosTime2]]</f>
        <v>3</v>
      </c>
    </row>
    <row r="4843" spans="1:9" ht="15" customHeight="1" x14ac:dyDescent="0.25">
      <c r="A4843" s="7">
        <v>4804</v>
      </c>
      <c r="B4843" s="1">
        <v>43796</v>
      </c>
      <c r="C4843" s="6" t="s">
        <v>11</v>
      </c>
      <c r="D4843" s="6" t="s">
        <v>18</v>
      </c>
      <c r="E4843" s="6">
        <v>3</v>
      </c>
      <c r="F4843" s="6">
        <v>1</v>
      </c>
      <c r="G4843" s="6" t="s">
        <v>17</v>
      </c>
      <c r="H4843" s="6" t="s">
        <v>41</v>
      </c>
      <c r="I4843" s="6">
        <f>TabJogos[[#This Row],[PontosTime1]]-TabJogos[[#This Row],[PontosTime2]]</f>
        <v>2</v>
      </c>
    </row>
    <row r="4844" spans="1:9" ht="15" customHeight="1" x14ac:dyDescent="0.25">
      <c r="A4844" s="7">
        <v>4805</v>
      </c>
      <c r="B4844" s="1">
        <v>43796</v>
      </c>
      <c r="C4844" s="6" t="s">
        <v>11</v>
      </c>
      <c r="D4844" s="6" t="s">
        <v>41</v>
      </c>
      <c r="E4844" s="6">
        <v>4</v>
      </c>
      <c r="F4844" s="6">
        <v>0</v>
      </c>
      <c r="G4844" s="6" t="s">
        <v>18</v>
      </c>
      <c r="H4844" s="6" t="s">
        <v>64</v>
      </c>
      <c r="I4844" s="6">
        <f>TabJogos[[#This Row],[PontosTime1]]-TabJogos[[#This Row],[PontosTime2]]</f>
        <v>4</v>
      </c>
    </row>
    <row r="4845" spans="1:9" ht="15" customHeight="1" x14ac:dyDescent="0.25">
      <c r="A4845" s="7">
        <v>4806</v>
      </c>
      <c r="B4845" s="1">
        <v>43796</v>
      </c>
      <c r="C4845" s="6" t="s">
        <v>64</v>
      </c>
      <c r="D4845" s="6" t="s">
        <v>11</v>
      </c>
      <c r="E4845" s="6">
        <v>0</v>
      </c>
      <c r="F4845" s="6">
        <v>3</v>
      </c>
      <c r="G4845" s="6" t="s">
        <v>41</v>
      </c>
      <c r="H4845" s="6" t="s">
        <v>18</v>
      </c>
      <c r="I4845" s="6">
        <f>TabJogos[[#This Row],[PontosTime1]]-TabJogos[[#This Row],[PontosTime2]]</f>
        <v>-3</v>
      </c>
    </row>
    <row r="4846" spans="1:9" ht="15" customHeight="1" x14ac:dyDescent="0.25">
      <c r="A4846" s="7">
        <v>4807</v>
      </c>
      <c r="B4846" s="1">
        <v>43796</v>
      </c>
      <c r="C4846" s="6" t="s">
        <v>41</v>
      </c>
      <c r="D4846" s="6" t="s">
        <v>64</v>
      </c>
      <c r="E4846" s="6">
        <v>4</v>
      </c>
      <c r="F4846" s="6">
        <v>1</v>
      </c>
      <c r="G4846" s="6" t="s">
        <v>11</v>
      </c>
      <c r="H4846" s="6" t="s">
        <v>18</v>
      </c>
      <c r="I4846" s="6">
        <f>TabJogos[[#This Row],[PontosTime1]]-TabJogos[[#This Row],[PontosTime2]]</f>
        <v>3</v>
      </c>
    </row>
    <row r="4847" spans="1:9" ht="15" customHeight="1" x14ac:dyDescent="0.25">
      <c r="A4847" s="7">
        <v>4808</v>
      </c>
      <c r="B4847" s="1">
        <v>43796</v>
      </c>
      <c r="C4847" s="6" t="s">
        <v>64</v>
      </c>
      <c r="D4847" s="6" t="s">
        <v>18</v>
      </c>
      <c r="E4847" s="6">
        <v>2</v>
      </c>
      <c r="F4847" s="6">
        <v>4</v>
      </c>
      <c r="G4847" s="6" t="s">
        <v>11</v>
      </c>
      <c r="H4847" s="6" t="s">
        <v>41</v>
      </c>
      <c r="I4847" s="6">
        <f>TabJogos[[#This Row],[PontosTime1]]-TabJogos[[#This Row],[PontosTime2]]</f>
        <v>-2</v>
      </c>
    </row>
    <row r="4848" spans="1:9" ht="15" customHeight="1" x14ac:dyDescent="0.25">
      <c r="A4848" s="7">
        <v>4809</v>
      </c>
      <c r="B4848" s="1">
        <v>43796</v>
      </c>
      <c r="C4848" s="6" t="s">
        <v>11</v>
      </c>
      <c r="D4848" s="6" t="s">
        <v>64</v>
      </c>
      <c r="E4848" s="6">
        <v>1</v>
      </c>
      <c r="F4848" s="6">
        <v>3</v>
      </c>
      <c r="G4848" s="6" t="s">
        <v>18</v>
      </c>
      <c r="H4848" s="6" t="s">
        <v>41</v>
      </c>
      <c r="I4848" s="6">
        <f>TabJogos[[#This Row],[PontosTime1]]-TabJogos[[#This Row],[PontosTime2]]</f>
        <v>-2</v>
      </c>
    </row>
    <row r="4849" spans="1:9" ht="15" customHeight="1" x14ac:dyDescent="0.25">
      <c r="A4849" s="7">
        <v>4810</v>
      </c>
      <c r="B4849" s="1">
        <v>43796</v>
      </c>
      <c r="C4849" s="6" t="s">
        <v>11</v>
      </c>
      <c r="D4849" s="6" t="s">
        <v>18</v>
      </c>
      <c r="E4849" s="6">
        <v>3</v>
      </c>
      <c r="F4849" s="6">
        <v>1</v>
      </c>
      <c r="G4849" s="6" t="s">
        <v>41</v>
      </c>
      <c r="H4849" s="6" t="s">
        <v>64</v>
      </c>
      <c r="I4849" s="6">
        <f>TabJogos[[#This Row],[PontosTime1]]-TabJogos[[#This Row],[PontosTime2]]</f>
        <v>2</v>
      </c>
    </row>
    <row r="4850" spans="1:9" ht="15" customHeight="1" x14ac:dyDescent="0.25">
      <c r="A4850" s="7">
        <v>4811</v>
      </c>
      <c r="B4850" s="1">
        <v>43796</v>
      </c>
      <c r="C4850" s="6" t="s">
        <v>11</v>
      </c>
      <c r="D4850" s="6" t="s">
        <v>41</v>
      </c>
      <c r="E4850" s="6">
        <v>3</v>
      </c>
      <c r="F4850" s="6">
        <v>2</v>
      </c>
      <c r="G4850" s="6" t="s">
        <v>64</v>
      </c>
      <c r="H4850" s="6" t="s">
        <v>18</v>
      </c>
      <c r="I4850" s="6">
        <f>TabJogos[[#This Row],[PontosTime1]]-TabJogos[[#This Row],[PontosTime2]]</f>
        <v>1</v>
      </c>
    </row>
    <row r="4851" spans="1:9" ht="15" customHeight="1" x14ac:dyDescent="0.25">
      <c r="A4851" s="7">
        <v>4812</v>
      </c>
      <c r="B4851" s="1">
        <v>43801</v>
      </c>
      <c r="C4851" s="23" t="s">
        <v>11</v>
      </c>
      <c r="D4851" s="6" t="s">
        <v>13</v>
      </c>
      <c r="E4851" s="6">
        <v>4</v>
      </c>
      <c r="F4851" s="6">
        <v>0</v>
      </c>
      <c r="G4851" s="6" t="s">
        <v>12</v>
      </c>
      <c r="H4851" s="6" t="s">
        <v>10</v>
      </c>
      <c r="I4851" s="6">
        <f>TabJogos[[#This Row],[PontosTime1]]-TabJogos[[#This Row],[PontosTime2]]</f>
        <v>4</v>
      </c>
    </row>
    <row r="4852" spans="1:9" ht="15" customHeight="1" x14ac:dyDescent="0.25">
      <c r="A4852" s="7">
        <v>4813</v>
      </c>
      <c r="B4852" s="1">
        <v>43801</v>
      </c>
      <c r="C4852" s="34" t="s">
        <v>11</v>
      </c>
      <c r="D4852" s="6" t="s">
        <v>10</v>
      </c>
      <c r="E4852" s="6">
        <v>3</v>
      </c>
      <c r="F4852" s="6">
        <v>2</v>
      </c>
      <c r="G4852" s="6" t="s">
        <v>12</v>
      </c>
      <c r="H4852" s="6" t="s">
        <v>13</v>
      </c>
      <c r="I4852" s="6">
        <f>TabJogos[[#This Row],[PontosTime1]]-TabJogos[[#This Row],[PontosTime2]]</f>
        <v>1</v>
      </c>
    </row>
    <row r="4853" spans="1:9" ht="15" customHeight="1" x14ac:dyDescent="0.25">
      <c r="A4853" s="7">
        <v>4814</v>
      </c>
      <c r="B4853" s="1">
        <v>43801</v>
      </c>
      <c r="C4853" s="24" t="s">
        <v>12</v>
      </c>
      <c r="D4853" s="6" t="s">
        <v>11</v>
      </c>
      <c r="E4853" s="6">
        <v>2</v>
      </c>
      <c r="F4853" s="6">
        <v>3</v>
      </c>
      <c r="G4853" s="6" t="s">
        <v>10</v>
      </c>
      <c r="H4853" s="6" t="s">
        <v>18</v>
      </c>
      <c r="I4853" s="6">
        <f>TabJogos[[#This Row],[PontosTime1]]-TabJogos[[#This Row],[PontosTime2]]</f>
        <v>-1</v>
      </c>
    </row>
    <row r="4854" spans="1:9" ht="15" customHeight="1" x14ac:dyDescent="0.25">
      <c r="A4854" s="7">
        <v>4815</v>
      </c>
      <c r="B4854" s="1">
        <v>43801</v>
      </c>
      <c r="C4854" s="34" t="s">
        <v>10</v>
      </c>
      <c r="D4854" s="6" t="s">
        <v>13</v>
      </c>
      <c r="E4854" s="6">
        <v>3</v>
      </c>
      <c r="F4854" s="6">
        <v>2</v>
      </c>
      <c r="G4854" s="6" t="s">
        <v>18</v>
      </c>
      <c r="H4854" s="6" t="s">
        <v>11</v>
      </c>
      <c r="I4854" s="6">
        <f>TabJogos[[#This Row],[PontosTime1]]-TabJogos[[#This Row],[PontosTime2]]</f>
        <v>1</v>
      </c>
    </row>
    <row r="4855" spans="1:9" ht="15" customHeight="1" x14ac:dyDescent="0.25">
      <c r="A4855" s="7">
        <v>4816</v>
      </c>
      <c r="B4855" s="1">
        <v>43801</v>
      </c>
      <c r="C4855" s="34" t="s">
        <v>18</v>
      </c>
      <c r="D4855" s="6" t="s">
        <v>13</v>
      </c>
      <c r="E4855" s="6">
        <v>3</v>
      </c>
      <c r="F4855" s="6">
        <v>1</v>
      </c>
      <c r="G4855" s="6" t="s">
        <v>11</v>
      </c>
      <c r="H4855" s="6" t="s">
        <v>10</v>
      </c>
      <c r="I4855" s="6">
        <f>TabJogos[[#This Row],[PontosTime1]]-TabJogos[[#This Row],[PontosTime2]]</f>
        <v>2</v>
      </c>
    </row>
    <row r="4856" spans="1:9" ht="15" customHeight="1" x14ac:dyDescent="0.25">
      <c r="A4856" s="7">
        <v>4817</v>
      </c>
      <c r="B4856" s="1">
        <v>43801</v>
      </c>
      <c r="C4856" s="6" t="s">
        <v>13</v>
      </c>
      <c r="D4856" s="6" t="s">
        <v>11</v>
      </c>
      <c r="E4856" s="6">
        <v>3</v>
      </c>
      <c r="F4856" s="6">
        <v>1</v>
      </c>
      <c r="G4856" s="6" t="s">
        <v>10</v>
      </c>
      <c r="H4856" s="6" t="s">
        <v>18</v>
      </c>
      <c r="I4856" s="6">
        <f>TabJogos[[#This Row],[PontosTime1]]-TabJogos[[#This Row],[PontosTime2]]</f>
        <v>2</v>
      </c>
    </row>
    <row r="4857" spans="1:9" ht="15" customHeight="1" x14ac:dyDescent="0.25">
      <c r="A4857" s="7">
        <v>4818</v>
      </c>
      <c r="B4857" s="1">
        <v>43801</v>
      </c>
      <c r="C4857" s="6" t="s">
        <v>13</v>
      </c>
      <c r="D4857" s="6" t="s">
        <v>18</v>
      </c>
      <c r="E4857" s="6">
        <v>1</v>
      </c>
      <c r="F4857" s="6">
        <v>3</v>
      </c>
      <c r="G4857" s="6" t="s">
        <v>11</v>
      </c>
      <c r="H4857" s="6" t="s">
        <v>32</v>
      </c>
      <c r="I4857" s="6">
        <f>TabJogos[[#This Row],[PontosTime1]]-TabJogos[[#This Row],[PontosTime2]]</f>
        <v>-2</v>
      </c>
    </row>
    <row r="4858" spans="1:9" ht="15" customHeight="1" x14ac:dyDescent="0.25">
      <c r="A4858" s="7">
        <v>4819</v>
      </c>
      <c r="B4858" s="1">
        <v>43801</v>
      </c>
      <c r="C4858" s="6" t="s">
        <v>11</v>
      </c>
      <c r="D4858" s="6" t="s">
        <v>18</v>
      </c>
      <c r="E4858" s="6">
        <v>3</v>
      </c>
      <c r="F4858" s="6">
        <v>1</v>
      </c>
      <c r="G4858" s="6" t="s">
        <v>32</v>
      </c>
      <c r="H4858" s="6" t="s">
        <v>13</v>
      </c>
      <c r="I4858" s="6">
        <f>TabJogos[[#This Row],[PontosTime1]]-TabJogos[[#This Row],[PontosTime2]]</f>
        <v>2</v>
      </c>
    </row>
    <row r="4859" spans="1:9" ht="15" customHeight="1" x14ac:dyDescent="0.25">
      <c r="A4859" s="7">
        <v>4820</v>
      </c>
      <c r="B4859" s="1">
        <v>43801</v>
      </c>
      <c r="C4859" s="6" t="s">
        <v>11</v>
      </c>
      <c r="D4859" s="6" t="s">
        <v>13</v>
      </c>
      <c r="E4859" s="6">
        <v>3</v>
      </c>
      <c r="F4859" s="6">
        <v>2</v>
      </c>
      <c r="G4859" s="6" t="s">
        <v>32</v>
      </c>
      <c r="H4859" s="6" t="s">
        <v>18</v>
      </c>
      <c r="I4859" s="6">
        <f>TabJogos[[#This Row],[PontosTime1]]-TabJogos[[#This Row],[PontosTime2]]</f>
        <v>1</v>
      </c>
    </row>
    <row r="4860" spans="1:9" ht="15" customHeight="1" x14ac:dyDescent="0.25">
      <c r="A4860" s="7">
        <v>4821</v>
      </c>
      <c r="B4860" s="1">
        <v>43801</v>
      </c>
      <c r="C4860" s="6" t="s">
        <v>11</v>
      </c>
      <c r="D4860" s="6" t="s">
        <v>32</v>
      </c>
      <c r="E4860" s="6">
        <v>3</v>
      </c>
      <c r="F4860" s="6">
        <v>0</v>
      </c>
      <c r="G4860" s="6" t="s">
        <v>18</v>
      </c>
      <c r="H4860" s="6" t="s">
        <v>13</v>
      </c>
      <c r="I4860" s="6">
        <f>TabJogos[[#This Row],[PontosTime1]]-TabJogos[[#This Row],[PontosTime2]]</f>
        <v>3</v>
      </c>
    </row>
    <row r="4861" spans="1:9" ht="15" customHeight="1" x14ac:dyDescent="0.25">
      <c r="A4861" s="7">
        <v>4822</v>
      </c>
      <c r="B4861" s="1">
        <v>43802</v>
      </c>
      <c r="C4861" s="6" t="s">
        <v>13</v>
      </c>
      <c r="D4861" s="6" t="s">
        <v>27</v>
      </c>
      <c r="E4861" s="6">
        <v>4</v>
      </c>
      <c r="F4861" s="6">
        <v>1</v>
      </c>
      <c r="G4861" s="6" t="s">
        <v>18</v>
      </c>
      <c r="H4861" s="6" t="s">
        <v>32</v>
      </c>
      <c r="I4861" s="6">
        <f>TabJogos[[#This Row],[PontosTime1]]-TabJogos[[#This Row],[PontosTime2]]</f>
        <v>3</v>
      </c>
    </row>
    <row r="4862" spans="1:9" ht="15" customHeight="1" x14ac:dyDescent="0.25">
      <c r="A4862" s="7">
        <v>4823</v>
      </c>
      <c r="B4862" s="1">
        <v>43802</v>
      </c>
      <c r="C4862" s="6" t="s">
        <v>13</v>
      </c>
      <c r="D4862" s="6" t="s">
        <v>11</v>
      </c>
      <c r="E4862" s="6">
        <v>1</v>
      </c>
      <c r="F4862" s="6">
        <v>3</v>
      </c>
      <c r="G4862" s="6" t="s">
        <v>18</v>
      </c>
      <c r="H4862" s="6" t="s">
        <v>27</v>
      </c>
      <c r="I4862" s="6">
        <f>TabJogos[[#This Row],[PontosTime1]]-TabJogos[[#This Row],[PontosTime2]]</f>
        <v>-2</v>
      </c>
    </row>
    <row r="4863" spans="1:9" ht="15" customHeight="1" x14ac:dyDescent="0.25">
      <c r="A4863" s="7">
        <v>4824</v>
      </c>
      <c r="B4863" s="1">
        <v>43802</v>
      </c>
      <c r="C4863" s="6" t="s">
        <v>41</v>
      </c>
      <c r="D4863" s="6" t="s">
        <v>18</v>
      </c>
      <c r="E4863" s="6">
        <v>3</v>
      </c>
      <c r="F4863" s="6">
        <v>0</v>
      </c>
      <c r="G4863" s="6" t="s">
        <v>27</v>
      </c>
      <c r="H4863" s="6" t="s">
        <v>32</v>
      </c>
      <c r="I4863" s="6">
        <f>TabJogos[[#This Row],[PontosTime1]]-TabJogos[[#This Row],[PontosTime2]]</f>
        <v>3</v>
      </c>
    </row>
    <row r="4864" spans="1:9" ht="15" customHeight="1" x14ac:dyDescent="0.25">
      <c r="A4864" s="7">
        <v>4825</v>
      </c>
      <c r="B4864" s="1">
        <v>43802</v>
      </c>
      <c r="C4864" s="6" t="s">
        <v>13</v>
      </c>
      <c r="D4864" s="6" t="s">
        <v>41</v>
      </c>
      <c r="E4864" s="6">
        <v>0</v>
      </c>
      <c r="F4864" s="6">
        <v>4</v>
      </c>
      <c r="G4864" s="6" t="s">
        <v>11</v>
      </c>
      <c r="H4864" s="6" t="s">
        <v>18</v>
      </c>
      <c r="I4864" s="6">
        <f>TabJogos[[#This Row],[PontosTime1]]-TabJogos[[#This Row],[PontosTime2]]</f>
        <v>-4</v>
      </c>
    </row>
    <row r="4865" spans="1:9" ht="15" customHeight="1" x14ac:dyDescent="0.25">
      <c r="A4865" s="7">
        <v>4826</v>
      </c>
      <c r="B4865" s="1">
        <v>43802</v>
      </c>
      <c r="C4865" s="6" t="s">
        <v>11</v>
      </c>
      <c r="D4865" s="6" t="s">
        <v>27</v>
      </c>
      <c r="E4865" s="6">
        <v>0</v>
      </c>
      <c r="F4865" s="6">
        <v>3</v>
      </c>
      <c r="G4865" s="6" t="s">
        <v>32</v>
      </c>
      <c r="H4865" s="6" t="s">
        <v>18</v>
      </c>
      <c r="I4865" s="6">
        <f>TabJogos[[#This Row],[PontosTime1]]-TabJogos[[#This Row],[PontosTime2]]</f>
        <v>-3</v>
      </c>
    </row>
    <row r="4866" spans="1:9" ht="15" customHeight="1" x14ac:dyDescent="0.25">
      <c r="A4866" s="7">
        <v>4827</v>
      </c>
      <c r="B4866" s="1">
        <v>43802</v>
      </c>
      <c r="C4866" s="6" t="s">
        <v>32</v>
      </c>
      <c r="D4866" s="6" t="s">
        <v>41</v>
      </c>
      <c r="E4866" s="6">
        <v>0</v>
      </c>
      <c r="F4866" s="6">
        <v>3</v>
      </c>
      <c r="G4866" s="6" t="s">
        <v>18</v>
      </c>
      <c r="H4866" s="6" t="s">
        <v>65</v>
      </c>
      <c r="I4866" s="6">
        <f>TabJogos[[#This Row],[PontosTime1]]-TabJogos[[#This Row],[PontosTime2]]</f>
        <v>-3</v>
      </c>
    </row>
    <row r="4867" spans="1:9" ht="15" customHeight="1" x14ac:dyDescent="0.25">
      <c r="A4867" s="7">
        <v>4828</v>
      </c>
      <c r="B4867" s="1">
        <v>43802</v>
      </c>
      <c r="C4867" s="6" t="s">
        <v>13</v>
      </c>
      <c r="D4867" s="6" t="s">
        <v>18</v>
      </c>
      <c r="E4867" s="6">
        <v>4</v>
      </c>
      <c r="F4867" s="6">
        <v>0</v>
      </c>
      <c r="G4867" s="6" t="s">
        <v>11</v>
      </c>
      <c r="H4867" s="6" t="s">
        <v>65</v>
      </c>
      <c r="I4867" s="6">
        <f>TabJogos[[#This Row],[PontosTime1]]-TabJogos[[#This Row],[PontosTime2]]</f>
        <v>4</v>
      </c>
    </row>
    <row r="4868" spans="1:9" ht="15" customHeight="1" x14ac:dyDescent="0.25">
      <c r="A4868" s="7">
        <v>4829</v>
      </c>
      <c r="B4868" s="1">
        <v>43802</v>
      </c>
      <c r="C4868" s="6" t="s">
        <v>41</v>
      </c>
      <c r="D4868" s="6" t="s">
        <v>18</v>
      </c>
      <c r="E4868" s="6">
        <v>3</v>
      </c>
      <c r="F4868" s="6">
        <v>0</v>
      </c>
      <c r="G4868" s="6" t="s">
        <v>27</v>
      </c>
      <c r="H4868" s="6" t="s">
        <v>13</v>
      </c>
      <c r="I4868" s="6">
        <f>TabJogos[[#This Row],[PontosTime1]]-TabJogos[[#This Row],[PontosTime2]]</f>
        <v>3</v>
      </c>
    </row>
    <row r="4869" spans="1:9" ht="15" customHeight="1" x14ac:dyDescent="0.25">
      <c r="A4869" s="7">
        <v>4830</v>
      </c>
      <c r="B4869" s="1">
        <v>43802</v>
      </c>
      <c r="C4869" s="6" t="s">
        <v>65</v>
      </c>
      <c r="D4869" s="6" t="s">
        <v>41</v>
      </c>
      <c r="E4869" s="6">
        <v>2</v>
      </c>
      <c r="F4869" s="6">
        <v>6</v>
      </c>
      <c r="G4869" s="6" t="s">
        <v>18</v>
      </c>
      <c r="H4869" s="6" t="s">
        <v>32</v>
      </c>
      <c r="I4869" s="6">
        <f>TabJogos[[#This Row],[PontosTime1]]-TabJogos[[#This Row],[PontosTime2]]</f>
        <v>-4</v>
      </c>
    </row>
    <row r="4870" spans="1:9" ht="15" customHeight="1" x14ac:dyDescent="0.25">
      <c r="A4870" s="7">
        <v>4831</v>
      </c>
      <c r="B4870" s="1">
        <v>43802</v>
      </c>
      <c r="C4870" s="6" t="s">
        <v>13</v>
      </c>
      <c r="D4870" s="6" t="s">
        <v>18</v>
      </c>
      <c r="E4870" s="6">
        <v>3</v>
      </c>
      <c r="F4870" s="6">
        <v>1</v>
      </c>
      <c r="G4870" s="6" t="s">
        <v>27</v>
      </c>
      <c r="H4870" s="6" t="s">
        <v>32</v>
      </c>
      <c r="I4870" s="6">
        <f>TabJogos[[#This Row],[PontosTime1]]-TabJogos[[#This Row],[PontosTime2]]</f>
        <v>2</v>
      </c>
    </row>
    <row r="4871" spans="1:9" ht="15" customHeight="1" x14ac:dyDescent="0.25">
      <c r="A4871" s="7">
        <v>4832</v>
      </c>
      <c r="B4871" s="1">
        <v>43802</v>
      </c>
      <c r="C4871" s="6" t="s">
        <v>65</v>
      </c>
      <c r="D4871" s="6" t="s">
        <v>18</v>
      </c>
      <c r="E4871" s="6">
        <v>3</v>
      </c>
      <c r="F4871" s="6">
        <v>1</v>
      </c>
      <c r="G4871" s="6" t="s">
        <v>13</v>
      </c>
      <c r="H4871" s="6" t="s">
        <v>41</v>
      </c>
      <c r="I4871" s="6">
        <f>TabJogos[[#This Row],[PontosTime1]]-TabJogos[[#This Row],[PontosTime2]]</f>
        <v>2</v>
      </c>
    </row>
    <row r="4872" spans="1:9" ht="15" customHeight="1" x14ac:dyDescent="0.25">
      <c r="A4872" s="7">
        <v>4833</v>
      </c>
      <c r="B4872" s="1">
        <v>43802</v>
      </c>
      <c r="C4872" s="6" t="s">
        <v>27</v>
      </c>
      <c r="D4872" s="6" t="s">
        <v>65</v>
      </c>
      <c r="E4872" s="6">
        <v>3</v>
      </c>
      <c r="F4872" s="6">
        <v>0</v>
      </c>
      <c r="G4872" s="6" t="s">
        <v>13</v>
      </c>
      <c r="H4872" s="6" t="s">
        <v>18</v>
      </c>
      <c r="I4872" s="6">
        <f>TabJogos[[#This Row],[PontosTime1]]-TabJogos[[#This Row],[PontosTime2]]</f>
        <v>3</v>
      </c>
    </row>
    <row r="4873" spans="1:9" ht="15" customHeight="1" x14ac:dyDescent="0.25">
      <c r="A4873" s="7">
        <v>4834</v>
      </c>
      <c r="B4873" s="1">
        <v>43802</v>
      </c>
      <c r="C4873" s="6" t="s">
        <v>13</v>
      </c>
      <c r="D4873" s="6" t="s">
        <v>65</v>
      </c>
      <c r="E4873" s="6">
        <v>4</v>
      </c>
      <c r="F4873" s="6">
        <v>2</v>
      </c>
      <c r="G4873" s="6" t="s">
        <v>18</v>
      </c>
      <c r="H4873" s="6" t="s">
        <v>27</v>
      </c>
      <c r="I4873" s="6">
        <f>TabJogos[[#This Row],[PontosTime1]]-TabJogos[[#This Row],[PontosTime2]]</f>
        <v>2</v>
      </c>
    </row>
    <row r="4874" spans="1:9" ht="15" customHeight="1" x14ac:dyDescent="0.25">
      <c r="A4874" s="7">
        <v>4835</v>
      </c>
      <c r="B4874" s="1">
        <v>43802</v>
      </c>
      <c r="C4874" s="6" t="s">
        <v>13</v>
      </c>
      <c r="D4874" s="6" t="s">
        <v>18</v>
      </c>
      <c r="E4874" s="6">
        <v>4</v>
      </c>
      <c r="F4874" s="6">
        <v>1</v>
      </c>
      <c r="G4874" s="6" t="s">
        <v>65</v>
      </c>
      <c r="H4874" s="6" t="s">
        <v>41</v>
      </c>
      <c r="I4874" s="6">
        <f>TabJogos[[#This Row],[PontosTime1]]-TabJogos[[#This Row],[PontosTime2]]</f>
        <v>3</v>
      </c>
    </row>
    <row r="4875" spans="1:9" ht="15" customHeight="1" x14ac:dyDescent="0.25">
      <c r="A4875" s="7">
        <v>4836</v>
      </c>
      <c r="B4875" s="1">
        <v>43803</v>
      </c>
      <c r="C4875" s="6" t="s">
        <v>10</v>
      </c>
      <c r="D4875" s="6" t="s">
        <v>9</v>
      </c>
      <c r="E4875" s="6">
        <v>3</v>
      </c>
      <c r="F4875" s="6">
        <v>2</v>
      </c>
      <c r="G4875" s="6" t="s">
        <v>11</v>
      </c>
      <c r="H4875" s="6" t="s">
        <v>13</v>
      </c>
      <c r="I4875" s="6">
        <f>TabJogos[[#This Row],[PontosTime1]]-TabJogos[[#This Row],[PontosTime2]]</f>
        <v>1</v>
      </c>
    </row>
    <row r="4876" spans="1:9" ht="15" customHeight="1" x14ac:dyDescent="0.25">
      <c r="A4876" s="7">
        <v>4837</v>
      </c>
      <c r="B4876" s="1">
        <v>43803</v>
      </c>
      <c r="C4876" s="6" t="s">
        <v>10</v>
      </c>
      <c r="D4876" s="6" t="s">
        <v>13</v>
      </c>
      <c r="E4876" s="6">
        <v>0</v>
      </c>
      <c r="F4876" s="6">
        <v>3</v>
      </c>
      <c r="G4876" s="6" t="s">
        <v>11</v>
      </c>
      <c r="H4876" s="6" t="s">
        <v>9</v>
      </c>
      <c r="I4876" s="6">
        <f>TabJogos[[#This Row],[PontosTime1]]-TabJogos[[#This Row],[PontosTime2]]</f>
        <v>-3</v>
      </c>
    </row>
    <row r="4877" spans="1:9" ht="15" customHeight="1" x14ac:dyDescent="0.25">
      <c r="A4877" s="7">
        <v>4838</v>
      </c>
      <c r="B4877" s="1">
        <v>43803</v>
      </c>
      <c r="C4877" s="6" t="s">
        <v>11</v>
      </c>
      <c r="D4877" s="6" t="s">
        <v>10</v>
      </c>
      <c r="E4877" s="6">
        <v>2</v>
      </c>
      <c r="F4877" s="6">
        <v>3</v>
      </c>
      <c r="G4877" s="6" t="s">
        <v>13</v>
      </c>
      <c r="H4877" s="6" t="s">
        <v>9</v>
      </c>
      <c r="I4877" s="6">
        <f>TabJogos[[#This Row],[PontosTime1]]-TabJogos[[#This Row],[PontosTime2]]</f>
        <v>-1</v>
      </c>
    </row>
    <row r="4878" spans="1:9" ht="15" customHeight="1" x14ac:dyDescent="0.25">
      <c r="A4878" s="7">
        <v>4839</v>
      </c>
      <c r="B4878" s="1">
        <v>43803</v>
      </c>
      <c r="C4878" s="6" t="s">
        <v>10</v>
      </c>
      <c r="D4878" s="6" t="s">
        <v>9</v>
      </c>
      <c r="E4878" s="6">
        <v>0</v>
      </c>
      <c r="F4878" s="6">
        <v>3</v>
      </c>
      <c r="G4878" s="6" t="s">
        <v>11</v>
      </c>
      <c r="H4878" s="6" t="s">
        <v>13</v>
      </c>
      <c r="I4878" s="6">
        <f>TabJogos[[#This Row],[PontosTime1]]-TabJogos[[#This Row],[PontosTime2]]</f>
        <v>-3</v>
      </c>
    </row>
    <row r="4879" spans="1:9" ht="15" customHeight="1" x14ac:dyDescent="0.25">
      <c r="A4879" s="7">
        <v>4840</v>
      </c>
      <c r="B4879" s="1">
        <v>43803</v>
      </c>
      <c r="C4879" s="6" t="s">
        <v>10</v>
      </c>
      <c r="D4879" s="6" t="s">
        <v>13</v>
      </c>
      <c r="E4879" s="6">
        <v>3</v>
      </c>
      <c r="F4879" s="6">
        <v>1</v>
      </c>
      <c r="G4879" s="6" t="s">
        <v>11</v>
      </c>
      <c r="H4879" s="6" t="s">
        <v>9</v>
      </c>
      <c r="I4879" s="6">
        <f>TabJogos[[#This Row],[PontosTime1]]-TabJogos[[#This Row],[PontosTime2]]</f>
        <v>2</v>
      </c>
    </row>
    <row r="4880" spans="1:9" ht="15" customHeight="1" x14ac:dyDescent="0.25">
      <c r="A4880" s="7">
        <v>4841</v>
      </c>
      <c r="B4880" s="1">
        <v>43803</v>
      </c>
      <c r="C4880" s="6" t="s">
        <v>11</v>
      </c>
      <c r="D4880" s="6" t="s">
        <v>10</v>
      </c>
      <c r="E4880" s="6">
        <v>4</v>
      </c>
      <c r="F4880" s="6">
        <v>2</v>
      </c>
      <c r="G4880" s="6" t="s">
        <v>13</v>
      </c>
      <c r="H4880" s="6" t="s">
        <v>9</v>
      </c>
      <c r="I4880" s="6">
        <f>TabJogos[[#This Row],[PontosTime1]]-TabJogos[[#This Row],[PontosTime2]]</f>
        <v>2</v>
      </c>
    </row>
    <row r="4881" spans="1:9" ht="15" customHeight="1" x14ac:dyDescent="0.25">
      <c r="A4881" s="7">
        <v>4842</v>
      </c>
      <c r="B4881" s="1">
        <v>43803</v>
      </c>
      <c r="C4881" s="6" t="s">
        <v>11</v>
      </c>
      <c r="D4881" s="6" t="s">
        <v>13</v>
      </c>
      <c r="E4881" s="6">
        <v>1</v>
      </c>
      <c r="F4881" s="6">
        <v>3</v>
      </c>
      <c r="G4881" s="6" t="s">
        <v>9</v>
      </c>
      <c r="H4881" s="6" t="s">
        <v>17</v>
      </c>
      <c r="I4881" s="6">
        <f>TabJogos[[#This Row],[PontosTime1]]-TabJogos[[#This Row],[PontosTime2]]</f>
        <v>-2</v>
      </c>
    </row>
    <row r="4882" spans="1:9" ht="15" customHeight="1" x14ac:dyDescent="0.25">
      <c r="A4882" s="7">
        <v>4843</v>
      </c>
      <c r="B4882" s="1">
        <v>43803</v>
      </c>
      <c r="C4882" s="6" t="s">
        <v>11</v>
      </c>
      <c r="D4882" s="6" t="s">
        <v>9</v>
      </c>
      <c r="E4882" s="6">
        <v>4</v>
      </c>
      <c r="F4882" s="6">
        <v>2</v>
      </c>
      <c r="G4882" s="6" t="s">
        <v>13</v>
      </c>
      <c r="H4882" s="6" t="s">
        <v>17</v>
      </c>
      <c r="I4882" s="6">
        <f>TabJogos[[#This Row],[PontosTime1]]-TabJogos[[#This Row],[PontosTime2]]</f>
        <v>2</v>
      </c>
    </row>
    <row r="4883" spans="1:9" ht="15" customHeight="1" x14ac:dyDescent="0.25">
      <c r="A4883" s="7">
        <v>4844</v>
      </c>
      <c r="B4883" s="1">
        <v>43803</v>
      </c>
      <c r="C4883" s="6" t="s">
        <v>11</v>
      </c>
      <c r="D4883" s="6" t="s">
        <v>27</v>
      </c>
      <c r="E4883" s="6">
        <v>3</v>
      </c>
      <c r="F4883" s="6">
        <v>1</v>
      </c>
      <c r="G4883" s="6" t="s">
        <v>9</v>
      </c>
      <c r="H4883" s="6" t="s">
        <v>13</v>
      </c>
      <c r="I4883" s="6">
        <f>TabJogos[[#This Row],[PontosTime1]]-TabJogos[[#This Row],[PontosTime2]]</f>
        <v>2</v>
      </c>
    </row>
    <row r="4884" spans="1:9" ht="15" customHeight="1" x14ac:dyDescent="0.25">
      <c r="A4884" s="7">
        <v>4845</v>
      </c>
      <c r="B4884" s="1">
        <v>43803</v>
      </c>
      <c r="C4884" s="6" t="s">
        <v>11</v>
      </c>
      <c r="D4884" s="6" t="s">
        <v>13</v>
      </c>
      <c r="E4884" s="6">
        <v>1</v>
      </c>
      <c r="F4884" s="6">
        <v>3</v>
      </c>
      <c r="G4884" s="6" t="s">
        <v>9</v>
      </c>
      <c r="H4884" s="6" t="s">
        <v>27</v>
      </c>
      <c r="I4884" s="6">
        <f>TabJogos[[#This Row],[PontosTime1]]-TabJogos[[#This Row],[PontosTime2]]</f>
        <v>-2</v>
      </c>
    </row>
    <row r="4885" spans="1:9" ht="15" customHeight="1" x14ac:dyDescent="0.25">
      <c r="A4885" s="7">
        <v>4846</v>
      </c>
      <c r="B4885" s="1">
        <v>43803</v>
      </c>
      <c r="C4885" s="6" t="s">
        <v>9</v>
      </c>
      <c r="D4885" s="6" t="s">
        <v>11</v>
      </c>
      <c r="E4885" s="6">
        <v>3</v>
      </c>
      <c r="F4885" s="6">
        <v>1</v>
      </c>
      <c r="G4885" s="6" t="s">
        <v>13</v>
      </c>
      <c r="H4885" s="6" t="s">
        <v>27</v>
      </c>
      <c r="I4885" s="6">
        <f>TabJogos[[#This Row],[PontosTime1]]-TabJogos[[#This Row],[PontosTime2]]</f>
        <v>2</v>
      </c>
    </row>
    <row r="4886" spans="1:9" ht="15" customHeight="1" x14ac:dyDescent="0.25">
      <c r="A4886" s="7">
        <v>4847</v>
      </c>
      <c r="B4886" s="1">
        <v>43803</v>
      </c>
      <c r="C4886" s="6" t="s">
        <v>9</v>
      </c>
      <c r="D4886" s="6" t="s">
        <v>13</v>
      </c>
      <c r="E4886" s="6">
        <v>2</v>
      </c>
      <c r="F4886" s="6">
        <v>3</v>
      </c>
      <c r="G4886" s="6" t="s">
        <v>11</v>
      </c>
      <c r="H4886" s="6" t="s">
        <v>27</v>
      </c>
      <c r="I4886" s="6">
        <f>TabJogos[[#This Row],[PontosTime1]]-TabJogos[[#This Row],[PontosTime2]]</f>
        <v>-1</v>
      </c>
    </row>
    <row r="4887" spans="1:9" ht="15" customHeight="1" x14ac:dyDescent="0.25">
      <c r="A4887" s="7">
        <v>4848</v>
      </c>
      <c r="B4887" s="1">
        <v>43804</v>
      </c>
      <c r="C4887" s="6" t="s">
        <v>13</v>
      </c>
      <c r="D4887" s="6" t="s">
        <v>10</v>
      </c>
      <c r="E4887" s="6">
        <v>0</v>
      </c>
      <c r="F4887" s="6">
        <v>3</v>
      </c>
      <c r="G4887" s="6" t="s">
        <v>9</v>
      </c>
      <c r="H4887" s="6" t="s">
        <v>11</v>
      </c>
      <c r="I4887" s="6">
        <f>TabJogos[[#This Row],[PontosTime1]]-TabJogos[[#This Row],[PontosTime2]]</f>
        <v>-3</v>
      </c>
    </row>
    <row r="4888" spans="1:9" ht="15" customHeight="1" x14ac:dyDescent="0.25">
      <c r="A4888" s="7">
        <v>4849</v>
      </c>
      <c r="B4888" s="1">
        <v>43804</v>
      </c>
      <c r="C4888" s="6" t="s">
        <v>11</v>
      </c>
      <c r="D4888" s="6" t="s">
        <v>10</v>
      </c>
      <c r="E4888" s="6">
        <v>0</v>
      </c>
      <c r="F4888" s="6">
        <v>3</v>
      </c>
      <c r="G4888" s="6" t="s">
        <v>9</v>
      </c>
      <c r="H4888" s="6" t="s">
        <v>13</v>
      </c>
      <c r="I4888" s="6">
        <f>TabJogos[[#This Row],[PontosTime1]]-TabJogos[[#This Row],[PontosTime2]]</f>
        <v>-3</v>
      </c>
    </row>
    <row r="4889" spans="1:9" ht="15" customHeight="1" x14ac:dyDescent="0.25">
      <c r="A4889" s="7">
        <v>4850</v>
      </c>
      <c r="B4889" s="1">
        <v>43804</v>
      </c>
      <c r="C4889" s="6" t="s">
        <v>13</v>
      </c>
      <c r="D4889" s="6" t="s">
        <v>11</v>
      </c>
      <c r="E4889" s="6">
        <v>3</v>
      </c>
      <c r="F4889" s="6">
        <v>2</v>
      </c>
      <c r="G4889" s="6" t="s">
        <v>9</v>
      </c>
      <c r="H4889" s="6" t="s">
        <v>10</v>
      </c>
      <c r="I4889" s="6">
        <f>TabJogos[[#This Row],[PontosTime1]]-TabJogos[[#This Row],[PontosTime2]]</f>
        <v>1</v>
      </c>
    </row>
    <row r="4890" spans="1:9" ht="15" customHeight="1" x14ac:dyDescent="0.25">
      <c r="A4890" s="7">
        <v>4851</v>
      </c>
      <c r="B4890" s="1">
        <v>43804</v>
      </c>
      <c r="C4890" s="6" t="s">
        <v>13</v>
      </c>
      <c r="D4890" s="6" t="s">
        <v>10</v>
      </c>
      <c r="E4890" s="6">
        <v>0</v>
      </c>
      <c r="F4890" s="6">
        <v>3</v>
      </c>
      <c r="G4890" s="6" t="s">
        <v>9</v>
      </c>
      <c r="H4890" s="6" t="s">
        <v>11</v>
      </c>
      <c r="I4890" s="6">
        <f>TabJogos[[#This Row],[PontosTime1]]-TabJogos[[#This Row],[PontosTime2]]</f>
        <v>-3</v>
      </c>
    </row>
    <row r="4891" spans="1:9" ht="15" customHeight="1" x14ac:dyDescent="0.25">
      <c r="A4891" s="7">
        <v>4852</v>
      </c>
      <c r="B4891" s="1">
        <v>43804</v>
      </c>
      <c r="C4891" s="6" t="s">
        <v>11</v>
      </c>
      <c r="D4891" s="6" t="s">
        <v>10</v>
      </c>
      <c r="E4891" s="6">
        <v>2</v>
      </c>
      <c r="F4891" s="6">
        <v>4</v>
      </c>
      <c r="G4891" s="6" t="s">
        <v>9</v>
      </c>
      <c r="H4891" s="6" t="s">
        <v>13</v>
      </c>
      <c r="I4891" s="6">
        <f>TabJogos[[#This Row],[PontosTime1]]-TabJogos[[#This Row],[PontosTime2]]</f>
        <v>-2</v>
      </c>
    </row>
    <row r="4892" spans="1:9" ht="15" customHeight="1" x14ac:dyDescent="0.25">
      <c r="A4892" s="7">
        <v>4853</v>
      </c>
      <c r="B4892" s="1">
        <v>43804</v>
      </c>
      <c r="C4892" s="6" t="s">
        <v>13</v>
      </c>
      <c r="D4892" s="6" t="s">
        <v>11</v>
      </c>
      <c r="E4892" s="6">
        <v>1</v>
      </c>
      <c r="F4892" s="6">
        <v>4</v>
      </c>
      <c r="G4892" s="6" t="s">
        <v>9</v>
      </c>
      <c r="H4892" s="6" t="s">
        <v>10</v>
      </c>
      <c r="I4892" s="6">
        <f>TabJogos[[#This Row],[PontosTime1]]-TabJogos[[#This Row],[PontosTime2]]</f>
        <v>-3</v>
      </c>
    </row>
    <row r="4893" spans="1:9" ht="15" customHeight="1" x14ac:dyDescent="0.25">
      <c r="A4893" s="7">
        <v>4854</v>
      </c>
      <c r="B4893" s="1">
        <v>43804</v>
      </c>
      <c r="C4893" s="6" t="s">
        <v>13</v>
      </c>
      <c r="D4893" s="6" t="s">
        <v>10</v>
      </c>
      <c r="E4893" s="6">
        <v>3</v>
      </c>
      <c r="F4893" s="6">
        <v>0</v>
      </c>
      <c r="G4893" s="6" t="s">
        <v>9</v>
      </c>
      <c r="H4893" s="6" t="s">
        <v>11</v>
      </c>
      <c r="I4893" s="6">
        <f>TabJogos[[#This Row],[PontosTime1]]-TabJogos[[#This Row],[PontosTime2]]</f>
        <v>3</v>
      </c>
    </row>
    <row r="4894" spans="1:9" ht="15" customHeight="1" x14ac:dyDescent="0.25">
      <c r="A4894" s="7">
        <v>4855</v>
      </c>
      <c r="B4894" s="1">
        <v>43804</v>
      </c>
      <c r="C4894" s="6" t="s">
        <v>13</v>
      </c>
      <c r="D4894" s="6" t="s">
        <v>9</v>
      </c>
      <c r="E4894" s="6">
        <v>2</v>
      </c>
      <c r="F4894" s="6">
        <v>7</v>
      </c>
      <c r="G4894" s="6" t="s">
        <v>10</v>
      </c>
      <c r="H4894" s="6" t="s">
        <v>16</v>
      </c>
      <c r="I4894" s="6">
        <f>TabJogos[[#This Row],[PontosTime1]]-TabJogos[[#This Row],[PontosTime2]]</f>
        <v>-5</v>
      </c>
    </row>
    <row r="4895" spans="1:9" ht="15" customHeight="1" x14ac:dyDescent="0.25">
      <c r="A4895" s="7">
        <v>4856</v>
      </c>
      <c r="B4895" s="1">
        <v>43804</v>
      </c>
      <c r="C4895" s="6" t="s">
        <v>16</v>
      </c>
      <c r="D4895" s="6" t="s">
        <v>13</v>
      </c>
      <c r="E4895" s="6">
        <v>3</v>
      </c>
      <c r="F4895" s="6">
        <v>1</v>
      </c>
      <c r="G4895" s="6" t="s">
        <v>11</v>
      </c>
      <c r="H4895" s="6" t="s">
        <v>9</v>
      </c>
      <c r="I4895" s="6">
        <f>TabJogos[[#This Row],[PontosTime1]]-TabJogos[[#This Row],[PontosTime2]]</f>
        <v>2</v>
      </c>
    </row>
    <row r="4896" spans="1:9" ht="15" customHeight="1" x14ac:dyDescent="0.25">
      <c r="A4896" s="7">
        <v>4857</v>
      </c>
      <c r="B4896" s="1">
        <v>43809</v>
      </c>
      <c r="C4896" s="6" t="s">
        <v>17</v>
      </c>
      <c r="D4896" s="6" t="s">
        <v>10</v>
      </c>
      <c r="E4896" s="6">
        <v>1</v>
      </c>
      <c r="F4896" s="6">
        <v>3</v>
      </c>
      <c r="G4896" s="6" t="s">
        <v>18</v>
      </c>
      <c r="H4896" s="6" t="s">
        <v>13</v>
      </c>
      <c r="I4896" s="6">
        <f>TabJogos[[#This Row],[PontosTime1]]-TabJogos[[#This Row],[PontosTime2]]</f>
        <v>-2</v>
      </c>
    </row>
    <row r="4897" spans="1:9" ht="15" customHeight="1" x14ac:dyDescent="0.25">
      <c r="A4897" s="7">
        <v>4858</v>
      </c>
      <c r="B4897" s="1">
        <v>43809</v>
      </c>
      <c r="C4897" s="6" t="s">
        <v>11</v>
      </c>
      <c r="D4897" s="6" t="s">
        <v>13</v>
      </c>
      <c r="E4897" s="6">
        <v>1</v>
      </c>
      <c r="F4897" s="6">
        <v>3</v>
      </c>
      <c r="G4897" s="6" t="s">
        <v>18</v>
      </c>
      <c r="H4897" s="6" t="s">
        <v>12</v>
      </c>
      <c r="I4897" s="6">
        <f>TabJogos[[#This Row],[PontosTime1]]-TabJogos[[#This Row],[PontosTime2]]</f>
        <v>-2</v>
      </c>
    </row>
    <row r="4898" spans="1:9" ht="15" customHeight="1" x14ac:dyDescent="0.25">
      <c r="A4898" s="7">
        <v>4859</v>
      </c>
      <c r="B4898" s="1">
        <v>43809</v>
      </c>
      <c r="C4898" s="6" t="s">
        <v>13</v>
      </c>
      <c r="D4898" s="6" t="s">
        <v>12</v>
      </c>
      <c r="E4898" s="6">
        <v>3</v>
      </c>
      <c r="F4898" s="6">
        <v>1</v>
      </c>
      <c r="G4898" s="6" t="s">
        <v>18</v>
      </c>
      <c r="H4898" s="6" t="s">
        <v>10</v>
      </c>
      <c r="I4898" s="6">
        <f>TabJogos[[#This Row],[PontosTime1]]-TabJogos[[#This Row],[PontosTime2]]</f>
        <v>2</v>
      </c>
    </row>
    <row r="4899" spans="1:9" ht="15" customHeight="1" x14ac:dyDescent="0.25">
      <c r="A4899" s="7">
        <v>4860</v>
      </c>
      <c r="B4899" s="1">
        <v>43809</v>
      </c>
      <c r="C4899" s="6" t="s">
        <v>13</v>
      </c>
      <c r="D4899" s="6" t="s">
        <v>17</v>
      </c>
      <c r="E4899" s="6">
        <v>0</v>
      </c>
      <c r="F4899" s="6">
        <v>4</v>
      </c>
      <c r="G4899" s="6" t="s">
        <v>18</v>
      </c>
      <c r="H4899" s="6" t="s">
        <v>11</v>
      </c>
      <c r="I4899" s="6">
        <f>TabJogos[[#This Row],[PontosTime1]]-TabJogos[[#This Row],[PontosTime2]]</f>
        <v>-4</v>
      </c>
    </row>
    <row r="4900" spans="1:9" ht="15" customHeight="1" x14ac:dyDescent="0.25">
      <c r="A4900" s="7">
        <v>4861</v>
      </c>
      <c r="B4900" s="1">
        <v>43809</v>
      </c>
      <c r="C4900" s="6" t="s">
        <v>11</v>
      </c>
      <c r="D4900" s="6" t="s">
        <v>10</v>
      </c>
      <c r="E4900" s="6">
        <v>3</v>
      </c>
      <c r="F4900" s="6">
        <v>1</v>
      </c>
      <c r="G4900" s="6" t="s">
        <v>13</v>
      </c>
      <c r="H4900" s="6" t="s">
        <v>18</v>
      </c>
      <c r="I4900" s="6">
        <f>TabJogos[[#This Row],[PontosTime1]]-TabJogos[[#This Row],[PontosTime2]]</f>
        <v>2</v>
      </c>
    </row>
    <row r="4901" spans="1:9" ht="15" customHeight="1" x14ac:dyDescent="0.25">
      <c r="A4901" s="7">
        <v>4862</v>
      </c>
      <c r="B4901" s="1">
        <v>43809</v>
      </c>
      <c r="C4901" s="6" t="s">
        <v>11</v>
      </c>
      <c r="D4901" s="6" t="s">
        <v>13</v>
      </c>
      <c r="E4901" s="6">
        <v>2</v>
      </c>
      <c r="F4901" s="6">
        <v>3</v>
      </c>
      <c r="G4901" s="6" t="s">
        <v>18</v>
      </c>
      <c r="H4901" s="6" t="s">
        <v>10</v>
      </c>
      <c r="I4901" s="6">
        <f>TabJogos[[#This Row],[PontosTime1]]-TabJogos[[#This Row],[PontosTime2]]</f>
        <v>-1</v>
      </c>
    </row>
    <row r="4902" spans="1:9" ht="15" customHeight="1" x14ac:dyDescent="0.25">
      <c r="A4902" s="7">
        <v>4863</v>
      </c>
      <c r="B4902" s="1">
        <v>43809</v>
      </c>
      <c r="C4902" s="6" t="s">
        <v>11</v>
      </c>
      <c r="D4902" s="6" t="s">
        <v>18</v>
      </c>
      <c r="E4902" s="6">
        <v>3</v>
      </c>
      <c r="F4902" s="6">
        <v>0</v>
      </c>
      <c r="G4902" s="6" t="s">
        <v>10</v>
      </c>
      <c r="H4902" s="6" t="s">
        <v>13</v>
      </c>
      <c r="I4902" s="6">
        <f>TabJogos[[#This Row],[PontosTime1]]-TabJogos[[#This Row],[PontosTime2]]</f>
        <v>3</v>
      </c>
    </row>
    <row r="4903" spans="1:9" ht="15" customHeight="1" x14ac:dyDescent="0.25">
      <c r="A4903" s="7">
        <v>4864</v>
      </c>
      <c r="B4903" s="1">
        <v>43809</v>
      </c>
      <c r="C4903" s="6" t="s">
        <v>11</v>
      </c>
      <c r="D4903" s="6" t="s">
        <v>10</v>
      </c>
      <c r="E4903" s="6">
        <v>3</v>
      </c>
      <c r="F4903" s="6">
        <v>0</v>
      </c>
      <c r="G4903" s="6" t="s">
        <v>18</v>
      </c>
      <c r="H4903" s="6" t="s">
        <v>13</v>
      </c>
      <c r="I4903" s="6">
        <f>TabJogos[[#This Row],[PontosTime1]]-TabJogos[[#This Row],[PontosTime2]]</f>
        <v>3</v>
      </c>
    </row>
    <row r="4904" spans="1:9" ht="15" customHeight="1" x14ac:dyDescent="0.25">
      <c r="A4904" s="7">
        <v>4865</v>
      </c>
      <c r="B4904" s="1">
        <v>43810</v>
      </c>
      <c r="C4904" s="6" t="s">
        <v>12</v>
      </c>
      <c r="D4904" s="6" t="s">
        <v>10</v>
      </c>
      <c r="E4904" s="6">
        <v>0</v>
      </c>
      <c r="F4904" s="6">
        <v>3</v>
      </c>
      <c r="G4904" s="6" t="s">
        <v>11</v>
      </c>
      <c r="H4904" s="6" t="s">
        <v>13</v>
      </c>
      <c r="I4904" s="6">
        <f>TabJogos[[#This Row],[PontosTime1]]-TabJogos[[#This Row],[PontosTime2]]</f>
        <v>-3</v>
      </c>
    </row>
    <row r="4905" spans="1:9" ht="15" customHeight="1" x14ac:dyDescent="0.25">
      <c r="A4905" s="7">
        <v>4866</v>
      </c>
      <c r="B4905" s="1">
        <v>43810</v>
      </c>
      <c r="C4905" s="6" t="s">
        <v>11</v>
      </c>
      <c r="D4905" s="6" t="s">
        <v>12</v>
      </c>
      <c r="E4905" s="6">
        <v>2</v>
      </c>
      <c r="F4905" s="6">
        <v>3</v>
      </c>
      <c r="G4905" s="6" t="s">
        <v>13</v>
      </c>
      <c r="H4905" s="6" t="s">
        <v>10</v>
      </c>
      <c r="I4905" s="6">
        <f>TabJogos[[#This Row],[PontosTime1]]-TabJogos[[#This Row],[PontosTime2]]</f>
        <v>-1</v>
      </c>
    </row>
    <row r="4906" spans="1:9" ht="15" customHeight="1" x14ac:dyDescent="0.25">
      <c r="A4906" s="7">
        <v>4867</v>
      </c>
      <c r="B4906" s="1">
        <v>43810</v>
      </c>
      <c r="C4906" s="6" t="s">
        <v>12</v>
      </c>
      <c r="D4906" s="6" t="s">
        <v>13</v>
      </c>
      <c r="E4906" s="6">
        <v>3</v>
      </c>
      <c r="F4906" s="6">
        <v>1</v>
      </c>
      <c r="G4906" s="6" t="s">
        <v>11</v>
      </c>
      <c r="H4906" s="6" t="s">
        <v>10</v>
      </c>
      <c r="I4906" s="6">
        <f>TabJogos[[#This Row],[PontosTime1]]-TabJogos[[#This Row],[PontosTime2]]</f>
        <v>2</v>
      </c>
    </row>
    <row r="4907" spans="1:9" ht="15" customHeight="1" x14ac:dyDescent="0.25">
      <c r="A4907" s="7">
        <v>4868</v>
      </c>
      <c r="B4907" s="1">
        <v>43810</v>
      </c>
      <c r="C4907" s="6" t="s">
        <v>10</v>
      </c>
      <c r="D4907" s="6" t="s">
        <v>12</v>
      </c>
      <c r="E4907" s="6">
        <v>4</v>
      </c>
      <c r="F4907" s="6">
        <v>0</v>
      </c>
      <c r="G4907" s="6" t="s">
        <v>11</v>
      </c>
      <c r="H4907" s="6" t="s">
        <v>13</v>
      </c>
      <c r="I4907" s="6">
        <f>TabJogos[[#This Row],[PontosTime1]]-TabJogos[[#This Row],[PontosTime2]]</f>
        <v>4</v>
      </c>
    </row>
    <row r="4908" spans="1:9" ht="15" customHeight="1" x14ac:dyDescent="0.25">
      <c r="A4908" s="7">
        <v>4869</v>
      </c>
      <c r="B4908" s="1">
        <v>43810</v>
      </c>
      <c r="C4908" s="6" t="s">
        <v>11</v>
      </c>
      <c r="D4908" s="6" t="s">
        <v>12</v>
      </c>
      <c r="E4908" s="6">
        <v>3</v>
      </c>
      <c r="F4908" s="6">
        <v>2</v>
      </c>
      <c r="G4908" s="6" t="s">
        <v>13</v>
      </c>
      <c r="H4908" s="6" t="s">
        <v>10</v>
      </c>
      <c r="I4908" s="6">
        <f>TabJogos[[#This Row],[PontosTime1]]-TabJogos[[#This Row],[PontosTime2]]</f>
        <v>1</v>
      </c>
    </row>
    <row r="4909" spans="1:9" ht="15" customHeight="1" x14ac:dyDescent="0.25">
      <c r="A4909" s="7">
        <v>4870</v>
      </c>
      <c r="B4909" s="1">
        <v>43810</v>
      </c>
      <c r="C4909" s="6" t="s">
        <v>11</v>
      </c>
      <c r="D4909" s="6" t="s">
        <v>10</v>
      </c>
      <c r="E4909" s="6">
        <v>3</v>
      </c>
      <c r="F4909" s="6">
        <v>2</v>
      </c>
      <c r="G4909" s="6" t="s">
        <v>13</v>
      </c>
      <c r="H4909" s="6" t="s">
        <v>12</v>
      </c>
      <c r="I4909" s="6">
        <f>TabJogos[[#This Row],[PontosTime1]]-TabJogos[[#This Row],[PontosTime2]]</f>
        <v>1</v>
      </c>
    </row>
    <row r="4910" spans="1:9" ht="15" customHeight="1" x14ac:dyDescent="0.25">
      <c r="A4910" s="7">
        <v>4871</v>
      </c>
      <c r="B4910" s="1">
        <v>43810</v>
      </c>
      <c r="C4910" s="6" t="s">
        <v>11</v>
      </c>
      <c r="D4910" s="6" t="s">
        <v>13</v>
      </c>
      <c r="E4910" s="6">
        <v>3</v>
      </c>
      <c r="F4910" s="6">
        <v>2</v>
      </c>
      <c r="G4910" s="6" t="s">
        <v>18</v>
      </c>
      <c r="H4910" s="6" t="s">
        <v>10</v>
      </c>
      <c r="I4910" s="6">
        <f>TabJogos[[#This Row],[PontosTime1]]-TabJogos[[#This Row],[PontosTime2]]</f>
        <v>1</v>
      </c>
    </row>
    <row r="4911" spans="1:9" ht="15" customHeight="1" x14ac:dyDescent="0.25">
      <c r="A4911" s="7">
        <v>4872</v>
      </c>
      <c r="B4911" s="1">
        <v>43810</v>
      </c>
      <c r="C4911" s="6" t="s">
        <v>11</v>
      </c>
      <c r="D4911" s="6" t="s">
        <v>18</v>
      </c>
      <c r="E4911" s="6">
        <v>3</v>
      </c>
      <c r="F4911" s="6">
        <v>1</v>
      </c>
      <c r="G4911" s="6" t="s">
        <v>13</v>
      </c>
      <c r="H4911" s="6" t="s">
        <v>10</v>
      </c>
      <c r="I4911" s="6">
        <f>TabJogos[[#This Row],[PontosTime1]]-TabJogos[[#This Row],[PontosTime2]]</f>
        <v>2</v>
      </c>
    </row>
    <row r="4912" spans="1:9" ht="15" customHeight="1" x14ac:dyDescent="0.25">
      <c r="A4912" s="7">
        <v>4873</v>
      </c>
      <c r="B4912" s="1">
        <v>43810</v>
      </c>
      <c r="C4912" s="6" t="s">
        <v>11</v>
      </c>
      <c r="D4912" s="6" t="s">
        <v>10</v>
      </c>
      <c r="E4912" s="6">
        <v>0</v>
      </c>
      <c r="F4912" s="6">
        <v>3</v>
      </c>
      <c r="G4912" s="6" t="s">
        <v>13</v>
      </c>
      <c r="H4912" s="6" t="s">
        <v>18</v>
      </c>
      <c r="I4912" s="6">
        <f>TabJogos[[#This Row],[PontosTime1]]-TabJogos[[#This Row],[PontosTime2]]</f>
        <v>-3</v>
      </c>
    </row>
    <row r="4913" spans="1:9" ht="15" customHeight="1" x14ac:dyDescent="0.25">
      <c r="A4913" s="7">
        <v>4874</v>
      </c>
      <c r="B4913" s="1">
        <v>43811</v>
      </c>
      <c r="C4913" s="6" t="s">
        <v>11</v>
      </c>
      <c r="D4913" s="6" t="s">
        <v>17</v>
      </c>
      <c r="E4913" s="6">
        <v>4</v>
      </c>
      <c r="F4913" s="6">
        <v>2</v>
      </c>
      <c r="G4913" s="6" t="s">
        <v>10</v>
      </c>
      <c r="H4913" s="6" t="s">
        <v>18</v>
      </c>
      <c r="I4913" s="6">
        <f>TabJogos[[#This Row],[PontosTime1]]-TabJogos[[#This Row],[PontosTime2]]</f>
        <v>2</v>
      </c>
    </row>
    <row r="4914" spans="1:9" ht="15" customHeight="1" x14ac:dyDescent="0.25">
      <c r="A4914" s="7">
        <v>4875</v>
      </c>
      <c r="B4914" s="1">
        <v>43811</v>
      </c>
      <c r="C4914" s="6" t="s">
        <v>11</v>
      </c>
      <c r="D4914" s="6" t="s">
        <v>13</v>
      </c>
      <c r="E4914" s="6">
        <v>3</v>
      </c>
      <c r="F4914" s="6">
        <v>2</v>
      </c>
      <c r="G4914" s="6" t="s">
        <v>17</v>
      </c>
      <c r="H4914" s="6" t="s">
        <v>18</v>
      </c>
      <c r="I4914" s="6">
        <f>TabJogos[[#This Row],[PontosTime1]]-TabJogos[[#This Row],[PontosTime2]]</f>
        <v>1</v>
      </c>
    </row>
    <row r="4915" spans="1:9" ht="15" customHeight="1" x14ac:dyDescent="0.25">
      <c r="A4915" s="7">
        <v>4876</v>
      </c>
      <c r="B4915" s="1">
        <v>43811</v>
      </c>
      <c r="C4915" s="6" t="s">
        <v>11</v>
      </c>
      <c r="D4915" s="6" t="s">
        <v>10</v>
      </c>
      <c r="E4915" s="6">
        <v>3</v>
      </c>
      <c r="F4915" s="6">
        <v>1</v>
      </c>
      <c r="G4915" s="6" t="s">
        <v>13</v>
      </c>
      <c r="H4915" s="6" t="s">
        <v>18</v>
      </c>
      <c r="I4915" s="6">
        <f>TabJogos[[#This Row],[PontosTime1]]-TabJogos[[#This Row],[PontosTime2]]</f>
        <v>2</v>
      </c>
    </row>
    <row r="4916" spans="1:9" ht="15" customHeight="1" x14ac:dyDescent="0.25">
      <c r="A4916" s="7">
        <v>4877</v>
      </c>
      <c r="B4916" s="1">
        <v>43811</v>
      </c>
      <c r="C4916" s="6" t="s">
        <v>11</v>
      </c>
      <c r="D4916" s="6" t="s">
        <v>18</v>
      </c>
      <c r="E4916" s="6">
        <v>2</v>
      </c>
      <c r="F4916" s="6">
        <v>3</v>
      </c>
      <c r="G4916" s="6" t="s">
        <v>10</v>
      </c>
      <c r="H4916" s="6" t="s">
        <v>13</v>
      </c>
      <c r="I4916" s="6">
        <f>TabJogos[[#This Row],[PontosTime1]]-TabJogos[[#This Row],[PontosTime2]]</f>
        <v>-1</v>
      </c>
    </row>
    <row r="4917" spans="1:9" ht="15" customHeight="1" x14ac:dyDescent="0.25">
      <c r="A4917" s="7">
        <v>4878</v>
      </c>
      <c r="B4917" s="1">
        <v>43812</v>
      </c>
      <c r="C4917" s="6" t="s">
        <v>11</v>
      </c>
      <c r="D4917" s="6" t="s">
        <v>17</v>
      </c>
      <c r="E4917" s="6">
        <v>0</v>
      </c>
      <c r="F4917" s="6">
        <v>5</v>
      </c>
      <c r="G4917" s="6" t="s">
        <v>13</v>
      </c>
      <c r="H4917" s="6" t="s">
        <v>10</v>
      </c>
      <c r="I4917" s="6">
        <f>TabJogos[[#This Row],[PontosTime1]]-TabJogos[[#This Row],[PontosTime2]]</f>
        <v>-5</v>
      </c>
    </row>
    <row r="4918" spans="1:9" ht="15" customHeight="1" x14ac:dyDescent="0.25">
      <c r="A4918" s="7">
        <v>4879</v>
      </c>
      <c r="B4918" s="1">
        <v>43812</v>
      </c>
      <c r="C4918" s="6" t="s">
        <v>11</v>
      </c>
      <c r="D4918" s="6" t="s">
        <v>10</v>
      </c>
      <c r="E4918" s="6">
        <v>3</v>
      </c>
      <c r="F4918" s="6">
        <v>1</v>
      </c>
      <c r="G4918" s="6" t="s">
        <v>17</v>
      </c>
      <c r="H4918" s="6" t="s">
        <v>13</v>
      </c>
      <c r="I4918" s="6">
        <f>TabJogos[[#This Row],[PontosTime1]]-TabJogos[[#This Row],[PontosTime2]]</f>
        <v>2</v>
      </c>
    </row>
    <row r="4919" spans="1:9" ht="15" customHeight="1" x14ac:dyDescent="0.25">
      <c r="A4919" s="7">
        <v>4880</v>
      </c>
      <c r="B4919" s="1">
        <v>43812</v>
      </c>
      <c r="C4919" s="6" t="s">
        <v>11</v>
      </c>
      <c r="D4919" s="6" t="s">
        <v>13</v>
      </c>
      <c r="E4919" s="6">
        <v>3</v>
      </c>
      <c r="F4919" s="6">
        <v>2</v>
      </c>
      <c r="G4919" s="6" t="s">
        <v>10</v>
      </c>
      <c r="H4919" s="6" t="s">
        <v>17</v>
      </c>
      <c r="I4919" s="6">
        <f>TabJogos[[#This Row],[PontosTime1]]-TabJogos[[#This Row],[PontosTime2]]</f>
        <v>1</v>
      </c>
    </row>
    <row r="4920" spans="1:9" ht="15" customHeight="1" x14ac:dyDescent="0.25">
      <c r="A4920" s="7">
        <v>4881</v>
      </c>
      <c r="B4920" s="1">
        <v>43812</v>
      </c>
      <c r="C4920" s="6" t="s">
        <v>11</v>
      </c>
      <c r="D4920" s="6" t="s">
        <v>17</v>
      </c>
      <c r="E4920" s="6">
        <v>2</v>
      </c>
      <c r="F4920" s="6">
        <v>3</v>
      </c>
      <c r="G4920" s="6" t="s">
        <v>10</v>
      </c>
      <c r="H4920" s="6" t="s">
        <v>13</v>
      </c>
      <c r="I4920" s="6">
        <f>TabJogos[[#This Row],[PontosTime1]]-TabJogos[[#This Row],[PontosTime2]]</f>
        <v>-1</v>
      </c>
    </row>
    <row r="4921" spans="1:9" ht="15" customHeight="1" x14ac:dyDescent="0.25">
      <c r="A4921" s="7">
        <v>4882</v>
      </c>
      <c r="B4921" s="1">
        <v>43812</v>
      </c>
      <c r="C4921" s="6" t="s">
        <v>11</v>
      </c>
      <c r="D4921" s="6" t="s">
        <v>10</v>
      </c>
      <c r="E4921" s="6">
        <v>4</v>
      </c>
      <c r="F4921" s="6">
        <v>2</v>
      </c>
      <c r="G4921" s="6" t="s">
        <v>17</v>
      </c>
      <c r="H4921" s="6" t="s">
        <v>13</v>
      </c>
      <c r="I4921" s="6">
        <f>TabJogos[[#This Row],[PontosTime1]]-TabJogos[[#This Row],[PontosTime2]]</f>
        <v>2</v>
      </c>
    </row>
    <row r="4922" spans="1:9" ht="15" customHeight="1" x14ac:dyDescent="0.25">
      <c r="A4922" s="7">
        <v>4883</v>
      </c>
      <c r="B4922" s="1">
        <v>43812</v>
      </c>
      <c r="C4922" s="6" t="s">
        <v>10</v>
      </c>
      <c r="D4922" s="6" t="s">
        <v>17</v>
      </c>
      <c r="E4922" s="6">
        <v>2</v>
      </c>
      <c r="F4922" s="6">
        <v>3</v>
      </c>
      <c r="G4922" s="6" t="s">
        <v>11</v>
      </c>
      <c r="H4922" s="6" t="s">
        <v>13</v>
      </c>
      <c r="I4922" s="6">
        <f>TabJogos[[#This Row],[PontosTime1]]-TabJogos[[#This Row],[PontosTime2]]</f>
        <v>-1</v>
      </c>
    </row>
    <row r="4923" spans="1:9" ht="15" customHeight="1" x14ac:dyDescent="0.25">
      <c r="A4923" s="7">
        <v>4884</v>
      </c>
      <c r="B4923" s="1">
        <v>43812</v>
      </c>
      <c r="C4923" s="6" t="s">
        <v>11</v>
      </c>
      <c r="D4923" s="6" t="s">
        <v>17</v>
      </c>
      <c r="E4923" s="6">
        <v>3</v>
      </c>
      <c r="F4923" s="6">
        <v>1</v>
      </c>
      <c r="G4923" s="6" t="s">
        <v>10</v>
      </c>
      <c r="H4923" s="6" t="s">
        <v>13</v>
      </c>
      <c r="I4923" s="6">
        <f>TabJogos[[#This Row],[PontosTime1]]-TabJogos[[#This Row],[PontosTime2]]</f>
        <v>2</v>
      </c>
    </row>
    <row r="4924" spans="1:9" ht="15" customHeight="1" x14ac:dyDescent="0.25">
      <c r="A4924" s="7">
        <v>4885</v>
      </c>
      <c r="B4924" s="1">
        <v>43812</v>
      </c>
      <c r="C4924" s="6" t="s">
        <v>13</v>
      </c>
      <c r="D4924" s="6" t="s">
        <v>17</v>
      </c>
      <c r="E4924" s="6">
        <v>3</v>
      </c>
      <c r="F4924" s="6">
        <v>0</v>
      </c>
      <c r="G4924" s="6" t="s">
        <v>10</v>
      </c>
      <c r="H4924" s="6" t="s">
        <v>11</v>
      </c>
      <c r="I4924" s="6">
        <f>TabJogos[[#This Row],[PontosTime1]]-TabJogos[[#This Row],[PontosTime2]]</f>
        <v>3</v>
      </c>
    </row>
    <row r="4925" spans="1:9" ht="15" customHeight="1" x14ac:dyDescent="0.25">
      <c r="A4925" s="7">
        <v>4886</v>
      </c>
      <c r="B4925" s="1">
        <v>43812</v>
      </c>
      <c r="C4925" s="6" t="s">
        <v>10</v>
      </c>
      <c r="D4925" s="6" t="s">
        <v>17</v>
      </c>
      <c r="E4925" s="6">
        <v>3</v>
      </c>
      <c r="F4925" s="6">
        <v>1</v>
      </c>
      <c r="G4925" s="6" t="s">
        <v>13</v>
      </c>
      <c r="H4925" s="6" t="s">
        <v>11</v>
      </c>
      <c r="I4925" s="6">
        <f>TabJogos[[#This Row],[PontosTime1]]-TabJogos[[#This Row],[PontosTime2]]</f>
        <v>2</v>
      </c>
    </row>
    <row r="4926" spans="1:9" ht="15" customHeight="1" x14ac:dyDescent="0.25">
      <c r="A4926" s="7">
        <v>4887</v>
      </c>
      <c r="B4926" s="1">
        <v>43816</v>
      </c>
      <c r="C4926" s="6" t="s">
        <v>18</v>
      </c>
      <c r="D4926" s="6" t="s">
        <v>10</v>
      </c>
      <c r="E4926" s="6">
        <v>3</v>
      </c>
      <c r="F4926" s="6">
        <v>2</v>
      </c>
      <c r="G4926" s="6" t="s">
        <v>11</v>
      </c>
      <c r="H4926" s="6" t="s">
        <v>9</v>
      </c>
      <c r="I4926" s="6">
        <f>TabJogos[[#This Row],[PontosTime1]]-TabJogos[[#This Row],[PontosTime2]]</f>
        <v>1</v>
      </c>
    </row>
    <row r="4927" spans="1:9" ht="15" customHeight="1" x14ac:dyDescent="0.25">
      <c r="A4927" s="7">
        <v>4888</v>
      </c>
      <c r="B4927" s="1">
        <v>43816</v>
      </c>
      <c r="C4927" s="6" t="s">
        <v>18</v>
      </c>
      <c r="D4927" s="6" t="s">
        <v>9</v>
      </c>
      <c r="E4927" s="6">
        <v>3</v>
      </c>
      <c r="F4927" s="6">
        <v>2</v>
      </c>
      <c r="G4927" s="6" t="s">
        <v>11</v>
      </c>
      <c r="H4927" s="6" t="s">
        <v>10</v>
      </c>
      <c r="I4927" s="6">
        <f>TabJogos[[#This Row],[PontosTime1]]-TabJogos[[#This Row],[PontosTime2]]</f>
        <v>1</v>
      </c>
    </row>
    <row r="4928" spans="1:9" ht="15" customHeight="1" x14ac:dyDescent="0.25">
      <c r="A4928" s="7">
        <v>4889</v>
      </c>
      <c r="B4928" s="1">
        <v>43816</v>
      </c>
      <c r="C4928" s="6" t="s">
        <v>9</v>
      </c>
      <c r="D4928" s="6" t="s">
        <v>10</v>
      </c>
      <c r="E4928" s="6">
        <v>3</v>
      </c>
      <c r="F4928" s="6">
        <v>0</v>
      </c>
      <c r="G4928" s="6" t="s">
        <v>11</v>
      </c>
      <c r="H4928" s="6" t="s">
        <v>18</v>
      </c>
      <c r="I4928" s="6">
        <f>TabJogos[[#This Row],[PontosTime1]]-TabJogos[[#This Row],[PontosTime2]]</f>
        <v>3</v>
      </c>
    </row>
    <row r="4929" spans="1:9" ht="15" customHeight="1" x14ac:dyDescent="0.25">
      <c r="A4929" s="7">
        <v>4890</v>
      </c>
      <c r="B4929" s="1">
        <v>43816</v>
      </c>
      <c r="C4929" s="6" t="s">
        <v>18</v>
      </c>
      <c r="D4929" s="6" t="s">
        <v>10</v>
      </c>
      <c r="E4929" s="6">
        <v>0</v>
      </c>
      <c r="F4929" s="6">
        <v>3</v>
      </c>
      <c r="G4929" s="6" t="s">
        <v>11</v>
      </c>
      <c r="H4929" s="6" t="s">
        <v>9</v>
      </c>
      <c r="I4929" s="6">
        <f>TabJogos[[#This Row],[PontosTime1]]-TabJogos[[#This Row],[PontosTime2]]</f>
        <v>-3</v>
      </c>
    </row>
    <row r="4930" spans="1:9" ht="15" customHeight="1" x14ac:dyDescent="0.25">
      <c r="A4930" s="7">
        <v>4891</v>
      </c>
      <c r="B4930" s="1">
        <v>43816</v>
      </c>
      <c r="C4930" s="6" t="s">
        <v>11</v>
      </c>
      <c r="D4930" s="6" t="s">
        <v>10</v>
      </c>
      <c r="E4930" s="6">
        <v>0</v>
      </c>
      <c r="F4930" s="6">
        <v>4</v>
      </c>
      <c r="G4930" s="6" t="s">
        <v>9</v>
      </c>
      <c r="H4930" s="6" t="s">
        <v>18</v>
      </c>
      <c r="I4930" s="6">
        <f>TabJogos[[#This Row],[PontosTime1]]-TabJogos[[#This Row],[PontosTime2]]</f>
        <v>-4</v>
      </c>
    </row>
    <row r="4931" spans="1:9" ht="15" customHeight="1" x14ac:dyDescent="0.25">
      <c r="A4931" s="7">
        <v>4892</v>
      </c>
      <c r="B4931" s="1">
        <v>43816</v>
      </c>
      <c r="C4931" s="6" t="s">
        <v>9</v>
      </c>
      <c r="D4931" s="6" t="s">
        <v>10</v>
      </c>
      <c r="E4931" s="6">
        <v>3</v>
      </c>
      <c r="F4931" s="6">
        <v>0</v>
      </c>
      <c r="G4931" s="6" t="s">
        <v>11</v>
      </c>
      <c r="H4931" s="6" t="s">
        <v>18</v>
      </c>
      <c r="I4931" s="6">
        <f>TabJogos[[#This Row],[PontosTime1]]-TabJogos[[#This Row],[PontosTime2]]</f>
        <v>3</v>
      </c>
    </row>
    <row r="4932" spans="1:9" ht="15" customHeight="1" x14ac:dyDescent="0.25">
      <c r="A4932" s="7">
        <v>4893</v>
      </c>
      <c r="B4932" s="1">
        <v>43816</v>
      </c>
      <c r="C4932" s="6" t="s">
        <v>9</v>
      </c>
      <c r="D4932" s="6" t="s">
        <v>64</v>
      </c>
      <c r="E4932" s="6">
        <v>1</v>
      </c>
      <c r="F4932" s="6">
        <v>3</v>
      </c>
      <c r="G4932" s="6" t="s">
        <v>10</v>
      </c>
      <c r="H4932" s="6" t="s">
        <v>41</v>
      </c>
      <c r="I4932" s="6">
        <f>TabJogos[[#This Row],[PontosTime1]]-TabJogos[[#This Row],[PontosTime2]]</f>
        <v>-2</v>
      </c>
    </row>
    <row r="4933" spans="1:9" ht="15" customHeight="1" x14ac:dyDescent="0.25">
      <c r="A4933" s="7">
        <v>4894</v>
      </c>
      <c r="B4933" s="1">
        <v>43816</v>
      </c>
      <c r="C4933" s="6" t="s">
        <v>10</v>
      </c>
      <c r="D4933" s="6" t="s">
        <v>11</v>
      </c>
      <c r="E4933" s="6">
        <v>5</v>
      </c>
      <c r="F4933" s="6">
        <v>2</v>
      </c>
      <c r="G4933" s="6" t="s">
        <v>18</v>
      </c>
      <c r="H4933" s="6" t="s">
        <v>41</v>
      </c>
      <c r="I4933" s="6">
        <f>TabJogos[[#This Row],[PontosTime1]]-TabJogos[[#This Row],[PontosTime2]]</f>
        <v>3</v>
      </c>
    </row>
    <row r="4934" spans="1:9" ht="15" customHeight="1" x14ac:dyDescent="0.25">
      <c r="A4934" s="7">
        <v>4895</v>
      </c>
      <c r="B4934" s="1">
        <v>43816</v>
      </c>
      <c r="C4934" s="6" t="s">
        <v>11</v>
      </c>
      <c r="D4934" s="6" t="s">
        <v>9</v>
      </c>
      <c r="E4934" s="6">
        <v>3</v>
      </c>
      <c r="F4934" s="6">
        <v>2</v>
      </c>
      <c r="G4934" s="6" t="s">
        <v>10</v>
      </c>
      <c r="H4934" s="6" t="s">
        <v>64</v>
      </c>
      <c r="I4934" s="6">
        <f>TabJogos[[#This Row],[PontosTime1]]-TabJogos[[#This Row],[PontosTime2]]</f>
        <v>1</v>
      </c>
    </row>
    <row r="4935" spans="1:9" ht="15" customHeight="1" x14ac:dyDescent="0.25">
      <c r="A4935" s="7">
        <v>4896</v>
      </c>
      <c r="B4935" s="1">
        <v>43816</v>
      </c>
      <c r="C4935" s="6" t="s">
        <v>9</v>
      </c>
      <c r="D4935" s="6" t="s">
        <v>18</v>
      </c>
      <c r="E4935" s="6">
        <v>3</v>
      </c>
      <c r="F4935" s="6">
        <v>0</v>
      </c>
      <c r="G4935" s="6" t="s">
        <v>11</v>
      </c>
      <c r="H4935" s="6" t="s">
        <v>41</v>
      </c>
      <c r="I4935" s="6">
        <f>TabJogos[[#This Row],[PontosTime1]]-TabJogos[[#This Row],[PontosTime2]]</f>
        <v>3</v>
      </c>
    </row>
    <row r="4936" spans="1:9" ht="15" customHeight="1" x14ac:dyDescent="0.25">
      <c r="A4936" s="7">
        <v>4897</v>
      </c>
      <c r="B4936" s="1">
        <v>43816</v>
      </c>
      <c r="C4936" s="6" t="s">
        <v>9</v>
      </c>
      <c r="D4936" s="6" t="s">
        <v>41</v>
      </c>
      <c r="E4936" s="6">
        <v>3</v>
      </c>
      <c r="F4936" s="6">
        <v>0</v>
      </c>
      <c r="G4936" s="6" t="s">
        <v>64</v>
      </c>
      <c r="H4936" s="6" t="s">
        <v>18</v>
      </c>
      <c r="I4936" s="6">
        <f>TabJogos[[#This Row],[PontosTime1]]-TabJogos[[#This Row],[PontosTime2]]</f>
        <v>3</v>
      </c>
    </row>
    <row r="4937" spans="1:9" ht="15" customHeight="1" x14ac:dyDescent="0.25">
      <c r="A4937" s="7">
        <v>4898</v>
      </c>
      <c r="B4937" s="1">
        <v>43816</v>
      </c>
      <c r="C4937" s="6" t="s">
        <v>9</v>
      </c>
      <c r="D4937" s="6" t="s">
        <v>11</v>
      </c>
      <c r="E4937" s="6">
        <v>2</v>
      </c>
      <c r="F4937" s="6">
        <v>3</v>
      </c>
      <c r="G4937" s="6" t="s">
        <v>64</v>
      </c>
      <c r="H4937" s="6" t="s">
        <v>18</v>
      </c>
      <c r="I4937" s="6">
        <f>TabJogos[[#This Row],[PontosTime1]]-TabJogos[[#This Row],[PontosTime2]]</f>
        <v>-1</v>
      </c>
    </row>
    <row r="4938" spans="1:9" ht="15" customHeight="1" x14ac:dyDescent="0.25">
      <c r="A4938" s="7">
        <v>4899</v>
      </c>
      <c r="B4938" s="1">
        <v>43816</v>
      </c>
      <c r="C4938" s="6" t="s">
        <v>9</v>
      </c>
      <c r="D4938" s="6" t="s">
        <v>64</v>
      </c>
      <c r="E4938" s="6">
        <v>1</v>
      </c>
      <c r="F4938" s="6">
        <v>3</v>
      </c>
      <c r="G4938" s="6" t="s">
        <v>64</v>
      </c>
      <c r="H4938" s="6" t="s">
        <v>11</v>
      </c>
      <c r="I4938" s="6">
        <f>TabJogos[[#This Row],[PontosTime1]]-TabJogos[[#This Row],[PontosTime2]]</f>
        <v>-2</v>
      </c>
    </row>
    <row r="4939" spans="1:9" ht="15" customHeight="1" x14ac:dyDescent="0.25">
      <c r="A4939" s="7">
        <v>4900</v>
      </c>
      <c r="B4939" s="1">
        <v>43816</v>
      </c>
      <c r="C4939" s="6" t="s">
        <v>9</v>
      </c>
      <c r="D4939" s="6" t="s">
        <v>18</v>
      </c>
      <c r="E4939" s="6">
        <v>1</v>
      </c>
      <c r="F4939" s="6">
        <v>3</v>
      </c>
      <c r="G4939" s="6" t="s">
        <v>18</v>
      </c>
      <c r="H4939" s="6" t="s">
        <v>11</v>
      </c>
      <c r="I4939" s="6">
        <f>TabJogos[[#This Row],[PontosTime1]]-TabJogos[[#This Row],[PontosTime2]]</f>
        <v>-2</v>
      </c>
    </row>
    <row r="4940" spans="1:9" ht="15" customHeight="1" x14ac:dyDescent="0.25">
      <c r="A4940" s="7">
        <v>4901</v>
      </c>
      <c r="B4940" s="1">
        <v>43817</v>
      </c>
      <c r="C4940" s="6" t="s">
        <v>18</v>
      </c>
      <c r="D4940" s="6" t="s">
        <v>10</v>
      </c>
      <c r="E4940" s="6">
        <v>2</v>
      </c>
      <c r="F4940" s="6">
        <v>3</v>
      </c>
      <c r="G4940" s="6" t="s">
        <v>17</v>
      </c>
      <c r="H4940" s="6" t="s">
        <v>11</v>
      </c>
      <c r="I4940" s="6">
        <f>TabJogos[[#This Row],[PontosTime1]]-TabJogos[[#This Row],[PontosTime2]]</f>
        <v>-1</v>
      </c>
    </row>
    <row r="4941" spans="1:9" ht="15" customHeight="1" x14ac:dyDescent="0.25">
      <c r="A4941" s="7">
        <v>4902</v>
      </c>
      <c r="B4941" s="1">
        <v>43817</v>
      </c>
      <c r="C4941" s="6" t="s">
        <v>18</v>
      </c>
      <c r="D4941" s="6" t="s">
        <v>17</v>
      </c>
      <c r="E4941" s="6">
        <v>3</v>
      </c>
      <c r="F4941" s="6">
        <v>0</v>
      </c>
      <c r="G4941" s="6" t="s">
        <v>10</v>
      </c>
      <c r="H4941" s="6" t="s">
        <v>11</v>
      </c>
      <c r="I4941" s="6">
        <f>TabJogos[[#This Row],[PontosTime1]]-TabJogos[[#This Row],[PontosTime2]]</f>
        <v>3</v>
      </c>
    </row>
    <row r="4942" spans="1:9" ht="15" customHeight="1" x14ac:dyDescent="0.25">
      <c r="A4942" s="7">
        <v>4903</v>
      </c>
      <c r="B4942" s="1">
        <v>43817</v>
      </c>
      <c r="C4942" s="6" t="s">
        <v>18</v>
      </c>
      <c r="D4942" s="6" t="s">
        <v>11</v>
      </c>
      <c r="E4942" s="6">
        <v>1</v>
      </c>
      <c r="F4942" s="6">
        <v>3</v>
      </c>
      <c r="G4942" s="6" t="s">
        <v>10</v>
      </c>
      <c r="H4942" s="6" t="s">
        <v>17</v>
      </c>
      <c r="I4942" s="6">
        <f>TabJogos[[#This Row],[PontosTime1]]-TabJogos[[#This Row],[PontosTime2]]</f>
        <v>-2</v>
      </c>
    </row>
    <row r="4943" spans="1:9" ht="15" customHeight="1" x14ac:dyDescent="0.25">
      <c r="A4943" s="7">
        <v>4904</v>
      </c>
      <c r="B4943" s="1">
        <v>43817</v>
      </c>
      <c r="C4943" s="6" t="s">
        <v>10</v>
      </c>
      <c r="D4943" s="6" t="s">
        <v>18</v>
      </c>
      <c r="E4943" s="6">
        <v>3</v>
      </c>
      <c r="F4943" s="6">
        <v>1</v>
      </c>
      <c r="G4943" s="6" t="s">
        <v>11</v>
      </c>
      <c r="H4943" s="6" t="s">
        <v>17</v>
      </c>
      <c r="I4943" s="6">
        <f>TabJogos[[#This Row],[PontosTime1]]-TabJogos[[#This Row],[PontosTime2]]</f>
        <v>2</v>
      </c>
    </row>
    <row r="4944" spans="1:9" ht="15" customHeight="1" x14ac:dyDescent="0.25">
      <c r="A4944" s="7">
        <v>4905</v>
      </c>
      <c r="B4944" s="1">
        <v>43817</v>
      </c>
      <c r="C4944" s="6" t="s">
        <v>10</v>
      </c>
      <c r="D4944" s="6" t="s">
        <v>11</v>
      </c>
      <c r="E4944" s="6">
        <v>1</v>
      </c>
      <c r="F4944" s="6">
        <v>3</v>
      </c>
      <c r="G4944" s="6" t="s">
        <v>17</v>
      </c>
      <c r="H4944" s="6" t="s">
        <v>18</v>
      </c>
      <c r="I4944" s="6">
        <f>TabJogos[[#This Row],[PontosTime1]]-TabJogos[[#This Row],[PontosTime2]]</f>
        <v>-2</v>
      </c>
    </row>
    <row r="4945" spans="1:9" ht="15" customHeight="1" x14ac:dyDescent="0.25">
      <c r="A4945" s="7">
        <v>4906</v>
      </c>
      <c r="B4945" s="1">
        <v>43817</v>
      </c>
      <c r="C4945" s="6" t="s">
        <v>10</v>
      </c>
      <c r="D4945" s="6" t="s">
        <v>11</v>
      </c>
      <c r="E4945" s="6">
        <v>3</v>
      </c>
      <c r="F4945" s="6">
        <v>2</v>
      </c>
      <c r="G4945" s="6" t="s">
        <v>64</v>
      </c>
      <c r="H4945" s="6" t="s">
        <v>18</v>
      </c>
      <c r="I4945" s="6">
        <f>TabJogos[[#This Row],[PontosTime1]]-TabJogos[[#This Row],[PontosTime2]]</f>
        <v>1</v>
      </c>
    </row>
    <row r="4946" spans="1:9" ht="15" customHeight="1" x14ac:dyDescent="0.25">
      <c r="A4946" s="7">
        <v>4907</v>
      </c>
      <c r="B4946" s="1">
        <v>43817</v>
      </c>
      <c r="C4946" s="6" t="s">
        <v>18</v>
      </c>
      <c r="D4946" s="6" t="s">
        <v>11</v>
      </c>
      <c r="E4946" s="6">
        <v>4</v>
      </c>
      <c r="F4946" s="6">
        <v>0</v>
      </c>
      <c r="G4946" s="6" t="s">
        <v>64</v>
      </c>
      <c r="H4946" s="6" t="s">
        <v>10</v>
      </c>
      <c r="I4946" s="6">
        <f>TabJogos[[#This Row],[PontosTime1]]-TabJogos[[#This Row],[PontosTime2]]</f>
        <v>4</v>
      </c>
    </row>
    <row r="4947" spans="1:9" ht="15" customHeight="1" x14ac:dyDescent="0.25">
      <c r="A4947" s="7">
        <v>4908</v>
      </c>
      <c r="B4947" s="1">
        <v>43817</v>
      </c>
      <c r="C4947" s="6" t="s">
        <v>11</v>
      </c>
      <c r="D4947" s="6" t="s">
        <v>64</v>
      </c>
      <c r="E4947" s="6">
        <v>3</v>
      </c>
      <c r="F4947" s="6">
        <v>1</v>
      </c>
      <c r="G4947" s="6" t="s">
        <v>18</v>
      </c>
      <c r="H4947" s="6" t="s">
        <v>10</v>
      </c>
      <c r="I4947" s="6">
        <f>TabJogos[[#This Row],[PontosTime1]]-TabJogos[[#This Row],[PontosTime2]]</f>
        <v>2</v>
      </c>
    </row>
    <row r="4948" spans="1:9" ht="15" customHeight="1" x14ac:dyDescent="0.25">
      <c r="A4948" s="7">
        <v>4909</v>
      </c>
      <c r="B4948" s="1">
        <v>43817</v>
      </c>
      <c r="C4948" s="6" t="s">
        <v>11</v>
      </c>
      <c r="D4948" s="6" t="s">
        <v>10</v>
      </c>
      <c r="E4948" s="6">
        <v>4</v>
      </c>
      <c r="F4948" s="6">
        <v>0</v>
      </c>
      <c r="G4948" s="6" t="s">
        <v>18</v>
      </c>
      <c r="H4948" s="6" t="s">
        <v>64</v>
      </c>
      <c r="I4948" s="6">
        <f>TabJogos[[#This Row],[PontosTime1]]-TabJogos[[#This Row],[PontosTime2]]</f>
        <v>4</v>
      </c>
    </row>
    <row r="4949" spans="1:9" ht="15" customHeight="1" x14ac:dyDescent="0.25">
      <c r="A4949" s="7">
        <v>4910</v>
      </c>
      <c r="B4949" s="1">
        <v>43817</v>
      </c>
      <c r="C4949" s="6" t="s">
        <v>11</v>
      </c>
      <c r="D4949" s="6" t="s">
        <v>64</v>
      </c>
      <c r="E4949" s="6">
        <v>3</v>
      </c>
      <c r="F4949" s="6">
        <v>1</v>
      </c>
      <c r="G4949" s="6" t="s">
        <v>18</v>
      </c>
      <c r="H4949" s="6" t="s">
        <v>10</v>
      </c>
      <c r="I4949" s="6">
        <f>TabJogos[[#This Row],[PontosTime1]]-TabJogos[[#This Row],[PontosTime2]]</f>
        <v>2</v>
      </c>
    </row>
    <row r="4950" spans="1:9" ht="15" customHeight="1" x14ac:dyDescent="0.25">
      <c r="A4950" s="7">
        <v>4911</v>
      </c>
      <c r="B4950" s="1">
        <v>43817</v>
      </c>
      <c r="C4950" s="6" t="s">
        <v>10</v>
      </c>
      <c r="D4950" s="6" t="s">
        <v>64</v>
      </c>
      <c r="E4950" s="6">
        <v>3</v>
      </c>
      <c r="F4950" s="6">
        <v>1</v>
      </c>
      <c r="G4950" s="6" t="s">
        <v>18</v>
      </c>
      <c r="H4950" s="6" t="s">
        <v>11</v>
      </c>
      <c r="I4950" s="6">
        <f>TabJogos[[#This Row],[PontosTime1]]-TabJogos[[#This Row],[PontosTime2]]</f>
        <v>2</v>
      </c>
    </row>
    <row r="4951" spans="1:9" ht="15" customHeight="1" x14ac:dyDescent="0.25">
      <c r="A4951" s="7">
        <v>4912</v>
      </c>
      <c r="B4951" s="1">
        <v>43818</v>
      </c>
      <c r="C4951" s="6" t="s">
        <v>18</v>
      </c>
      <c r="D4951" s="6" t="s">
        <v>10</v>
      </c>
      <c r="E4951" s="6">
        <v>3</v>
      </c>
      <c r="F4951" s="6">
        <v>2</v>
      </c>
      <c r="G4951" s="6" t="s">
        <v>9</v>
      </c>
      <c r="H4951" s="6" t="s">
        <v>11</v>
      </c>
      <c r="I4951" s="6">
        <f>TabJogos[[#This Row],[PontosTime1]]-TabJogos[[#This Row],[PontosTime2]]</f>
        <v>1</v>
      </c>
    </row>
    <row r="4952" spans="1:9" ht="15" customHeight="1" x14ac:dyDescent="0.25">
      <c r="A4952" s="7">
        <v>4913</v>
      </c>
      <c r="B4952" s="1">
        <v>43818</v>
      </c>
      <c r="C4952" s="6" t="s">
        <v>9</v>
      </c>
      <c r="D4952" s="6" t="s">
        <v>10</v>
      </c>
      <c r="E4952" s="6">
        <v>0</v>
      </c>
      <c r="F4952" s="6">
        <v>3</v>
      </c>
      <c r="G4952" s="6" t="s">
        <v>18</v>
      </c>
      <c r="H4952" s="6" t="s">
        <v>64</v>
      </c>
      <c r="I4952" s="6">
        <f>TabJogos[[#This Row],[PontosTime1]]-TabJogos[[#This Row],[PontosTime2]]</f>
        <v>-3</v>
      </c>
    </row>
    <row r="4953" spans="1:9" ht="15" customHeight="1" x14ac:dyDescent="0.25">
      <c r="A4953" s="7">
        <v>4914</v>
      </c>
      <c r="B4953" s="1">
        <v>43818</v>
      </c>
      <c r="C4953" s="6" t="s">
        <v>10</v>
      </c>
      <c r="D4953" s="6" t="s">
        <v>64</v>
      </c>
      <c r="E4953" s="6">
        <v>3</v>
      </c>
      <c r="F4953" s="6">
        <v>1</v>
      </c>
      <c r="G4953" s="6" t="s">
        <v>18</v>
      </c>
      <c r="H4953" s="6" t="s">
        <v>11</v>
      </c>
      <c r="I4953" s="6">
        <f>TabJogos[[#This Row],[PontosTime1]]-TabJogos[[#This Row],[PontosTime2]]</f>
        <v>2</v>
      </c>
    </row>
    <row r="4954" spans="1:9" ht="15" customHeight="1" x14ac:dyDescent="0.25">
      <c r="A4954" s="7">
        <v>4915</v>
      </c>
      <c r="B4954" s="1">
        <v>43818</v>
      </c>
      <c r="C4954" s="6" t="s">
        <v>9</v>
      </c>
      <c r="D4954" s="6" t="s">
        <v>18</v>
      </c>
      <c r="E4954" s="6">
        <v>3</v>
      </c>
      <c r="F4954" s="6">
        <v>1</v>
      </c>
      <c r="G4954" s="6" t="s">
        <v>64</v>
      </c>
      <c r="H4954" s="6" t="s">
        <v>11</v>
      </c>
      <c r="I4954" s="6">
        <f>TabJogos[[#This Row],[PontosTime1]]-TabJogos[[#This Row],[PontosTime2]]</f>
        <v>2</v>
      </c>
    </row>
    <row r="4955" spans="1:9" ht="15" customHeight="1" x14ac:dyDescent="0.25">
      <c r="A4955" s="7">
        <v>4916</v>
      </c>
      <c r="B4955" s="1">
        <v>43818</v>
      </c>
      <c r="C4955" s="6" t="s">
        <v>9</v>
      </c>
      <c r="D4955" s="6" t="s">
        <v>11</v>
      </c>
      <c r="E4955" s="6">
        <v>3</v>
      </c>
      <c r="F4955" s="6">
        <v>2</v>
      </c>
      <c r="G4955" s="6" t="s">
        <v>10</v>
      </c>
      <c r="H4955" s="6" t="s">
        <v>18</v>
      </c>
      <c r="I4955" s="6">
        <f>TabJogos[[#This Row],[PontosTime1]]-TabJogos[[#This Row],[PontosTime2]]</f>
        <v>1</v>
      </c>
    </row>
    <row r="4956" spans="1:9" ht="15" customHeight="1" x14ac:dyDescent="0.25">
      <c r="A4956" s="7">
        <v>4917</v>
      </c>
      <c r="B4956" s="1">
        <v>43818</v>
      </c>
      <c r="C4956" s="6" t="s">
        <v>11</v>
      </c>
      <c r="D4956" s="6" t="s">
        <v>41</v>
      </c>
      <c r="E4956" s="6">
        <v>3</v>
      </c>
      <c r="F4956" s="6">
        <v>1</v>
      </c>
      <c r="G4956" s="6" t="s">
        <v>9</v>
      </c>
      <c r="H4956" s="6" t="s">
        <v>64</v>
      </c>
      <c r="I4956" s="6">
        <f>TabJogos[[#This Row],[PontosTime1]]-TabJogos[[#This Row],[PontosTime2]]</f>
        <v>2</v>
      </c>
    </row>
    <row r="4957" spans="1:9" ht="15" customHeight="1" x14ac:dyDescent="0.25">
      <c r="A4957" s="7">
        <v>4918</v>
      </c>
      <c r="B4957" s="1">
        <v>43818</v>
      </c>
      <c r="C4957" s="6" t="s">
        <v>9</v>
      </c>
      <c r="D4957" s="6" t="s">
        <v>11</v>
      </c>
      <c r="E4957" s="6">
        <v>3</v>
      </c>
      <c r="F4957" s="6">
        <v>2</v>
      </c>
      <c r="G4957" s="6" t="s">
        <v>41</v>
      </c>
      <c r="H4957" s="6" t="s">
        <v>18</v>
      </c>
      <c r="I4957" s="6">
        <f>TabJogos[[#This Row],[PontosTime1]]-TabJogos[[#This Row],[PontosTime2]]</f>
        <v>1</v>
      </c>
    </row>
    <row r="4958" spans="1:9" ht="15" customHeight="1" x14ac:dyDescent="0.25">
      <c r="A4958" s="7">
        <v>4919</v>
      </c>
      <c r="B4958" s="1">
        <v>43818</v>
      </c>
      <c r="C4958" s="6" t="s">
        <v>9</v>
      </c>
      <c r="D4958" s="6" t="s">
        <v>41</v>
      </c>
      <c r="E4958" s="6">
        <v>3</v>
      </c>
      <c r="F4958" s="6">
        <v>0</v>
      </c>
      <c r="G4958" s="6" t="s">
        <v>11</v>
      </c>
      <c r="H4958" s="6" t="s">
        <v>64</v>
      </c>
      <c r="I4958" s="6">
        <f>TabJogos[[#This Row],[PontosTime1]]-TabJogos[[#This Row],[PontosTime2]]</f>
        <v>3</v>
      </c>
    </row>
    <row r="4959" spans="1:9" ht="15" customHeight="1" x14ac:dyDescent="0.25">
      <c r="A4959" s="7">
        <v>4920</v>
      </c>
      <c r="B4959" s="1">
        <v>43818</v>
      </c>
      <c r="C4959" s="6" t="s">
        <v>11</v>
      </c>
      <c r="D4959" s="6" t="s">
        <v>11</v>
      </c>
      <c r="E4959" s="6">
        <v>3</v>
      </c>
      <c r="F4959" s="6">
        <v>2</v>
      </c>
      <c r="G4959" s="6" t="s">
        <v>9</v>
      </c>
      <c r="H4959" s="6" t="s">
        <v>18</v>
      </c>
      <c r="I4959" s="6">
        <f>TabJogos[[#This Row],[PontosTime1]]-TabJogos[[#This Row],[PontosTime2]]</f>
        <v>1</v>
      </c>
    </row>
    <row r="4960" spans="1:9" ht="15" customHeight="1" x14ac:dyDescent="0.25">
      <c r="A4960" s="7">
        <v>4921</v>
      </c>
      <c r="B4960" s="1">
        <v>43819</v>
      </c>
      <c r="C4960" s="6" t="s">
        <v>9</v>
      </c>
      <c r="D4960" s="6" t="s">
        <v>11</v>
      </c>
      <c r="E4960" s="6">
        <v>3</v>
      </c>
      <c r="F4960" s="6">
        <v>0</v>
      </c>
      <c r="G4960" s="6" t="s">
        <v>10</v>
      </c>
      <c r="H4960" s="6" t="s">
        <v>18</v>
      </c>
      <c r="I4960" s="6">
        <f>TabJogos[[#This Row],[PontosTime1]]-TabJogos[[#This Row],[PontosTime2]]</f>
        <v>3</v>
      </c>
    </row>
    <row r="4961" spans="1:9" ht="15" customHeight="1" x14ac:dyDescent="0.25">
      <c r="A4961" s="7">
        <v>4922</v>
      </c>
      <c r="B4961" s="1">
        <v>43819</v>
      </c>
      <c r="C4961" s="6" t="s">
        <v>9</v>
      </c>
      <c r="D4961" s="6" t="s">
        <v>18</v>
      </c>
      <c r="E4961" s="6">
        <v>3</v>
      </c>
      <c r="F4961" s="6">
        <v>0</v>
      </c>
      <c r="G4961" s="6" t="s">
        <v>11</v>
      </c>
      <c r="H4961" s="6" t="s">
        <v>10</v>
      </c>
      <c r="I4961" s="6">
        <f>TabJogos[[#This Row],[PontosTime1]]-TabJogos[[#This Row],[PontosTime2]]</f>
        <v>3</v>
      </c>
    </row>
    <row r="4962" spans="1:9" ht="15" customHeight="1" x14ac:dyDescent="0.25">
      <c r="A4962" s="7">
        <v>4923</v>
      </c>
      <c r="B4962" s="1">
        <v>43819</v>
      </c>
      <c r="C4962" s="6" t="s">
        <v>9</v>
      </c>
      <c r="D4962" s="6" t="s">
        <v>10</v>
      </c>
      <c r="E4962" s="6">
        <v>3</v>
      </c>
      <c r="F4962" s="6">
        <v>0</v>
      </c>
      <c r="G4962" s="6" t="s">
        <v>18</v>
      </c>
      <c r="H4962" s="6" t="s">
        <v>64</v>
      </c>
      <c r="I4962" s="6">
        <f>TabJogos[[#This Row],[PontosTime1]]-TabJogos[[#This Row],[PontosTime2]]</f>
        <v>3</v>
      </c>
    </row>
    <row r="4963" spans="1:9" ht="15" customHeight="1" x14ac:dyDescent="0.25">
      <c r="A4963" s="7">
        <v>4924</v>
      </c>
      <c r="B4963" s="1">
        <v>43819</v>
      </c>
      <c r="C4963" s="6" t="s">
        <v>10</v>
      </c>
      <c r="D4963" s="6" t="s">
        <v>18</v>
      </c>
      <c r="E4963" s="6">
        <v>3</v>
      </c>
      <c r="F4963" s="6">
        <v>1</v>
      </c>
      <c r="G4963" s="6" t="s">
        <v>11</v>
      </c>
      <c r="H4963" s="6" t="s">
        <v>9</v>
      </c>
      <c r="I4963" s="6">
        <f>TabJogos[[#This Row],[PontosTime1]]-TabJogos[[#This Row],[PontosTime2]]</f>
        <v>2</v>
      </c>
    </row>
    <row r="4964" spans="1:9" ht="15" customHeight="1" x14ac:dyDescent="0.25">
      <c r="A4964" s="7">
        <v>4925</v>
      </c>
      <c r="B4964" s="1">
        <v>43819</v>
      </c>
      <c r="C4964" s="6" t="s">
        <v>10</v>
      </c>
      <c r="D4964" s="6" t="s">
        <v>64</v>
      </c>
      <c r="E4964" s="6">
        <v>3</v>
      </c>
      <c r="F4964" s="6">
        <v>1</v>
      </c>
      <c r="G4964" s="6" t="s">
        <v>41</v>
      </c>
      <c r="H4964" s="6" t="s">
        <v>18</v>
      </c>
      <c r="I4964" s="6">
        <f>TabJogos[[#This Row],[PontosTime1]]-TabJogos[[#This Row],[PontosTime2]]</f>
        <v>2</v>
      </c>
    </row>
    <row r="4965" spans="1:9" ht="15" customHeight="1" x14ac:dyDescent="0.25">
      <c r="A4965" s="7">
        <v>4926</v>
      </c>
      <c r="B4965" s="1">
        <v>43819</v>
      </c>
      <c r="C4965" s="6" t="s">
        <v>10</v>
      </c>
      <c r="D4965" s="6" t="s">
        <v>11</v>
      </c>
      <c r="E4965" s="6">
        <v>3</v>
      </c>
      <c r="F4965" s="6">
        <v>1</v>
      </c>
      <c r="G4965" s="6" t="s">
        <v>9</v>
      </c>
      <c r="H4965" s="6" t="s">
        <v>64</v>
      </c>
      <c r="I4965" s="6">
        <f>TabJogos[[#This Row],[PontosTime1]]-TabJogos[[#This Row],[PontosTime2]]</f>
        <v>2</v>
      </c>
    </row>
    <row r="4966" spans="1:9" ht="15" customHeight="1" x14ac:dyDescent="0.25">
      <c r="A4966" s="7">
        <v>4927</v>
      </c>
      <c r="B4966" s="1">
        <v>43819</v>
      </c>
      <c r="C4966" s="6" t="s">
        <v>9</v>
      </c>
      <c r="D4966" s="6" t="s">
        <v>10</v>
      </c>
      <c r="E4966" s="6">
        <v>2</v>
      </c>
      <c r="F4966" s="6">
        <v>3</v>
      </c>
      <c r="G4966" s="6" t="s">
        <v>18</v>
      </c>
      <c r="H4966" s="6" t="s">
        <v>11</v>
      </c>
      <c r="I4966" s="6">
        <f>TabJogos[[#This Row],[PontosTime1]]-TabJogos[[#This Row],[PontosTime2]]</f>
        <v>-1</v>
      </c>
    </row>
    <row r="4967" spans="1:9" ht="15" customHeight="1" x14ac:dyDescent="0.25">
      <c r="A4967" s="7">
        <v>4928</v>
      </c>
      <c r="B4967" s="1">
        <v>43819</v>
      </c>
      <c r="C4967" s="6" t="s">
        <v>11</v>
      </c>
      <c r="D4967" s="6" t="s">
        <v>64</v>
      </c>
      <c r="E4967" s="6">
        <v>3</v>
      </c>
      <c r="F4967" s="6">
        <v>0</v>
      </c>
      <c r="G4967" s="6" t="s">
        <v>18</v>
      </c>
      <c r="H4967" s="6" t="s">
        <v>9</v>
      </c>
      <c r="I4967" s="6">
        <f>TabJogos[[#This Row],[PontosTime1]]-TabJogos[[#This Row],[PontosTime2]]</f>
        <v>3</v>
      </c>
    </row>
    <row r="4968" spans="1:9" ht="15" customHeight="1" x14ac:dyDescent="0.25">
      <c r="A4968" s="7">
        <v>4929</v>
      </c>
      <c r="B4968" s="1">
        <v>43819</v>
      </c>
      <c r="C4968" s="6" t="s">
        <v>11</v>
      </c>
      <c r="D4968" s="6" t="s">
        <v>9</v>
      </c>
      <c r="E4968" s="6">
        <v>3</v>
      </c>
      <c r="F4968" s="6">
        <v>1</v>
      </c>
      <c r="G4968" s="6" t="s">
        <v>64</v>
      </c>
      <c r="H4968" s="6" t="s">
        <v>18</v>
      </c>
      <c r="I4968" s="6">
        <f>TabJogos[[#This Row],[PontosTime1]]-TabJogos[[#This Row],[PontosTime2]]</f>
        <v>2</v>
      </c>
    </row>
    <row r="4969" spans="1:9" ht="15" customHeight="1" x14ac:dyDescent="0.25">
      <c r="A4969" s="7">
        <v>4930</v>
      </c>
      <c r="B4969" s="1">
        <v>43819</v>
      </c>
      <c r="C4969" s="6" t="s">
        <v>18</v>
      </c>
      <c r="D4969" s="6" t="s">
        <v>11</v>
      </c>
      <c r="E4969" s="6">
        <v>3</v>
      </c>
      <c r="F4969" s="6">
        <v>0</v>
      </c>
      <c r="G4969" s="6" t="s">
        <v>64</v>
      </c>
      <c r="H4969" s="6" t="s">
        <v>9</v>
      </c>
      <c r="I4969" s="6">
        <f>TabJogos[[#This Row],[PontosTime1]]-TabJogos[[#This Row],[PontosTime2]]</f>
        <v>3</v>
      </c>
    </row>
    <row r="4970" spans="1:9" ht="15" customHeight="1" x14ac:dyDescent="0.25">
      <c r="A4970" s="7">
        <v>4931</v>
      </c>
      <c r="B4970" s="1">
        <v>43819</v>
      </c>
      <c r="C4970" s="6" t="s">
        <v>11</v>
      </c>
      <c r="D4970" s="6" t="s">
        <v>64</v>
      </c>
      <c r="E4970" s="6">
        <v>3</v>
      </c>
      <c r="F4970" s="6">
        <v>1</v>
      </c>
      <c r="G4970" s="6" t="s">
        <v>18</v>
      </c>
      <c r="H4970" s="6" t="s">
        <v>9</v>
      </c>
      <c r="I4970" s="6">
        <f>TabJogos[[#This Row],[PontosTime1]]-TabJogos[[#This Row],[PontosTime2]]</f>
        <v>2</v>
      </c>
    </row>
    <row r="4971" spans="1:9" ht="15" customHeight="1" x14ac:dyDescent="0.25">
      <c r="A4971" s="7">
        <v>4932</v>
      </c>
      <c r="B4971" s="1">
        <v>43819</v>
      </c>
      <c r="C4971" s="6" t="s">
        <v>11</v>
      </c>
      <c r="D4971" s="6" t="s">
        <v>9</v>
      </c>
      <c r="E4971" s="6">
        <v>3</v>
      </c>
      <c r="F4971" s="6">
        <v>1</v>
      </c>
      <c r="G4971" s="6" t="s">
        <v>64</v>
      </c>
      <c r="H4971" s="6" t="s">
        <v>18</v>
      </c>
      <c r="I4971" s="6">
        <f>TabJogos[[#This Row],[PontosTime1]]-TabJogos[[#This Row],[PontosTime2]]</f>
        <v>2</v>
      </c>
    </row>
    <row r="4972" spans="1:9" ht="15" customHeight="1" x14ac:dyDescent="0.25">
      <c r="A4972" s="7">
        <v>4933</v>
      </c>
      <c r="B4972" s="1">
        <v>43819</v>
      </c>
      <c r="C4972" s="6" t="s">
        <v>11</v>
      </c>
      <c r="D4972" s="6" t="s">
        <v>18</v>
      </c>
      <c r="E4972" s="6">
        <v>3</v>
      </c>
      <c r="F4972" s="6">
        <v>1</v>
      </c>
      <c r="G4972" s="6" t="s">
        <v>9</v>
      </c>
      <c r="H4972" s="6" t="s">
        <v>64</v>
      </c>
      <c r="I4972" s="6">
        <f>TabJogos[[#This Row],[PontosTime1]]-TabJogos[[#This Row],[PontosTime2]]</f>
        <v>2</v>
      </c>
    </row>
    <row r="4973" spans="1:9" ht="15" customHeight="1" x14ac:dyDescent="0.25">
      <c r="A4973" s="7">
        <v>4934</v>
      </c>
      <c r="B4973" s="1">
        <v>43825</v>
      </c>
      <c r="C4973" s="6" t="s">
        <v>13</v>
      </c>
      <c r="D4973" s="6" t="s">
        <v>12</v>
      </c>
      <c r="E4973" s="6">
        <v>2</v>
      </c>
      <c r="F4973" s="6">
        <v>6</v>
      </c>
      <c r="G4973" s="6" t="s">
        <v>41</v>
      </c>
      <c r="H4973" s="6" t="s">
        <v>18</v>
      </c>
      <c r="I4973" s="6">
        <f>TabJogos[[#This Row],[PontosTime1]]-TabJogos[[#This Row],[PontosTime2]]</f>
        <v>-4</v>
      </c>
    </row>
    <row r="4974" spans="1:9" ht="15" customHeight="1" x14ac:dyDescent="0.25">
      <c r="A4974" s="7">
        <v>4935</v>
      </c>
      <c r="B4974" s="1">
        <v>43825</v>
      </c>
      <c r="C4974" s="6" t="s">
        <v>13</v>
      </c>
      <c r="D4974" s="6" t="s">
        <v>18</v>
      </c>
      <c r="E4974" s="6">
        <v>1</v>
      </c>
      <c r="F4974" s="6">
        <v>3</v>
      </c>
      <c r="G4974" s="6" t="s">
        <v>12</v>
      </c>
      <c r="H4974" s="6" t="s">
        <v>41</v>
      </c>
      <c r="I4974" s="6">
        <f>TabJogos[[#This Row],[PontosTime1]]-TabJogos[[#This Row],[PontosTime2]]</f>
        <v>-2</v>
      </c>
    </row>
    <row r="4975" spans="1:9" ht="15" customHeight="1" x14ac:dyDescent="0.25">
      <c r="A4975" s="7">
        <v>4936</v>
      </c>
      <c r="B4975" s="1">
        <v>43825</v>
      </c>
      <c r="C4975" s="6" t="s">
        <v>41</v>
      </c>
      <c r="D4975" s="6" t="s">
        <v>13</v>
      </c>
      <c r="E4975" s="6">
        <v>0</v>
      </c>
      <c r="F4975" s="6">
        <v>3</v>
      </c>
      <c r="G4975" s="6" t="s">
        <v>12</v>
      </c>
      <c r="H4975" s="6" t="s">
        <v>18</v>
      </c>
      <c r="I4975" s="6">
        <f>TabJogos[[#This Row],[PontosTime1]]-TabJogos[[#This Row],[PontosTime2]]</f>
        <v>-3</v>
      </c>
    </row>
    <row r="4976" spans="1:9" ht="15" customHeight="1" x14ac:dyDescent="0.25">
      <c r="A4976" s="7">
        <v>4937</v>
      </c>
      <c r="B4976" s="1">
        <v>43825</v>
      </c>
      <c r="C4976" s="6" t="s">
        <v>41</v>
      </c>
      <c r="D4976" s="6" t="s">
        <v>18</v>
      </c>
      <c r="E4976" s="6">
        <v>3</v>
      </c>
      <c r="F4976" s="6">
        <v>1</v>
      </c>
      <c r="G4976" s="6" t="s">
        <v>12</v>
      </c>
      <c r="H4976" s="6" t="s">
        <v>13</v>
      </c>
      <c r="I4976" s="6">
        <f>TabJogos[[#This Row],[PontosTime1]]-TabJogos[[#This Row],[PontosTime2]]</f>
        <v>2</v>
      </c>
    </row>
    <row r="4977" spans="1:9" ht="15" customHeight="1" x14ac:dyDescent="0.25">
      <c r="A4977" s="7">
        <v>4938</v>
      </c>
      <c r="B4977" s="1">
        <v>43825</v>
      </c>
      <c r="C4977" s="6" t="s">
        <v>13</v>
      </c>
      <c r="D4977" s="6" t="s">
        <v>18</v>
      </c>
      <c r="E4977" s="6">
        <v>3</v>
      </c>
      <c r="F4977" s="6">
        <v>0</v>
      </c>
      <c r="G4977" s="6" t="s">
        <v>12</v>
      </c>
      <c r="H4977" s="6" t="s">
        <v>41</v>
      </c>
      <c r="I4977" s="6">
        <f>TabJogos[[#This Row],[PontosTime1]]-TabJogos[[#This Row],[PontosTime2]]</f>
        <v>3</v>
      </c>
    </row>
    <row r="4978" spans="1:9" ht="15" customHeight="1" x14ac:dyDescent="0.25">
      <c r="A4978" s="7">
        <v>4939</v>
      </c>
      <c r="B4978" s="1">
        <v>43825</v>
      </c>
      <c r="C4978" s="6" t="s">
        <v>12</v>
      </c>
      <c r="D4978" s="6" t="s">
        <v>18</v>
      </c>
      <c r="E4978" s="6">
        <v>4</v>
      </c>
      <c r="F4978" s="6">
        <v>2</v>
      </c>
      <c r="G4978" s="6" t="s">
        <v>13</v>
      </c>
      <c r="H4978" s="6" t="s">
        <v>41</v>
      </c>
      <c r="I4978" s="6">
        <f>TabJogos[[#This Row],[PontosTime1]]-TabJogos[[#This Row],[PontosTime2]]</f>
        <v>2</v>
      </c>
    </row>
    <row r="4979" spans="1:9" ht="15" customHeight="1" x14ac:dyDescent="0.25">
      <c r="A4979" s="7">
        <v>4940</v>
      </c>
      <c r="B4979" s="1">
        <v>43825</v>
      </c>
      <c r="C4979" s="6" t="s">
        <v>13</v>
      </c>
      <c r="D4979" s="6" t="s">
        <v>18</v>
      </c>
      <c r="E4979" s="6">
        <v>3</v>
      </c>
      <c r="F4979" s="6">
        <v>0</v>
      </c>
      <c r="G4979" s="6" t="s">
        <v>12</v>
      </c>
      <c r="H4979" s="6" t="s">
        <v>41</v>
      </c>
      <c r="I4979" s="6">
        <f>TabJogos[[#This Row],[PontosTime1]]-TabJogos[[#This Row],[PontosTime2]]</f>
        <v>3</v>
      </c>
    </row>
    <row r="4980" spans="1:9" ht="15" customHeight="1" x14ac:dyDescent="0.25">
      <c r="A4980" s="7">
        <v>4941</v>
      </c>
      <c r="B4980" s="1">
        <v>43843</v>
      </c>
      <c r="C4980" s="6" t="s">
        <v>18</v>
      </c>
      <c r="D4980" s="6" t="s">
        <v>41</v>
      </c>
      <c r="E4980" s="6">
        <v>3</v>
      </c>
      <c r="F4980" s="6">
        <v>2</v>
      </c>
      <c r="G4980" s="6" t="s">
        <v>11</v>
      </c>
      <c r="H4980" s="6" t="s">
        <v>9</v>
      </c>
      <c r="I4980" s="6">
        <f>TabJogos[[#This Row],[PontosTime1]]-TabJogos[[#This Row],[PontosTime2]]</f>
        <v>1</v>
      </c>
    </row>
    <row r="4981" spans="1:9" ht="15" customHeight="1" x14ac:dyDescent="0.25">
      <c r="A4981" s="7">
        <v>4942</v>
      </c>
      <c r="B4981" s="1">
        <v>43843</v>
      </c>
      <c r="C4981" s="6" t="s">
        <v>11</v>
      </c>
      <c r="D4981" s="6" t="s">
        <v>18</v>
      </c>
      <c r="E4981" s="6">
        <v>4</v>
      </c>
      <c r="F4981" s="6">
        <v>0</v>
      </c>
      <c r="G4981" s="6" t="s">
        <v>9</v>
      </c>
      <c r="H4981" s="6" t="s">
        <v>41</v>
      </c>
      <c r="I4981" s="6">
        <f>TabJogos[[#This Row],[PontosTime1]]-TabJogos[[#This Row],[PontosTime2]]</f>
        <v>4</v>
      </c>
    </row>
    <row r="4982" spans="1:9" ht="15" customHeight="1" x14ac:dyDescent="0.25">
      <c r="A4982" s="7">
        <v>4943</v>
      </c>
      <c r="B4982" s="1">
        <v>43843</v>
      </c>
      <c r="C4982" s="6" t="s">
        <v>9</v>
      </c>
      <c r="D4982" s="6" t="s">
        <v>18</v>
      </c>
      <c r="E4982" s="6">
        <v>3</v>
      </c>
      <c r="F4982" s="6">
        <v>0</v>
      </c>
      <c r="G4982" s="6" t="s">
        <v>41</v>
      </c>
      <c r="H4982" s="6" t="s">
        <v>11</v>
      </c>
      <c r="I4982" s="6">
        <f>TabJogos[[#This Row],[PontosTime1]]-TabJogos[[#This Row],[PontosTime2]]</f>
        <v>3</v>
      </c>
    </row>
    <row r="4983" spans="1:9" ht="15" customHeight="1" x14ac:dyDescent="0.25">
      <c r="A4983" s="7">
        <v>4944</v>
      </c>
      <c r="B4983" s="1">
        <v>43843</v>
      </c>
      <c r="C4983" s="6" t="s">
        <v>9</v>
      </c>
      <c r="D4983" s="6" t="s">
        <v>11</v>
      </c>
      <c r="E4983" s="6">
        <v>2</v>
      </c>
      <c r="F4983" s="6">
        <v>3</v>
      </c>
      <c r="G4983" s="6" t="s">
        <v>41</v>
      </c>
      <c r="H4983" s="6" t="s">
        <v>18</v>
      </c>
      <c r="I4983" s="6">
        <f>TabJogos[[#This Row],[PontosTime1]]-TabJogos[[#This Row],[PontosTime2]]</f>
        <v>-1</v>
      </c>
    </row>
    <row r="4984" spans="1:9" ht="15" customHeight="1" x14ac:dyDescent="0.25">
      <c r="A4984" s="7">
        <v>4945</v>
      </c>
      <c r="B4984" s="1">
        <v>43843</v>
      </c>
      <c r="C4984" s="6" t="s">
        <v>9</v>
      </c>
      <c r="D4984" s="6" t="s">
        <v>41</v>
      </c>
      <c r="E4984" s="6">
        <v>3</v>
      </c>
      <c r="F4984" s="6">
        <v>0</v>
      </c>
      <c r="G4984" s="6" t="s">
        <v>11</v>
      </c>
      <c r="H4984" s="6" t="s">
        <v>18</v>
      </c>
      <c r="I4984" s="6">
        <f>TabJogos[[#This Row],[PontosTime1]]-TabJogos[[#This Row],[PontosTime2]]</f>
        <v>3</v>
      </c>
    </row>
    <row r="4985" spans="1:9" ht="15" customHeight="1" x14ac:dyDescent="0.25">
      <c r="A4985" s="7">
        <v>4946</v>
      </c>
      <c r="B4985" s="1">
        <v>43843</v>
      </c>
      <c r="C4985" s="6" t="s">
        <v>11</v>
      </c>
      <c r="D4985" s="6" t="s">
        <v>41</v>
      </c>
      <c r="E4985" s="6">
        <v>2</v>
      </c>
      <c r="F4985" s="6">
        <v>4</v>
      </c>
      <c r="G4985" s="6" t="s">
        <v>18</v>
      </c>
      <c r="H4985" s="6" t="s">
        <v>9</v>
      </c>
      <c r="I4985" s="6">
        <f>TabJogos[[#This Row],[PontosTime1]]-TabJogos[[#This Row],[PontosTime2]]</f>
        <v>-2</v>
      </c>
    </row>
    <row r="4986" spans="1:9" ht="15" customHeight="1" x14ac:dyDescent="0.25">
      <c r="A4986" s="7">
        <v>4947</v>
      </c>
      <c r="B4986" s="1">
        <v>43844</v>
      </c>
      <c r="C4986" s="6" t="s">
        <v>11</v>
      </c>
      <c r="D4986" s="6" t="s">
        <v>41</v>
      </c>
      <c r="E4986" s="6">
        <v>3</v>
      </c>
      <c r="F4986" s="6">
        <v>1</v>
      </c>
      <c r="G4986" s="6" t="s">
        <v>18</v>
      </c>
      <c r="H4986" s="6" t="s">
        <v>9</v>
      </c>
      <c r="I4986" s="6">
        <f>TabJogos[[#This Row],[PontosTime1]]-TabJogos[[#This Row],[PontosTime2]]</f>
        <v>2</v>
      </c>
    </row>
    <row r="4987" spans="1:9" ht="15" customHeight="1" x14ac:dyDescent="0.25">
      <c r="A4987" s="7">
        <v>4948</v>
      </c>
      <c r="B4987" s="1">
        <v>43844</v>
      </c>
      <c r="C4987" s="6" t="s">
        <v>18</v>
      </c>
      <c r="D4987" s="6" t="s">
        <v>11</v>
      </c>
      <c r="E4987" s="6">
        <v>4</v>
      </c>
      <c r="F4987" s="6">
        <v>0</v>
      </c>
      <c r="G4987" s="6" t="s">
        <v>9</v>
      </c>
      <c r="H4987" s="6" t="s">
        <v>41</v>
      </c>
      <c r="I4987" s="6">
        <f>TabJogos[[#This Row],[PontosTime1]]-TabJogos[[#This Row],[PontosTime2]]</f>
        <v>4</v>
      </c>
    </row>
    <row r="4988" spans="1:9" ht="15" customHeight="1" x14ac:dyDescent="0.25">
      <c r="A4988" s="7">
        <v>4949</v>
      </c>
      <c r="B4988" s="1">
        <v>43844</v>
      </c>
      <c r="C4988" s="6" t="s">
        <v>11</v>
      </c>
      <c r="D4988" s="6" t="s">
        <v>9</v>
      </c>
      <c r="E4988" s="6">
        <v>3</v>
      </c>
      <c r="F4988" s="6">
        <v>0</v>
      </c>
      <c r="G4988" s="6" t="s">
        <v>18</v>
      </c>
      <c r="H4988" s="6" t="s">
        <v>41</v>
      </c>
      <c r="I4988" s="6">
        <f>TabJogos[[#This Row],[PontosTime1]]-TabJogos[[#This Row],[PontosTime2]]</f>
        <v>3</v>
      </c>
    </row>
    <row r="4989" spans="1:9" ht="15" customHeight="1" x14ac:dyDescent="0.25">
      <c r="A4989" s="7">
        <v>4950</v>
      </c>
      <c r="B4989" s="1">
        <v>43844</v>
      </c>
      <c r="C4989" s="6" t="s">
        <v>11</v>
      </c>
      <c r="D4989" s="6" t="s">
        <v>41</v>
      </c>
      <c r="E4989" s="6">
        <v>1</v>
      </c>
      <c r="F4989" s="6">
        <v>3</v>
      </c>
      <c r="G4989" s="6" t="s">
        <v>18</v>
      </c>
      <c r="H4989" s="6" t="s">
        <v>9</v>
      </c>
      <c r="I4989" s="6">
        <f>TabJogos[[#This Row],[PontosTime1]]-TabJogos[[#This Row],[PontosTime2]]</f>
        <v>-2</v>
      </c>
    </row>
    <row r="4990" spans="1:9" ht="15" customHeight="1" x14ac:dyDescent="0.25">
      <c r="A4990" s="7">
        <v>4951</v>
      </c>
      <c r="B4990" s="1">
        <v>43844</v>
      </c>
      <c r="C4990" s="6" t="s">
        <v>9</v>
      </c>
      <c r="D4990" s="6" t="s">
        <v>41</v>
      </c>
      <c r="E4990" s="6">
        <v>3</v>
      </c>
      <c r="F4990" s="6">
        <v>0</v>
      </c>
      <c r="G4990" s="6" t="s">
        <v>18</v>
      </c>
      <c r="H4990" s="6" t="s">
        <v>11</v>
      </c>
      <c r="I4990" s="6">
        <f>TabJogos[[#This Row],[PontosTime1]]-TabJogos[[#This Row],[PontosTime2]]</f>
        <v>3</v>
      </c>
    </row>
    <row r="4991" spans="1:9" ht="15" customHeight="1" x14ac:dyDescent="0.25">
      <c r="A4991" s="7">
        <v>4952</v>
      </c>
      <c r="B4991" s="1">
        <v>43844</v>
      </c>
      <c r="C4991" s="6" t="s">
        <v>11</v>
      </c>
      <c r="D4991" s="6" t="s">
        <v>9</v>
      </c>
      <c r="E4991" s="6">
        <v>3</v>
      </c>
      <c r="F4991" s="6">
        <v>2</v>
      </c>
      <c r="G4991" s="6" t="s">
        <v>41</v>
      </c>
      <c r="H4991" s="6" t="s">
        <v>18</v>
      </c>
      <c r="I4991" s="6">
        <f>TabJogos[[#This Row],[PontosTime1]]-TabJogos[[#This Row],[PontosTime2]]</f>
        <v>1</v>
      </c>
    </row>
    <row r="4992" spans="1:9" ht="15" customHeight="1" x14ac:dyDescent="0.25">
      <c r="A4992" s="7">
        <v>4953</v>
      </c>
      <c r="B4992" s="1">
        <v>43844</v>
      </c>
      <c r="C4992" s="6" t="s">
        <v>11</v>
      </c>
      <c r="D4992" s="6" t="s">
        <v>41</v>
      </c>
      <c r="E4992" s="6">
        <v>3</v>
      </c>
      <c r="F4992" s="6">
        <v>0</v>
      </c>
      <c r="G4992" s="6" t="s">
        <v>9</v>
      </c>
      <c r="H4992" s="6" t="s">
        <v>18</v>
      </c>
      <c r="I4992" s="6">
        <f>TabJogos[[#This Row],[PontosTime1]]-TabJogos[[#This Row],[PontosTime2]]</f>
        <v>3</v>
      </c>
    </row>
    <row r="4993" spans="1:9" ht="15" customHeight="1" x14ac:dyDescent="0.25">
      <c r="A4993" s="7">
        <v>4954</v>
      </c>
      <c r="B4993" s="1">
        <v>43844</v>
      </c>
      <c r="C4993" s="6" t="s">
        <v>41</v>
      </c>
      <c r="D4993" s="6" t="s">
        <v>9</v>
      </c>
      <c r="E4993" s="6">
        <v>4</v>
      </c>
      <c r="F4993" s="6">
        <v>1</v>
      </c>
      <c r="G4993" s="6" t="s">
        <v>18</v>
      </c>
      <c r="H4993" s="6" t="s">
        <v>11</v>
      </c>
      <c r="I4993" s="6">
        <f>TabJogos[[#This Row],[PontosTime1]]-TabJogos[[#This Row],[PontosTime2]]</f>
        <v>3</v>
      </c>
    </row>
    <row r="4994" spans="1:9" ht="15" customHeight="1" x14ac:dyDescent="0.25">
      <c r="A4994" s="7">
        <v>4955</v>
      </c>
      <c r="B4994" s="1">
        <v>43844</v>
      </c>
      <c r="C4994" s="6" t="s">
        <v>41</v>
      </c>
      <c r="D4994" s="6" t="s">
        <v>18</v>
      </c>
      <c r="E4994" s="6">
        <v>4</v>
      </c>
      <c r="F4994" s="6">
        <v>2</v>
      </c>
      <c r="G4994" s="6" t="s">
        <v>9</v>
      </c>
      <c r="H4994" s="6" t="s">
        <v>11</v>
      </c>
      <c r="I4994" s="6">
        <f>TabJogos[[#This Row],[PontosTime1]]-TabJogos[[#This Row],[PontosTime2]]</f>
        <v>2</v>
      </c>
    </row>
    <row r="4995" spans="1:9" ht="15" customHeight="1" x14ac:dyDescent="0.25">
      <c r="A4995" s="7">
        <v>4956</v>
      </c>
      <c r="B4995" s="1">
        <v>43845</v>
      </c>
      <c r="C4995" s="6" t="s">
        <v>11</v>
      </c>
      <c r="D4995" s="6" t="s">
        <v>9</v>
      </c>
      <c r="E4995" s="6">
        <v>3</v>
      </c>
      <c r="F4995" s="6">
        <v>0</v>
      </c>
      <c r="G4995" s="6" t="s">
        <v>18</v>
      </c>
      <c r="H4995" s="6" t="s">
        <v>12</v>
      </c>
      <c r="I4995" s="6">
        <f>TabJogos[[#This Row],[PontosTime1]]-TabJogos[[#This Row],[PontosTime2]]</f>
        <v>3</v>
      </c>
    </row>
    <row r="4996" spans="1:9" ht="15" customHeight="1" x14ac:dyDescent="0.25">
      <c r="A4996" s="7">
        <v>4957</v>
      </c>
      <c r="B4996" s="1">
        <v>43845</v>
      </c>
      <c r="C4996" s="6" t="s">
        <v>11</v>
      </c>
      <c r="D4996" s="6" t="s">
        <v>12</v>
      </c>
      <c r="E4996" s="6">
        <v>4</v>
      </c>
      <c r="F4996" s="6">
        <v>1</v>
      </c>
      <c r="G4996" s="6" t="s">
        <v>18</v>
      </c>
      <c r="H4996" s="6" t="s">
        <v>9</v>
      </c>
      <c r="I4996" s="6">
        <f>TabJogos[[#This Row],[PontosTime1]]-TabJogos[[#This Row],[PontosTime2]]</f>
        <v>3</v>
      </c>
    </row>
    <row r="4997" spans="1:9" ht="15" customHeight="1" x14ac:dyDescent="0.25">
      <c r="A4997" s="7">
        <v>4958</v>
      </c>
      <c r="B4997" s="1">
        <v>43845</v>
      </c>
      <c r="C4997" s="6" t="s">
        <v>11</v>
      </c>
      <c r="D4997" s="6" t="s">
        <v>18</v>
      </c>
      <c r="E4997" s="6">
        <v>1</v>
      </c>
      <c r="F4997" s="6">
        <v>3</v>
      </c>
      <c r="G4997" s="6" t="s">
        <v>12</v>
      </c>
      <c r="H4997" s="6" t="s">
        <v>9</v>
      </c>
      <c r="I4997" s="6">
        <f>TabJogos[[#This Row],[PontosTime1]]-TabJogos[[#This Row],[PontosTime2]]</f>
        <v>-2</v>
      </c>
    </row>
    <row r="4998" spans="1:9" ht="15" customHeight="1" x14ac:dyDescent="0.25">
      <c r="A4998" s="7">
        <v>4959</v>
      </c>
      <c r="B4998" s="1">
        <v>43845</v>
      </c>
      <c r="C4998" s="6" t="s">
        <v>11</v>
      </c>
      <c r="D4998" s="6" t="s">
        <v>41</v>
      </c>
      <c r="E4998" s="6">
        <v>4</v>
      </c>
      <c r="F4998" s="6">
        <v>1</v>
      </c>
      <c r="G4998" s="6" t="s">
        <v>9</v>
      </c>
      <c r="H4998" s="6" t="s">
        <v>18</v>
      </c>
      <c r="I4998" s="6">
        <f>TabJogos[[#This Row],[PontosTime1]]-TabJogos[[#This Row],[PontosTime2]]</f>
        <v>3</v>
      </c>
    </row>
    <row r="4999" spans="1:9" ht="15" customHeight="1" x14ac:dyDescent="0.25">
      <c r="A4999" s="7">
        <v>4960</v>
      </c>
      <c r="B4999" s="1">
        <v>43845</v>
      </c>
      <c r="C4999" s="6" t="s">
        <v>11</v>
      </c>
      <c r="D4999" s="6" t="s">
        <v>9</v>
      </c>
      <c r="E4999" s="6">
        <v>3</v>
      </c>
      <c r="F4999" s="6">
        <v>2</v>
      </c>
      <c r="G4999" s="6" t="s">
        <v>41</v>
      </c>
      <c r="H4999" s="6" t="s">
        <v>9</v>
      </c>
      <c r="I4999" s="6">
        <f>TabJogos[[#This Row],[PontosTime1]]-TabJogos[[#This Row],[PontosTime2]]</f>
        <v>1</v>
      </c>
    </row>
    <row r="5000" spans="1:9" ht="15" customHeight="1" x14ac:dyDescent="0.25">
      <c r="A5000" s="7">
        <v>4961</v>
      </c>
      <c r="B5000" s="1">
        <v>43845</v>
      </c>
      <c r="C5000" s="6" t="s">
        <v>41</v>
      </c>
      <c r="D5000" s="6" t="s">
        <v>9</v>
      </c>
      <c r="E5000" s="6">
        <v>0</v>
      </c>
      <c r="F5000" s="6">
        <v>4</v>
      </c>
      <c r="G5000" s="6" t="s">
        <v>11</v>
      </c>
      <c r="H5000" s="6" t="s">
        <v>18</v>
      </c>
      <c r="I5000" s="6">
        <f>TabJogos[[#This Row],[PontosTime1]]-TabJogos[[#This Row],[PontosTime2]]</f>
        <v>-4</v>
      </c>
    </row>
    <row r="5001" spans="1:9" ht="15" customHeight="1" x14ac:dyDescent="0.25">
      <c r="A5001" s="7">
        <v>4962</v>
      </c>
      <c r="B5001" s="1">
        <v>43845</v>
      </c>
      <c r="C5001" s="6" t="s">
        <v>11</v>
      </c>
      <c r="D5001" s="6" t="s">
        <v>41</v>
      </c>
      <c r="E5001" s="6">
        <v>0</v>
      </c>
      <c r="F5001" s="6">
        <v>3</v>
      </c>
      <c r="G5001" s="6" t="s">
        <v>9</v>
      </c>
      <c r="H5001" s="6" t="s">
        <v>18</v>
      </c>
      <c r="I5001" s="6">
        <f>TabJogos[[#This Row],[PontosTime1]]-TabJogos[[#This Row],[PontosTime2]]</f>
        <v>-3</v>
      </c>
    </row>
    <row r="5002" spans="1:9" ht="15" customHeight="1" x14ac:dyDescent="0.25">
      <c r="A5002" s="7">
        <v>4963</v>
      </c>
      <c r="B5002" s="1">
        <v>43845</v>
      </c>
      <c r="C5002" s="6" t="s">
        <v>11</v>
      </c>
      <c r="D5002" s="6" t="s">
        <v>9</v>
      </c>
      <c r="E5002" s="6">
        <v>4</v>
      </c>
      <c r="F5002" s="6">
        <v>0</v>
      </c>
      <c r="G5002" s="6" t="s">
        <v>18</v>
      </c>
      <c r="H5002" s="6" t="s">
        <v>41</v>
      </c>
      <c r="I5002" s="6">
        <f>TabJogos[[#This Row],[PontosTime1]]-TabJogos[[#This Row],[PontosTime2]]</f>
        <v>4</v>
      </c>
    </row>
    <row r="5003" spans="1:9" ht="15" customHeight="1" x14ac:dyDescent="0.25">
      <c r="A5003" s="7">
        <v>4964</v>
      </c>
      <c r="B5003" s="1">
        <v>43845</v>
      </c>
      <c r="C5003" s="6" t="s">
        <v>11</v>
      </c>
      <c r="D5003" s="6" t="s">
        <v>18</v>
      </c>
      <c r="E5003" s="6">
        <v>3</v>
      </c>
      <c r="F5003" s="6">
        <v>0</v>
      </c>
      <c r="G5003" s="6" t="s">
        <v>41</v>
      </c>
      <c r="H5003" s="6" t="s">
        <v>9</v>
      </c>
      <c r="I5003" s="6">
        <f>TabJogos[[#This Row],[PontosTime1]]-TabJogos[[#This Row],[PontosTime2]]</f>
        <v>3</v>
      </c>
    </row>
    <row r="5004" spans="1:9" ht="15" customHeight="1" x14ac:dyDescent="0.25">
      <c r="A5004" s="7">
        <v>4965</v>
      </c>
      <c r="B5004" s="1">
        <v>43847</v>
      </c>
      <c r="C5004" s="6" t="s">
        <v>11</v>
      </c>
      <c r="D5004" s="6" t="s">
        <v>18</v>
      </c>
      <c r="E5004" s="6">
        <v>3</v>
      </c>
      <c r="F5004" s="6">
        <v>2</v>
      </c>
      <c r="G5004" s="6" t="s">
        <v>12</v>
      </c>
      <c r="H5004" s="6" t="s">
        <v>17</v>
      </c>
      <c r="I5004" s="6">
        <f>TabJogos[[#This Row],[PontosTime1]]-TabJogos[[#This Row],[PontosTime2]]</f>
        <v>1</v>
      </c>
    </row>
    <row r="5005" spans="1:9" ht="15" customHeight="1" x14ac:dyDescent="0.25">
      <c r="A5005" s="7">
        <v>4966</v>
      </c>
      <c r="B5005" s="1">
        <v>43847</v>
      </c>
      <c r="C5005" s="6" t="s">
        <v>17</v>
      </c>
      <c r="D5005" s="6" t="s">
        <v>18</v>
      </c>
      <c r="E5005" s="6">
        <v>2</v>
      </c>
      <c r="F5005" s="6">
        <v>3</v>
      </c>
      <c r="G5005" s="6" t="s">
        <v>11</v>
      </c>
      <c r="H5005" s="6" t="s">
        <v>12</v>
      </c>
      <c r="I5005" s="6">
        <f>TabJogos[[#This Row],[PontosTime1]]-TabJogos[[#This Row],[PontosTime2]]</f>
        <v>-1</v>
      </c>
    </row>
    <row r="5006" spans="1:9" ht="15" customHeight="1" x14ac:dyDescent="0.25">
      <c r="A5006" s="7">
        <v>4967</v>
      </c>
      <c r="B5006" s="1">
        <v>43847</v>
      </c>
      <c r="C5006" s="6" t="s">
        <v>11</v>
      </c>
      <c r="D5006" s="6" t="s">
        <v>17</v>
      </c>
      <c r="E5006" s="6">
        <v>7</v>
      </c>
      <c r="F5006" s="6">
        <v>2</v>
      </c>
      <c r="G5006" s="6" t="s">
        <v>12</v>
      </c>
      <c r="H5006" s="6" t="s">
        <v>18</v>
      </c>
      <c r="I5006" s="6">
        <f>TabJogos[[#This Row],[PontosTime1]]-TabJogos[[#This Row],[PontosTime2]]</f>
        <v>5</v>
      </c>
    </row>
    <row r="5007" spans="1:9" ht="15" customHeight="1" x14ac:dyDescent="0.25">
      <c r="A5007" s="7">
        <v>4968</v>
      </c>
      <c r="B5007" s="1">
        <v>43850</v>
      </c>
      <c r="C5007" s="6" t="s">
        <v>9</v>
      </c>
      <c r="D5007" s="6" t="s">
        <v>18</v>
      </c>
      <c r="E5007" s="6">
        <v>4</v>
      </c>
      <c r="F5007" s="6">
        <v>2</v>
      </c>
      <c r="G5007" s="6" t="s">
        <v>12</v>
      </c>
      <c r="H5007" s="6" t="s">
        <v>11</v>
      </c>
      <c r="I5007" s="6">
        <f>TabJogos[[#This Row],[PontosTime1]]-TabJogos[[#This Row],[PontosTime2]]</f>
        <v>2</v>
      </c>
    </row>
    <row r="5008" spans="1:9" ht="15" customHeight="1" x14ac:dyDescent="0.25">
      <c r="A5008" s="7">
        <v>4969</v>
      </c>
      <c r="B5008" s="1">
        <v>43850</v>
      </c>
      <c r="C5008" s="6" t="s">
        <v>11</v>
      </c>
      <c r="D5008" s="6" t="s">
        <v>18</v>
      </c>
      <c r="E5008" s="6">
        <v>4</v>
      </c>
      <c r="F5008" s="6">
        <v>1</v>
      </c>
      <c r="G5008" s="6" t="s">
        <v>9</v>
      </c>
      <c r="H5008" s="6" t="s">
        <v>12</v>
      </c>
      <c r="I5008" s="6">
        <f>TabJogos[[#This Row],[PontosTime1]]-TabJogos[[#This Row],[PontosTime2]]</f>
        <v>3</v>
      </c>
    </row>
    <row r="5009" spans="1:9" ht="15" customHeight="1" x14ac:dyDescent="0.25">
      <c r="A5009" s="7">
        <v>4970</v>
      </c>
      <c r="B5009" s="1">
        <v>43850</v>
      </c>
      <c r="C5009" s="6" t="s">
        <v>12</v>
      </c>
      <c r="D5009" s="6" t="s">
        <v>18</v>
      </c>
      <c r="E5009" s="6">
        <v>3</v>
      </c>
      <c r="F5009" s="6">
        <v>0</v>
      </c>
      <c r="G5009" s="6" t="s">
        <v>9</v>
      </c>
      <c r="H5009" s="6" t="s">
        <v>11</v>
      </c>
      <c r="I5009" s="6">
        <f>TabJogos[[#This Row],[PontosTime1]]-TabJogos[[#This Row],[PontosTime2]]</f>
        <v>3</v>
      </c>
    </row>
    <row r="5010" spans="1:9" ht="15" customHeight="1" x14ac:dyDescent="0.25">
      <c r="A5010" s="7">
        <v>4971</v>
      </c>
      <c r="B5010" s="1">
        <v>43850</v>
      </c>
      <c r="C5010" s="6" t="s">
        <v>12</v>
      </c>
      <c r="D5010" s="6" t="s">
        <v>9</v>
      </c>
      <c r="E5010" s="6">
        <v>3</v>
      </c>
      <c r="F5010" s="6">
        <v>0</v>
      </c>
      <c r="G5010" s="6" t="s">
        <v>18</v>
      </c>
      <c r="H5010" s="6" t="s">
        <v>41</v>
      </c>
      <c r="I5010" s="6">
        <f>TabJogos[[#This Row],[PontosTime1]]-TabJogos[[#This Row],[PontosTime2]]</f>
        <v>3</v>
      </c>
    </row>
    <row r="5011" spans="1:9" ht="15" customHeight="1" x14ac:dyDescent="0.25">
      <c r="A5011" s="7">
        <v>4972</v>
      </c>
      <c r="B5011" s="1">
        <v>43850</v>
      </c>
      <c r="C5011" s="6" t="s">
        <v>41</v>
      </c>
      <c r="D5011" s="6" t="s">
        <v>9</v>
      </c>
      <c r="E5011" s="6">
        <v>3</v>
      </c>
      <c r="F5011" s="6">
        <v>1</v>
      </c>
      <c r="G5011" s="6" t="s">
        <v>18</v>
      </c>
      <c r="H5011" s="6" t="s">
        <v>12</v>
      </c>
      <c r="I5011" s="6">
        <f>TabJogos[[#This Row],[PontosTime1]]-TabJogos[[#This Row],[PontosTime2]]</f>
        <v>2</v>
      </c>
    </row>
    <row r="5012" spans="1:9" ht="15" customHeight="1" x14ac:dyDescent="0.25">
      <c r="A5012" s="7">
        <v>4973</v>
      </c>
      <c r="B5012" s="1">
        <v>43850</v>
      </c>
      <c r="C5012" s="6" t="s">
        <v>9</v>
      </c>
      <c r="D5012" s="6" t="s">
        <v>18</v>
      </c>
      <c r="E5012" s="6">
        <v>4</v>
      </c>
      <c r="F5012" s="6">
        <v>1</v>
      </c>
      <c r="G5012" s="6" t="s">
        <v>12</v>
      </c>
      <c r="H5012" s="6" t="s">
        <v>41</v>
      </c>
      <c r="I5012" s="6">
        <f>TabJogos[[#This Row],[PontosTime1]]-TabJogos[[#This Row],[PontosTime2]]</f>
        <v>3</v>
      </c>
    </row>
    <row r="5013" spans="1:9" ht="15" customHeight="1" x14ac:dyDescent="0.25">
      <c r="A5013" s="7">
        <v>4974</v>
      </c>
      <c r="B5013" s="1">
        <v>43852</v>
      </c>
      <c r="C5013" s="6" t="s">
        <v>11</v>
      </c>
      <c r="D5013" s="6" t="s">
        <v>18</v>
      </c>
      <c r="E5013" s="6">
        <v>3</v>
      </c>
      <c r="F5013" s="6">
        <v>2</v>
      </c>
      <c r="G5013" s="6" t="s">
        <v>32</v>
      </c>
      <c r="H5013" s="6" t="s">
        <v>9</v>
      </c>
      <c r="I5013" s="6">
        <f>TabJogos[[#This Row],[PontosTime1]]-TabJogos[[#This Row],[PontosTime2]]</f>
        <v>1</v>
      </c>
    </row>
    <row r="5014" spans="1:9" ht="15" customHeight="1" x14ac:dyDescent="0.25">
      <c r="A5014" s="7">
        <v>4975</v>
      </c>
      <c r="B5014" s="1">
        <v>43852</v>
      </c>
      <c r="C5014" s="6" t="s">
        <v>11</v>
      </c>
      <c r="D5014" s="6" t="s">
        <v>32</v>
      </c>
      <c r="E5014" s="6">
        <v>3</v>
      </c>
      <c r="F5014" s="6">
        <v>1</v>
      </c>
      <c r="G5014" s="6" t="s">
        <v>9</v>
      </c>
      <c r="H5014" s="6" t="s">
        <v>18</v>
      </c>
      <c r="I5014" s="6">
        <f>TabJogos[[#This Row],[PontosTime1]]-TabJogos[[#This Row],[PontosTime2]]</f>
        <v>2</v>
      </c>
    </row>
    <row r="5015" spans="1:9" ht="15" customHeight="1" x14ac:dyDescent="0.25">
      <c r="A5015" s="7">
        <v>4976</v>
      </c>
      <c r="B5015" s="1">
        <v>43852</v>
      </c>
      <c r="C5015" s="6" t="s">
        <v>11</v>
      </c>
      <c r="D5015" s="6" t="s">
        <v>9</v>
      </c>
      <c r="E5015" s="6">
        <v>3</v>
      </c>
      <c r="F5015" s="6">
        <v>2</v>
      </c>
      <c r="G5015" s="6" t="s">
        <v>41</v>
      </c>
      <c r="H5015" s="6" t="s">
        <v>32</v>
      </c>
      <c r="I5015" s="6">
        <f>TabJogos[[#This Row],[PontosTime1]]-TabJogos[[#This Row],[PontosTime2]]</f>
        <v>1</v>
      </c>
    </row>
    <row r="5016" spans="1:9" ht="15" customHeight="1" x14ac:dyDescent="0.25">
      <c r="A5016" s="7">
        <v>4977</v>
      </c>
      <c r="B5016" s="1">
        <v>43852</v>
      </c>
      <c r="C5016" s="6" t="s">
        <v>11</v>
      </c>
      <c r="D5016" s="6" t="s">
        <v>18</v>
      </c>
      <c r="E5016" s="6">
        <v>4</v>
      </c>
      <c r="F5016" s="6">
        <v>1</v>
      </c>
      <c r="G5016" s="6" t="s">
        <v>32</v>
      </c>
      <c r="H5016" s="6" t="s">
        <v>9</v>
      </c>
      <c r="I5016" s="6">
        <f>TabJogos[[#This Row],[PontosTime1]]-TabJogos[[#This Row],[PontosTime2]]</f>
        <v>3</v>
      </c>
    </row>
    <row r="5017" spans="1:9" ht="15" customHeight="1" x14ac:dyDescent="0.25">
      <c r="A5017" s="7">
        <v>4978</v>
      </c>
      <c r="B5017" s="1">
        <v>43852</v>
      </c>
      <c r="C5017" s="6" t="s">
        <v>11</v>
      </c>
      <c r="D5017" s="6" t="s">
        <v>41</v>
      </c>
      <c r="E5017" s="6">
        <v>3</v>
      </c>
      <c r="F5017" s="6">
        <v>1</v>
      </c>
      <c r="G5017" s="6" t="s">
        <v>32</v>
      </c>
      <c r="H5017" s="6" t="s">
        <v>18</v>
      </c>
      <c r="I5017" s="6">
        <f>TabJogos[[#This Row],[PontosTime1]]-TabJogos[[#This Row],[PontosTime2]]</f>
        <v>2</v>
      </c>
    </row>
    <row r="5018" spans="1:9" ht="15" customHeight="1" x14ac:dyDescent="0.25">
      <c r="A5018" s="7">
        <v>4979</v>
      </c>
      <c r="B5018" s="1">
        <v>43852</v>
      </c>
      <c r="C5018" s="6" t="s">
        <v>11</v>
      </c>
      <c r="D5018" s="6" t="s">
        <v>32</v>
      </c>
      <c r="E5018" s="6">
        <v>3</v>
      </c>
      <c r="F5018" s="6">
        <v>2</v>
      </c>
      <c r="G5018" s="6" t="s">
        <v>9</v>
      </c>
      <c r="H5018" s="6" t="s">
        <v>41</v>
      </c>
      <c r="I5018" s="6">
        <f>TabJogos[[#This Row],[PontosTime1]]-TabJogos[[#This Row],[PontosTime2]]</f>
        <v>1</v>
      </c>
    </row>
    <row r="5019" spans="1:9" ht="15" customHeight="1" x14ac:dyDescent="0.25">
      <c r="A5019" s="7">
        <v>4980</v>
      </c>
      <c r="B5019" s="1">
        <v>43852</v>
      </c>
      <c r="C5019" s="6" t="s">
        <v>11</v>
      </c>
      <c r="D5019" s="6" t="s">
        <v>18</v>
      </c>
      <c r="E5019" s="6">
        <v>3</v>
      </c>
      <c r="F5019" s="6">
        <v>0</v>
      </c>
      <c r="G5019" s="6" t="s">
        <v>9</v>
      </c>
      <c r="H5019" s="6" t="s">
        <v>32</v>
      </c>
      <c r="I5019" s="6">
        <f>TabJogos[[#This Row],[PontosTime1]]-TabJogos[[#This Row],[PontosTime2]]</f>
        <v>3</v>
      </c>
    </row>
    <row r="5020" spans="1:9" ht="15" customHeight="1" x14ac:dyDescent="0.25">
      <c r="A5020" s="7">
        <v>4981</v>
      </c>
      <c r="B5020" s="1">
        <v>43852</v>
      </c>
      <c r="C5020" s="6" t="s">
        <v>11</v>
      </c>
      <c r="D5020" s="6" t="s">
        <v>9</v>
      </c>
      <c r="E5020" s="6">
        <v>0</v>
      </c>
      <c r="F5020" s="6">
        <v>3</v>
      </c>
      <c r="G5020" s="6" t="s">
        <v>18</v>
      </c>
      <c r="H5020" s="6" t="s">
        <v>32</v>
      </c>
      <c r="I5020" s="6">
        <f>TabJogos[[#This Row],[PontosTime1]]-TabJogos[[#This Row],[PontosTime2]]</f>
        <v>-3</v>
      </c>
    </row>
    <row r="5021" spans="1:9" ht="15" customHeight="1" x14ac:dyDescent="0.25">
      <c r="A5021" s="7">
        <v>4982</v>
      </c>
      <c r="B5021" s="1">
        <v>43853</v>
      </c>
      <c r="C5021" s="6" t="s">
        <v>9</v>
      </c>
      <c r="D5021" s="6" t="s">
        <v>17</v>
      </c>
      <c r="E5021" s="6">
        <v>1</v>
      </c>
      <c r="F5021" s="6">
        <v>3</v>
      </c>
      <c r="G5021" s="6" t="s">
        <v>11</v>
      </c>
      <c r="H5021" s="6" t="s">
        <v>18</v>
      </c>
      <c r="I5021" s="6">
        <f>TabJogos[[#This Row],[PontosTime1]]-TabJogos[[#This Row],[PontosTime2]]</f>
        <v>-2</v>
      </c>
    </row>
    <row r="5022" spans="1:9" ht="15" customHeight="1" x14ac:dyDescent="0.25">
      <c r="A5022" s="7">
        <v>4983</v>
      </c>
      <c r="B5022" s="1">
        <v>43853</v>
      </c>
      <c r="C5022" s="6" t="s">
        <v>11</v>
      </c>
      <c r="D5022" s="6" t="s">
        <v>41</v>
      </c>
      <c r="E5022" s="6">
        <v>3</v>
      </c>
      <c r="F5022" s="6">
        <v>0</v>
      </c>
      <c r="G5022" s="6" t="s">
        <v>18</v>
      </c>
      <c r="H5022" s="6" t="s">
        <v>66</v>
      </c>
      <c r="I5022" s="6">
        <f>TabJogos[[#This Row],[PontosTime1]]-TabJogos[[#This Row],[PontosTime2]]</f>
        <v>3</v>
      </c>
    </row>
    <row r="5023" spans="1:9" ht="15" customHeight="1" x14ac:dyDescent="0.25">
      <c r="A5023" s="7">
        <v>4984</v>
      </c>
      <c r="B5023" s="1">
        <v>43853</v>
      </c>
      <c r="C5023" s="6" t="s">
        <v>18</v>
      </c>
      <c r="D5023" s="6" t="s">
        <v>41</v>
      </c>
      <c r="E5023" s="6">
        <v>0</v>
      </c>
      <c r="F5023" s="6">
        <v>3</v>
      </c>
      <c r="G5023" s="6" t="s">
        <v>11</v>
      </c>
      <c r="H5023" s="6" t="s">
        <v>9</v>
      </c>
      <c r="I5023" s="6">
        <f>TabJogos[[#This Row],[PontosTime1]]-TabJogos[[#This Row],[PontosTime2]]</f>
        <v>-3</v>
      </c>
    </row>
    <row r="5024" spans="1:9" ht="15" customHeight="1" x14ac:dyDescent="0.25">
      <c r="A5024" s="7">
        <v>4985</v>
      </c>
      <c r="B5024" s="1">
        <v>43853</v>
      </c>
      <c r="C5024" s="6" t="s">
        <v>9</v>
      </c>
      <c r="D5024" s="6" t="s">
        <v>41</v>
      </c>
      <c r="E5024" s="6">
        <v>2</v>
      </c>
      <c r="F5024" s="6">
        <v>3</v>
      </c>
      <c r="G5024" s="6" t="s">
        <v>11</v>
      </c>
      <c r="H5024" s="6" t="s">
        <v>18</v>
      </c>
      <c r="I5024" s="6">
        <f>TabJogos[[#This Row],[PontosTime1]]-TabJogos[[#This Row],[PontosTime2]]</f>
        <v>-1</v>
      </c>
    </row>
    <row r="5025" spans="1:9" ht="15" customHeight="1" x14ac:dyDescent="0.25">
      <c r="A5025" s="7">
        <v>4986</v>
      </c>
      <c r="B5025" s="1">
        <v>43853</v>
      </c>
      <c r="C5025" s="6" t="s">
        <v>11</v>
      </c>
      <c r="D5025" s="6" t="s">
        <v>41</v>
      </c>
      <c r="E5025" s="6">
        <v>0</v>
      </c>
      <c r="F5025" s="6">
        <v>3</v>
      </c>
      <c r="G5025" s="6" t="s">
        <v>18</v>
      </c>
      <c r="H5025" s="6" t="s">
        <v>9</v>
      </c>
      <c r="I5025" s="6">
        <f>TabJogos[[#This Row],[PontosTime1]]-TabJogos[[#This Row],[PontosTime2]]</f>
        <v>-3</v>
      </c>
    </row>
    <row r="5026" spans="1:9" ht="15" customHeight="1" x14ac:dyDescent="0.25">
      <c r="A5026" s="7">
        <v>4987</v>
      </c>
      <c r="B5026" s="1">
        <v>43853</v>
      </c>
      <c r="C5026" s="6" t="s">
        <v>11</v>
      </c>
      <c r="D5026" s="6" t="s">
        <v>9</v>
      </c>
      <c r="E5026" s="6">
        <v>3</v>
      </c>
      <c r="F5026" s="6">
        <v>2</v>
      </c>
      <c r="G5026" s="6" t="s">
        <v>41</v>
      </c>
      <c r="H5026" s="6" t="s">
        <v>18</v>
      </c>
      <c r="I5026" s="6">
        <f>TabJogos[[#This Row],[PontosTime1]]-TabJogos[[#This Row],[PontosTime2]]</f>
        <v>1</v>
      </c>
    </row>
    <row r="5027" spans="1:9" ht="15" customHeight="1" x14ac:dyDescent="0.25">
      <c r="A5027" s="7">
        <v>4988</v>
      </c>
      <c r="B5027" s="1">
        <v>43853</v>
      </c>
      <c r="C5027" s="6" t="s">
        <v>11</v>
      </c>
      <c r="D5027" s="6" t="s">
        <v>18</v>
      </c>
      <c r="E5027" s="6">
        <v>4</v>
      </c>
      <c r="F5027" s="6">
        <v>2</v>
      </c>
      <c r="G5027" s="6" t="s">
        <v>41</v>
      </c>
      <c r="H5027" s="6" t="s">
        <v>9</v>
      </c>
      <c r="I5027" s="6">
        <f>TabJogos[[#This Row],[PontosTime1]]-TabJogos[[#This Row],[PontosTime2]]</f>
        <v>2</v>
      </c>
    </row>
    <row r="5028" spans="1:9" ht="15" customHeight="1" x14ac:dyDescent="0.25">
      <c r="A5028" s="7">
        <v>4989</v>
      </c>
      <c r="B5028" s="1">
        <v>43853</v>
      </c>
      <c r="C5028" s="6" t="s">
        <v>11</v>
      </c>
      <c r="D5028" s="6" t="s">
        <v>41</v>
      </c>
      <c r="E5028" s="6">
        <v>3</v>
      </c>
      <c r="F5028" s="6">
        <v>2</v>
      </c>
      <c r="G5028" s="6" t="s">
        <v>18</v>
      </c>
      <c r="H5028" s="6" t="s">
        <v>9</v>
      </c>
      <c r="I5028" s="6">
        <f>TabJogos[[#This Row],[PontosTime1]]-TabJogos[[#This Row],[PontosTime2]]</f>
        <v>1</v>
      </c>
    </row>
    <row r="5029" spans="1:9" ht="15" customHeight="1" x14ac:dyDescent="0.25">
      <c r="A5029" s="7">
        <v>4990</v>
      </c>
      <c r="B5029" s="1">
        <v>43853</v>
      </c>
      <c r="C5029" s="6" t="s">
        <v>41</v>
      </c>
      <c r="D5029" s="6" t="s">
        <v>18</v>
      </c>
      <c r="E5029" s="6">
        <v>3</v>
      </c>
      <c r="F5029" s="6">
        <v>1</v>
      </c>
      <c r="G5029" s="6" t="s">
        <v>11</v>
      </c>
      <c r="H5029" s="6" t="s">
        <v>9</v>
      </c>
      <c r="I5029" s="6">
        <f>TabJogos[[#This Row],[PontosTime1]]-TabJogos[[#This Row],[PontosTime2]]</f>
        <v>2</v>
      </c>
    </row>
    <row r="5030" spans="1:9" ht="15" customHeight="1" x14ac:dyDescent="0.25">
      <c r="A5030" s="7">
        <v>4991</v>
      </c>
      <c r="B5030" s="1">
        <v>43853</v>
      </c>
      <c r="C5030" s="6" t="s">
        <v>11</v>
      </c>
      <c r="D5030" s="6" t="s">
        <v>18</v>
      </c>
      <c r="E5030" s="6">
        <v>3</v>
      </c>
      <c r="F5030" s="6">
        <v>2</v>
      </c>
      <c r="G5030" s="6" t="s">
        <v>41</v>
      </c>
      <c r="H5030" s="6" t="s">
        <v>9</v>
      </c>
      <c r="I5030" s="6">
        <f>TabJogos[[#This Row],[PontosTime1]]-TabJogos[[#This Row],[PontosTime2]]</f>
        <v>1</v>
      </c>
    </row>
    <row r="5031" spans="1:9" ht="15" customHeight="1" x14ac:dyDescent="0.25">
      <c r="A5031" s="7">
        <v>4992</v>
      </c>
      <c r="B5031" s="1">
        <v>43853</v>
      </c>
      <c r="C5031" s="6" t="s">
        <v>11</v>
      </c>
      <c r="D5031" s="6" t="s">
        <v>41</v>
      </c>
      <c r="E5031" s="6">
        <v>2</v>
      </c>
      <c r="F5031" s="6">
        <v>3</v>
      </c>
      <c r="G5031" s="6" t="s">
        <v>18</v>
      </c>
      <c r="H5031" s="6" t="s">
        <v>9</v>
      </c>
      <c r="I5031" s="6">
        <f>TabJogos[[#This Row],[PontosTime1]]-TabJogos[[#This Row],[PontosTime2]]</f>
        <v>-1</v>
      </c>
    </row>
    <row r="5032" spans="1:9" ht="15" customHeight="1" x14ac:dyDescent="0.25">
      <c r="A5032" s="7">
        <v>4993</v>
      </c>
      <c r="B5032" s="1">
        <v>43854</v>
      </c>
      <c r="C5032" s="6" t="s">
        <v>11</v>
      </c>
      <c r="D5032" s="6" t="s">
        <v>18</v>
      </c>
      <c r="E5032" s="6">
        <v>4</v>
      </c>
      <c r="F5032" s="6">
        <v>0</v>
      </c>
      <c r="G5032" s="6" t="s">
        <v>12</v>
      </c>
      <c r="H5032" s="6" t="s">
        <v>41</v>
      </c>
      <c r="I5032" s="6">
        <f>TabJogos[[#This Row],[PontosTime1]]-TabJogos[[#This Row],[PontosTime2]]</f>
        <v>4</v>
      </c>
    </row>
    <row r="5033" spans="1:9" ht="15" customHeight="1" x14ac:dyDescent="0.25">
      <c r="A5033" s="7">
        <v>4994</v>
      </c>
      <c r="B5033" s="1">
        <v>43854</v>
      </c>
      <c r="C5033" s="6" t="s">
        <v>11</v>
      </c>
      <c r="D5033" s="6" t="s">
        <v>41</v>
      </c>
      <c r="E5033" s="6">
        <v>3</v>
      </c>
      <c r="F5033" s="6">
        <v>0</v>
      </c>
      <c r="G5033" s="6" t="s">
        <v>18</v>
      </c>
      <c r="H5033" s="6" t="s">
        <v>12</v>
      </c>
      <c r="I5033" s="6">
        <f>TabJogos[[#This Row],[PontosTime1]]-TabJogos[[#This Row],[PontosTime2]]</f>
        <v>3</v>
      </c>
    </row>
    <row r="5034" spans="1:9" ht="15" customHeight="1" x14ac:dyDescent="0.25">
      <c r="A5034" s="7">
        <v>4995</v>
      </c>
      <c r="B5034" s="1">
        <v>43854</v>
      </c>
      <c r="C5034" s="6" t="s">
        <v>41</v>
      </c>
      <c r="D5034" s="6" t="s">
        <v>18</v>
      </c>
      <c r="E5034" s="6">
        <v>1</v>
      </c>
      <c r="F5034" s="6">
        <v>4</v>
      </c>
      <c r="G5034" s="6" t="s">
        <v>12</v>
      </c>
      <c r="H5034" s="6" t="s">
        <v>11</v>
      </c>
      <c r="I5034" s="6">
        <f>TabJogos[[#This Row],[PontosTime1]]-TabJogos[[#This Row],[PontosTime2]]</f>
        <v>-3</v>
      </c>
    </row>
    <row r="5035" spans="1:9" ht="15" customHeight="1" x14ac:dyDescent="0.25">
      <c r="A5035" s="7">
        <v>4996</v>
      </c>
      <c r="B5035" s="1">
        <v>43854</v>
      </c>
      <c r="C5035" s="6" t="s">
        <v>12</v>
      </c>
      <c r="D5035" s="6" t="s">
        <v>18</v>
      </c>
      <c r="E5035" s="6">
        <v>7</v>
      </c>
      <c r="F5035" s="6">
        <v>2</v>
      </c>
      <c r="G5035" s="6" t="s">
        <v>41</v>
      </c>
      <c r="H5035" s="6" t="s">
        <v>11</v>
      </c>
      <c r="I5035" s="6">
        <f>TabJogos[[#This Row],[PontosTime1]]-TabJogos[[#This Row],[PontosTime2]]</f>
        <v>5</v>
      </c>
    </row>
    <row r="5036" spans="1:9" ht="15" customHeight="1" x14ac:dyDescent="0.25">
      <c r="A5036" s="7">
        <v>4997</v>
      </c>
      <c r="B5036" s="1">
        <v>43854</v>
      </c>
      <c r="C5036" s="6" t="s">
        <v>11</v>
      </c>
      <c r="D5036" s="6" t="s">
        <v>18</v>
      </c>
      <c r="E5036" s="6">
        <v>3</v>
      </c>
      <c r="F5036" s="6">
        <v>2</v>
      </c>
      <c r="G5036" s="6" t="s">
        <v>12</v>
      </c>
      <c r="H5036" s="6" t="s">
        <v>41</v>
      </c>
      <c r="I5036" s="6">
        <f>TabJogos[[#This Row],[PontosTime1]]-TabJogos[[#This Row],[PontosTime2]]</f>
        <v>1</v>
      </c>
    </row>
    <row r="5037" spans="1:9" ht="15" customHeight="1" x14ac:dyDescent="0.25">
      <c r="A5037" s="7">
        <v>4998</v>
      </c>
      <c r="B5037" s="1">
        <v>43854</v>
      </c>
      <c r="C5037" s="6" t="s">
        <v>11</v>
      </c>
      <c r="D5037" s="6" t="s">
        <v>12</v>
      </c>
      <c r="E5037" s="6">
        <v>6</v>
      </c>
      <c r="F5037" s="6">
        <v>2</v>
      </c>
      <c r="G5037" s="6" t="s">
        <v>18</v>
      </c>
      <c r="H5037" s="6" t="s">
        <v>41</v>
      </c>
      <c r="I5037" s="6">
        <f>TabJogos[[#This Row],[PontosTime1]]-TabJogos[[#This Row],[PontosTime2]]</f>
        <v>4</v>
      </c>
    </row>
    <row r="5038" spans="1:9" ht="15" customHeight="1" x14ac:dyDescent="0.25">
      <c r="A5038" s="7">
        <v>4999</v>
      </c>
      <c r="B5038" s="1">
        <v>43854</v>
      </c>
      <c r="C5038" s="6" t="s">
        <v>11</v>
      </c>
      <c r="D5038" s="6" t="s">
        <v>18</v>
      </c>
      <c r="E5038" s="6">
        <v>2</v>
      </c>
      <c r="F5038" s="6">
        <v>5</v>
      </c>
      <c r="G5038" s="6" t="s">
        <v>27</v>
      </c>
      <c r="H5038" s="6" t="s">
        <v>41</v>
      </c>
      <c r="I5038" s="6">
        <f>TabJogos[[#This Row],[PontosTime1]]-TabJogos[[#This Row],[PontosTime2]]</f>
        <v>-3</v>
      </c>
    </row>
    <row r="5039" spans="1:9" ht="15" customHeight="1" x14ac:dyDescent="0.25">
      <c r="A5039" s="7">
        <v>5000</v>
      </c>
      <c r="B5039" s="1">
        <v>43854</v>
      </c>
      <c r="C5039" s="6" t="s">
        <v>27</v>
      </c>
      <c r="D5039" s="6" t="s">
        <v>18</v>
      </c>
      <c r="E5039" s="6">
        <v>3</v>
      </c>
      <c r="F5039" s="6">
        <v>1</v>
      </c>
      <c r="G5039" s="6" t="s">
        <v>41</v>
      </c>
      <c r="H5039" s="6" t="s">
        <v>11</v>
      </c>
      <c r="I5039" s="6">
        <f>TabJogos[[#This Row],[PontosTime1]]-TabJogos[[#This Row],[PontosTime2]]</f>
        <v>2</v>
      </c>
    </row>
    <row r="5040" spans="1:9" ht="15" customHeight="1" x14ac:dyDescent="0.25">
      <c r="A5040" s="7">
        <v>5001</v>
      </c>
      <c r="B5040" s="1">
        <v>43854</v>
      </c>
      <c r="C5040" s="6" t="s">
        <v>27</v>
      </c>
      <c r="D5040" s="6" t="s">
        <v>17</v>
      </c>
      <c r="E5040" s="6">
        <v>3</v>
      </c>
      <c r="F5040" s="6">
        <v>0</v>
      </c>
      <c r="G5040" s="6" t="s">
        <v>41</v>
      </c>
      <c r="H5040" s="6" t="s">
        <v>18</v>
      </c>
      <c r="I5040" s="6">
        <f>TabJogos[[#This Row],[PontosTime1]]-TabJogos[[#This Row],[PontosTime2]]</f>
        <v>3</v>
      </c>
    </row>
    <row r="5041" spans="1:9" ht="15" customHeight="1" x14ac:dyDescent="0.25">
      <c r="A5041" s="7">
        <v>5002</v>
      </c>
      <c r="B5041" s="1">
        <v>43854</v>
      </c>
      <c r="C5041" s="6" t="s">
        <v>41</v>
      </c>
      <c r="D5041" s="6" t="s">
        <v>27</v>
      </c>
      <c r="E5041" s="6">
        <v>4</v>
      </c>
      <c r="F5041" s="6">
        <v>2</v>
      </c>
      <c r="G5041" s="6" t="s">
        <v>17</v>
      </c>
      <c r="H5041" s="6" t="s">
        <v>18</v>
      </c>
      <c r="I5041" s="6">
        <f>TabJogos[[#This Row],[PontosTime1]]-TabJogos[[#This Row],[PontosTime2]]</f>
        <v>2</v>
      </c>
    </row>
    <row r="5042" spans="1:9" ht="15" customHeight="1" x14ac:dyDescent="0.25">
      <c r="A5042" s="7">
        <v>5003</v>
      </c>
      <c r="B5042" s="1">
        <v>43854</v>
      </c>
      <c r="C5042" s="6" t="s">
        <v>27</v>
      </c>
      <c r="D5042" s="6" t="s">
        <v>18</v>
      </c>
      <c r="E5042" s="6">
        <v>3</v>
      </c>
      <c r="F5042" s="6">
        <v>0</v>
      </c>
      <c r="G5042" s="6" t="s">
        <v>17</v>
      </c>
      <c r="H5042" s="6" t="s">
        <v>41</v>
      </c>
      <c r="I5042" s="6">
        <f>TabJogos[[#This Row],[PontosTime1]]-TabJogos[[#This Row],[PontosTime2]]</f>
        <v>3</v>
      </c>
    </row>
    <row r="5043" spans="1:9" ht="15" customHeight="1" x14ac:dyDescent="0.25">
      <c r="A5043" s="7">
        <v>5004</v>
      </c>
      <c r="B5043" s="1">
        <v>43854</v>
      </c>
      <c r="C5043" s="6" t="s">
        <v>17</v>
      </c>
      <c r="D5043" s="6" t="s">
        <v>27</v>
      </c>
      <c r="E5043" s="6">
        <v>3</v>
      </c>
      <c r="F5043" s="6">
        <v>0</v>
      </c>
      <c r="G5043" s="6" t="s">
        <v>41</v>
      </c>
      <c r="H5043" s="6" t="s">
        <v>18</v>
      </c>
      <c r="I5043" s="6">
        <f>TabJogos[[#This Row],[PontosTime1]]-TabJogos[[#This Row],[PontosTime2]]</f>
        <v>3</v>
      </c>
    </row>
    <row r="5044" spans="1:9" ht="15" customHeight="1" x14ac:dyDescent="0.25">
      <c r="A5044" s="7">
        <v>5005</v>
      </c>
      <c r="B5044" s="1">
        <v>43854</v>
      </c>
      <c r="C5044" s="6" t="s">
        <v>41</v>
      </c>
      <c r="D5044" s="6" t="s">
        <v>27</v>
      </c>
      <c r="E5044" s="6">
        <v>0</v>
      </c>
      <c r="F5044" s="6">
        <v>3</v>
      </c>
      <c r="G5044" s="6" t="s">
        <v>17</v>
      </c>
      <c r="H5044" s="6" t="s">
        <v>18</v>
      </c>
      <c r="I5044" s="6">
        <f>TabJogos[[#This Row],[PontosTime1]]-TabJogos[[#This Row],[PontosTime2]]</f>
        <v>-3</v>
      </c>
    </row>
    <row r="5045" spans="1:9" ht="15" customHeight="1" x14ac:dyDescent="0.25">
      <c r="A5045" s="7">
        <v>5006</v>
      </c>
      <c r="B5045" s="1">
        <v>43857</v>
      </c>
      <c r="C5045" s="6" t="s">
        <v>10</v>
      </c>
      <c r="D5045" s="6" t="s">
        <v>11</v>
      </c>
      <c r="E5045" s="6">
        <v>3</v>
      </c>
      <c r="F5045" s="6">
        <v>2</v>
      </c>
      <c r="G5045" s="6" t="s">
        <v>12</v>
      </c>
      <c r="H5045" s="6" t="s">
        <v>13</v>
      </c>
      <c r="I5045" s="6">
        <f>TabJogos[[#This Row],[PontosTime1]]-TabJogos[[#This Row],[PontosTime2]]</f>
        <v>1</v>
      </c>
    </row>
    <row r="5046" spans="1:9" ht="15" customHeight="1" x14ac:dyDescent="0.25">
      <c r="A5046" s="7">
        <v>5007</v>
      </c>
      <c r="B5046" s="1">
        <v>43857</v>
      </c>
      <c r="C5046" s="6" t="s">
        <v>27</v>
      </c>
      <c r="D5046" s="6" t="s">
        <v>10</v>
      </c>
      <c r="E5046" s="6">
        <v>3</v>
      </c>
      <c r="F5046" s="6">
        <v>2</v>
      </c>
      <c r="G5046" s="6" t="s">
        <v>11</v>
      </c>
      <c r="H5046" s="6" t="s">
        <v>41</v>
      </c>
      <c r="I5046" s="6">
        <f>TabJogos[[#This Row],[PontosTime1]]-TabJogos[[#This Row],[PontosTime2]]</f>
        <v>1</v>
      </c>
    </row>
    <row r="5047" spans="1:9" ht="15" customHeight="1" x14ac:dyDescent="0.25">
      <c r="A5047" s="7">
        <v>5008</v>
      </c>
      <c r="B5047" s="1">
        <v>43857</v>
      </c>
      <c r="C5047" s="6" t="s">
        <v>27</v>
      </c>
      <c r="D5047" s="6" t="s">
        <v>13</v>
      </c>
      <c r="E5047" s="6">
        <v>3</v>
      </c>
      <c r="F5047" s="6">
        <v>1</v>
      </c>
      <c r="G5047" s="6" t="s">
        <v>41</v>
      </c>
      <c r="H5047" s="6" t="s">
        <v>10</v>
      </c>
      <c r="I5047" s="6">
        <f>TabJogos[[#This Row],[PontosTime1]]-TabJogos[[#This Row],[PontosTime2]]</f>
        <v>2</v>
      </c>
    </row>
    <row r="5048" spans="1:9" ht="15" customHeight="1" x14ac:dyDescent="0.25">
      <c r="A5048" s="7">
        <v>5009</v>
      </c>
      <c r="B5048" s="1">
        <v>43857</v>
      </c>
      <c r="C5048" s="6" t="s">
        <v>13</v>
      </c>
      <c r="D5048" s="6" t="s">
        <v>10</v>
      </c>
      <c r="E5048" s="6">
        <v>1</v>
      </c>
      <c r="F5048" s="6">
        <v>3</v>
      </c>
      <c r="G5048" s="6" t="s">
        <v>27</v>
      </c>
      <c r="H5048" s="6" t="s">
        <v>11</v>
      </c>
      <c r="I5048" s="6">
        <f>TabJogos[[#This Row],[PontosTime1]]-TabJogos[[#This Row],[PontosTime2]]</f>
        <v>-2</v>
      </c>
    </row>
    <row r="5049" spans="1:9" ht="15" customHeight="1" x14ac:dyDescent="0.25">
      <c r="A5049" s="7">
        <v>5010</v>
      </c>
      <c r="B5049" s="1">
        <v>43857</v>
      </c>
      <c r="C5049" s="6" t="s">
        <v>11</v>
      </c>
      <c r="D5049" s="6" t="s">
        <v>10</v>
      </c>
      <c r="E5049" s="6">
        <v>1</v>
      </c>
      <c r="F5049" s="6">
        <v>3</v>
      </c>
      <c r="G5049" s="6" t="s">
        <v>27</v>
      </c>
      <c r="H5049" s="6" t="s">
        <v>41</v>
      </c>
      <c r="I5049" s="6">
        <f>TabJogos[[#This Row],[PontosTime1]]-TabJogos[[#This Row],[PontosTime2]]</f>
        <v>-2</v>
      </c>
    </row>
    <row r="5050" spans="1:9" ht="15" customHeight="1" x14ac:dyDescent="0.25">
      <c r="A5050" s="7">
        <v>5011</v>
      </c>
      <c r="B5050" s="1">
        <v>43857</v>
      </c>
      <c r="C5050" s="6" t="s">
        <v>27</v>
      </c>
      <c r="D5050" s="6" t="s">
        <v>10</v>
      </c>
      <c r="E5050" s="6">
        <v>3</v>
      </c>
      <c r="F5050" s="6">
        <v>1</v>
      </c>
      <c r="G5050" s="6" t="s">
        <v>13</v>
      </c>
      <c r="H5050" s="6" t="s">
        <v>41</v>
      </c>
      <c r="I5050" s="6">
        <f>TabJogos[[#This Row],[PontosTime1]]-TabJogos[[#This Row],[PontosTime2]]</f>
        <v>2</v>
      </c>
    </row>
    <row r="5051" spans="1:9" ht="15" customHeight="1" x14ac:dyDescent="0.25">
      <c r="A5051" s="7">
        <v>5012</v>
      </c>
      <c r="B5051" s="1">
        <v>43857</v>
      </c>
      <c r="C5051" s="6" t="s">
        <v>18</v>
      </c>
      <c r="D5051" s="6" t="s">
        <v>10</v>
      </c>
      <c r="E5051" s="6">
        <v>3</v>
      </c>
      <c r="F5051" s="6">
        <v>2</v>
      </c>
      <c r="G5051" s="6" t="s">
        <v>27</v>
      </c>
      <c r="H5051" s="6" t="s">
        <v>41</v>
      </c>
      <c r="I5051" s="6">
        <f>TabJogos[[#This Row],[PontosTime1]]-TabJogos[[#This Row],[PontosTime2]]</f>
        <v>1</v>
      </c>
    </row>
    <row r="5052" spans="1:9" ht="15" customHeight="1" x14ac:dyDescent="0.25">
      <c r="A5052" s="7">
        <v>5013</v>
      </c>
      <c r="B5052" s="1">
        <v>43857</v>
      </c>
      <c r="C5052" s="6" t="s">
        <v>11</v>
      </c>
      <c r="D5052" s="6" t="s">
        <v>18</v>
      </c>
      <c r="E5052" s="6">
        <v>2</v>
      </c>
      <c r="F5052" s="6">
        <v>3</v>
      </c>
      <c r="G5052" s="6" t="s">
        <v>10</v>
      </c>
      <c r="H5052" s="6" t="s">
        <v>13</v>
      </c>
      <c r="I5052" s="6">
        <f>TabJogos[[#This Row],[PontosTime1]]-TabJogos[[#This Row],[PontosTime2]]</f>
        <v>-1</v>
      </c>
    </row>
    <row r="5053" spans="1:9" ht="15" customHeight="1" x14ac:dyDescent="0.25">
      <c r="A5053" s="7">
        <v>5014</v>
      </c>
      <c r="B5053" s="1">
        <v>43858</v>
      </c>
      <c r="C5053" s="6" t="s">
        <v>10</v>
      </c>
      <c r="D5053" s="6" t="s">
        <v>32</v>
      </c>
      <c r="E5053" s="6">
        <v>0</v>
      </c>
      <c r="F5053" s="6">
        <v>3</v>
      </c>
      <c r="G5053" s="6" t="s">
        <v>11</v>
      </c>
      <c r="H5053" s="6" t="s">
        <v>18</v>
      </c>
      <c r="I5053" s="6">
        <f>TabJogos[[#This Row],[PontosTime1]]-TabJogos[[#This Row],[PontosTime2]]</f>
        <v>-3</v>
      </c>
    </row>
    <row r="5054" spans="1:9" ht="15" customHeight="1" x14ac:dyDescent="0.25">
      <c r="A5054" s="7">
        <v>5015</v>
      </c>
      <c r="B5054" s="1">
        <v>43858</v>
      </c>
      <c r="C5054" s="6" t="s">
        <v>10</v>
      </c>
      <c r="D5054" s="6" t="s">
        <v>18</v>
      </c>
      <c r="E5054" s="6">
        <v>3</v>
      </c>
      <c r="F5054" s="6">
        <v>1</v>
      </c>
      <c r="G5054" s="6" t="s">
        <v>11</v>
      </c>
      <c r="H5054" s="6" t="s">
        <v>32</v>
      </c>
      <c r="I5054" s="6">
        <f>TabJogos[[#This Row],[PontosTime1]]-TabJogos[[#This Row],[PontosTime2]]</f>
        <v>2</v>
      </c>
    </row>
    <row r="5055" spans="1:9" ht="15" customHeight="1" x14ac:dyDescent="0.25">
      <c r="A5055" s="7">
        <v>5016</v>
      </c>
      <c r="B5055" s="1">
        <v>43858</v>
      </c>
      <c r="C5055" s="6" t="s">
        <v>10</v>
      </c>
      <c r="D5055" s="6" t="s">
        <v>11</v>
      </c>
      <c r="E5055" s="6">
        <v>0</v>
      </c>
      <c r="F5055" s="6">
        <v>6</v>
      </c>
      <c r="G5055" s="6" t="s">
        <v>17</v>
      </c>
      <c r="H5055" s="6" t="s">
        <v>18</v>
      </c>
      <c r="I5055" s="6">
        <f>TabJogos[[#This Row],[PontosTime1]]-TabJogos[[#This Row],[PontosTime2]]</f>
        <v>-6</v>
      </c>
    </row>
    <row r="5056" spans="1:9" ht="15" customHeight="1" x14ac:dyDescent="0.25">
      <c r="A5056" s="7">
        <v>5017</v>
      </c>
      <c r="B5056" s="1">
        <v>43858</v>
      </c>
      <c r="C5056" s="6" t="s">
        <v>11</v>
      </c>
      <c r="D5056" s="6" t="s">
        <v>18</v>
      </c>
      <c r="E5056" s="6">
        <v>3</v>
      </c>
      <c r="F5056" s="6">
        <v>2</v>
      </c>
      <c r="G5056" s="6" t="s">
        <v>17</v>
      </c>
      <c r="H5056" s="6" t="s">
        <v>10</v>
      </c>
      <c r="I5056" s="6">
        <f>TabJogos[[#This Row],[PontosTime1]]-TabJogos[[#This Row],[PontosTime2]]</f>
        <v>1</v>
      </c>
    </row>
    <row r="5057" spans="1:9" ht="15" customHeight="1" x14ac:dyDescent="0.25">
      <c r="A5057" s="7">
        <v>5018</v>
      </c>
      <c r="B5057" s="1">
        <v>43858</v>
      </c>
      <c r="C5057" s="6" t="s">
        <v>18</v>
      </c>
      <c r="D5057" s="6" t="s">
        <v>10</v>
      </c>
      <c r="E5057" s="6">
        <v>4</v>
      </c>
      <c r="F5057" s="6">
        <v>2</v>
      </c>
      <c r="G5057" s="6" t="s">
        <v>17</v>
      </c>
      <c r="H5057" s="6" t="s">
        <v>11</v>
      </c>
      <c r="I5057" s="6">
        <f>TabJogos[[#This Row],[PontosTime1]]-TabJogos[[#This Row],[PontosTime2]]</f>
        <v>2</v>
      </c>
    </row>
    <row r="5058" spans="1:9" ht="15" customHeight="1" x14ac:dyDescent="0.25">
      <c r="A5058" s="7">
        <v>5019</v>
      </c>
      <c r="B5058" s="1">
        <v>43858</v>
      </c>
      <c r="C5058" s="6" t="s">
        <v>11</v>
      </c>
      <c r="D5058" s="6" t="s">
        <v>10</v>
      </c>
      <c r="E5058" s="6">
        <v>0</v>
      </c>
      <c r="F5058" s="6">
        <v>3</v>
      </c>
      <c r="G5058" s="6" t="s">
        <v>17</v>
      </c>
      <c r="H5058" s="6" t="s">
        <v>18</v>
      </c>
      <c r="I5058" s="6">
        <f>TabJogos[[#This Row],[PontosTime1]]-TabJogos[[#This Row],[PontosTime2]]</f>
        <v>-3</v>
      </c>
    </row>
    <row r="5059" spans="1:9" ht="15" customHeight="1" x14ac:dyDescent="0.25">
      <c r="A5059" s="7">
        <v>5020</v>
      </c>
      <c r="B5059" s="1">
        <v>43858</v>
      </c>
      <c r="C5059" s="6" t="s">
        <v>11</v>
      </c>
      <c r="D5059" s="6" t="s">
        <v>18</v>
      </c>
      <c r="E5059" s="6">
        <v>3</v>
      </c>
      <c r="F5059" s="6">
        <v>0</v>
      </c>
      <c r="G5059" s="6" t="s">
        <v>17</v>
      </c>
      <c r="H5059" s="6" t="s">
        <v>10</v>
      </c>
      <c r="I5059" s="6">
        <f>TabJogos[[#This Row],[PontosTime1]]-TabJogos[[#This Row],[PontosTime2]]</f>
        <v>3</v>
      </c>
    </row>
    <row r="5060" spans="1:9" ht="15" customHeight="1" x14ac:dyDescent="0.25">
      <c r="A5060" s="7">
        <v>5021</v>
      </c>
      <c r="B5060" s="1">
        <v>43858</v>
      </c>
      <c r="C5060" s="6" t="s">
        <v>11</v>
      </c>
      <c r="D5060" s="6" t="s">
        <v>17</v>
      </c>
      <c r="E5060" s="6">
        <v>1</v>
      </c>
      <c r="F5060" s="6">
        <v>3</v>
      </c>
      <c r="G5060" s="6" t="s">
        <v>10</v>
      </c>
      <c r="H5060" s="6" t="s">
        <v>18</v>
      </c>
      <c r="I5060" s="6">
        <f>TabJogos[[#This Row],[PontosTime1]]-TabJogos[[#This Row],[PontosTime2]]</f>
        <v>-2</v>
      </c>
    </row>
    <row r="5061" spans="1:9" ht="15" customHeight="1" x14ac:dyDescent="0.25">
      <c r="A5061" s="7">
        <v>5022</v>
      </c>
      <c r="B5061" s="1">
        <v>43858</v>
      </c>
      <c r="C5061" s="6" t="s">
        <v>11</v>
      </c>
      <c r="D5061" s="6" t="s">
        <v>10</v>
      </c>
      <c r="E5061" s="6">
        <v>1</v>
      </c>
      <c r="F5061" s="6">
        <v>3</v>
      </c>
      <c r="G5061" s="6" t="s">
        <v>17</v>
      </c>
      <c r="H5061" s="6" t="s">
        <v>18</v>
      </c>
      <c r="I5061" s="6">
        <f>TabJogos[[#This Row],[PontosTime1]]-TabJogos[[#This Row],[PontosTime2]]</f>
        <v>-2</v>
      </c>
    </row>
    <row r="5062" spans="1:9" ht="15" customHeight="1" x14ac:dyDescent="0.25">
      <c r="A5062" s="7">
        <v>5023</v>
      </c>
      <c r="B5062" s="1">
        <v>43859</v>
      </c>
      <c r="C5062" s="6" t="s">
        <v>11</v>
      </c>
      <c r="D5062" s="6" t="s">
        <v>18</v>
      </c>
      <c r="E5062" s="6">
        <v>3</v>
      </c>
      <c r="F5062" s="6">
        <v>2</v>
      </c>
      <c r="G5062" s="6" t="s">
        <v>10</v>
      </c>
      <c r="H5062" s="6" t="s">
        <v>13</v>
      </c>
      <c r="I5062" s="6">
        <f>TabJogos[[#This Row],[PontosTime1]]-TabJogos[[#This Row],[PontosTime2]]</f>
        <v>1</v>
      </c>
    </row>
    <row r="5063" spans="1:9" ht="15" customHeight="1" x14ac:dyDescent="0.25">
      <c r="A5063" s="7">
        <v>5024</v>
      </c>
      <c r="B5063" s="1">
        <v>43859</v>
      </c>
      <c r="C5063" s="6" t="s">
        <v>11</v>
      </c>
      <c r="D5063" s="6" t="s">
        <v>13</v>
      </c>
      <c r="E5063" s="6">
        <v>3</v>
      </c>
      <c r="F5063" s="6">
        <v>0</v>
      </c>
      <c r="G5063" s="6" t="s">
        <v>18</v>
      </c>
      <c r="H5063" s="6" t="s">
        <v>10</v>
      </c>
      <c r="I5063" s="6">
        <f>TabJogos[[#This Row],[PontosTime1]]-TabJogos[[#This Row],[PontosTime2]]</f>
        <v>3</v>
      </c>
    </row>
    <row r="5064" spans="1:9" ht="15" customHeight="1" x14ac:dyDescent="0.25">
      <c r="A5064" s="7">
        <v>5025</v>
      </c>
      <c r="B5064" s="1">
        <v>43859</v>
      </c>
      <c r="C5064" s="6" t="s">
        <v>13</v>
      </c>
      <c r="D5064" s="6" t="s">
        <v>18</v>
      </c>
      <c r="E5064" s="6">
        <v>3</v>
      </c>
      <c r="F5064" s="6">
        <v>0</v>
      </c>
      <c r="G5064" s="6" t="s">
        <v>11</v>
      </c>
      <c r="H5064" s="6" t="s">
        <v>10</v>
      </c>
      <c r="I5064" s="6">
        <f>TabJogos[[#This Row],[PontosTime1]]-TabJogos[[#This Row],[PontosTime2]]</f>
        <v>3</v>
      </c>
    </row>
    <row r="5065" spans="1:9" ht="15" customHeight="1" x14ac:dyDescent="0.25">
      <c r="A5065" s="7">
        <v>5026</v>
      </c>
      <c r="B5065" s="1">
        <v>43859</v>
      </c>
      <c r="C5065" s="6" t="s">
        <v>10</v>
      </c>
      <c r="D5065" s="6" t="s">
        <v>13</v>
      </c>
      <c r="E5065" s="6">
        <v>3</v>
      </c>
      <c r="F5065" s="6">
        <v>1</v>
      </c>
      <c r="G5065" s="6" t="s">
        <v>11</v>
      </c>
      <c r="H5065" s="6" t="s">
        <v>18</v>
      </c>
      <c r="I5065" s="6">
        <f>TabJogos[[#This Row],[PontosTime1]]-TabJogos[[#This Row],[PontosTime2]]</f>
        <v>2</v>
      </c>
    </row>
    <row r="5066" spans="1:9" ht="15" customHeight="1" x14ac:dyDescent="0.25">
      <c r="A5066" s="7">
        <v>5027</v>
      </c>
      <c r="B5066" s="1">
        <v>43859</v>
      </c>
      <c r="C5066" s="6" t="s">
        <v>11</v>
      </c>
      <c r="D5066" s="6" t="s">
        <v>13</v>
      </c>
      <c r="E5066" s="6">
        <v>3</v>
      </c>
      <c r="F5066" s="6">
        <v>2</v>
      </c>
      <c r="G5066" s="6" t="s">
        <v>10</v>
      </c>
      <c r="H5066" s="6" t="s">
        <v>18</v>
      </c>
      <c r="I5066" s="6">
        <f>TabJogos[[#This Row],[PontosTime1]]-TabJogos[[#This Row],[PontosTime2]]</f>
        <v>1</v>
      </c>
    </row>
    <row r="5067" spans="1:9" ht="15" customHeight="1" x14ac:dyDescent="0.25">
      <c r="A5067" s="7">
        <v>5028</v>
      </c>
      <c r="B5067" s="1">
        <v>43859</v>
      </c>
      <c r="C5067" s="6" t="s">
        <v>13</v>
      </c>
      <c r="D5067" s="6" t="s">
        <v>18</v>
      </c>
      <c r="E5067" s="6">
        <v>3</v>
      </c>
      <c r="F5067" s="6">
        <v>2</v>
      </c>
      <c r="G5067" s="6" t="s">
        <v>10</v>
      </c>
      <c r="H5067" s="6" t="s">
        <v>11</v>
      </c>
      <c r="I5067" s="6">
        <f>TabJogos[[#This Row],[PontosTime1]]-TabJogos[[#This Row],[PontosTime2]]</f>
        <v>1</v>
      </c>
    </row>
    <row r="5068" spans="1:9" ht="15" customHeight="1" x14ac:dyDescent="0.25">
      <c r="A5068" s="7">
        <v>5029</v>
      </c>
      <c r="B5068" s="1">
        <v>43859</v>
      </c>
      <c r="C5068" s="6" t="s">
        <v>13</v>
      </c>
      <c r="D5068" s="6" t="s">
        <v>10</v>
      </c>
      <c r="E5068" s="6">
        <v>1</v>
      </c>
      <c r="F5068" s="6">
        <v>5</v>
      </c>
      <c r="G5068" s="6" t="s">
        <v>18</v>
      </c>
      <c r="H5068" s="6" t="s">
        <v>11</v>
      </c>
      <c r="I5068" s="6">
        <f>TabJogos[[#This Row],[PontosTime1]]-TabJogos[[#This Row],[PontosTime2]]</f>
        <v>-4</v>
      </c>
    </row>
    <row r="5069" spans="1:9" ht="15" customHeight="1" x14ac:dyDescent="0.25">
      <c r="A5069" s="7">
        <v>5030</v>
      </c>
      <c r="B5069" s="1">
        <v>43859</v>
      </c>
      <c r="C5069" s="6" t="s">
        <v>13</v>
      </c>
      <c r="D5069" s="6" t="s">
        <v>11</v>
      </c>
      <c r="E5069" s="6">
        <v>3</v>
      </c>
      <c r="F5069" s="6">
        <v>1</v>
      </c>
      <c r="G5069" s="6" t="s">
        <v>10</v>
      </c>
      <c r="H5069" s="6" t="s">
        <v>18</v>
      </c>
      <c r="I5069" s="6">
        <f>TabJogos[[#This Row],[PontosTime1]]-TabJogos[[#This Row],[PontosTime2]]</f>
        <v>2</v>
      </c>
    </row>
    <row r="5070" spans="1:9" ht="15" customHeight="1" x14ac:dyDescent="0.25">
      <c r="A5070" s="7">
        <v>5031</v>
      </c>
      <c r="B5070" s="1">
        <v>43859</v>
      </c>
      <c r="C5070" s="6" t="s">
        <v>11</v>
      </c>
      <c r="D5070" s="6" t="s">
        <v>10</v>
      </c>
      <c r="E5070" s="6">
        <v>1</v>
      </c>
      <c r="F5070" s="6">
        <v>3</v>
      </c>
      <c r="G5070" s="6" t="s">
        <v>13</v>
      </c>
      <c r="H5070" s="6" t="s">
        <v>18</v>
      </c>
      <c r="I5070" s="6">
        <f>TabJogos[[#This Row],[PontosTime1]]-TabJogos[[#This Row],[PontosTime2]]</f>
        <v>-2</v>
      </c>
    </row>
    <row r="5071" spans="1:9" ht="15" customHeight="1" x14ac:dyDescent="0.25">
      <c r="A5071" s="7">
        <v>5032</v>
      </c>
      <c r="B5071" s="1">
        <v>43859</v>
      </c>
      <c r="C5071" s="6" t="s">
        <v>11</v>
      </c>
      <c r="D5071" s="6" t="s">
        <v>18</v>
      </c>
      <c r="E5071" s="6">
        <v>3</v>
      </c>
      <c r="F5071" s="6">
        <v>0</v>
      </c>
      <c r="G5071" s="6" t="s">
        <v>10</v>
      </c>
      <c r="H5071" s="6" t="s">
        <v>13</v>
      </c>
      <c r="I5071" s="6">
        <f>TabJogos[[#This Row],[PontosTime1]]-TabJogos[[#This Row],[PontosTime2]]</f>
        <v>3</v>
      </c>
    </row>
    <row r="5072" spans="1:9" ht="15" customHeight="1" x14ac:dyDescent="0.25">
      <c r="A5072" s="7">
        <v>5033</v>
      </c>
      <c r="B5072" s="1">
        <v>43859</v>
      </c>
      <c r="C5072" s="6" t="s">
        <v>11</v>
      </c>
      <c r="D5072" s="6" t="s">
        <v>13</v>
      </c>
      <c r="E5072" s="6">
        <v>3</v>
      </c>
      <c r="F5072" s="6">
        <v>2</v>
      </c>
      <c r="G5072" s="6" t="s">
        <v>10</v>
      </c>
      <c r="H5072" s="6" t="s">
        <v>18</v>
      </c>
      <c r="I5072" s="6">
        <f>TabJogos[[#This Row],[PontosTime1]]-TabJogos[[#This Row],[PontosTime2]]</f>
        <v>1</v>
      </c>
    </row>
    <row r="5073" spans="1:9" ht="15" customHeight="1" x14ac:dyDescent="0.25">
      <c r="A5073" s="7">
        <v>5034</v>
      </c>
      <c r="B5073" s="1">
        <v>43859</v>
      </c>
      <c r="C5073" s="6" t="s">
        <v>10</v>
      </c>
      <c r="D5073" s="6" t="s">
        <v>11</v>
      </c>
      <c r="E5073" s="6">
        <v>5</v>
      </c>
      <c r="F5073" s="6">
        <v>1</v>
      </c>
      <c r="G5073" s="6" t="s">
        <v>18</v>
      </c>
      <c r="H5073" s="6" t="s">
        <v>13</v>
      </c>
      <c r="I5073" s="6">
        <f>TabJogos[[#This Row],[PontosTime1]]-TabJogos[[#This Row],[PontosTime2]]</f>
        <v>4</v>
      </c>
    </row>
    <row r="5074" spans="1:9" ht="15" customHeight="1" x14ac:dyDescent="0.25">
      <c r="A5074" s="7">
        <v>5035</v>
      </c>
      <c r="B5074" s="1">
        <v>43859</v>
      </c>
      <c r="C5074" s="6" t="s">
        <v>11</v>
      </c>
      <c r="D5074" s="6" t="s">
        <v>18</v>
      </c>
      <c r="E5074" s="6">
        <v>0</v>
      </c>
      <c r="F5074" s="6">
        <v>3</v>
      </c>
      <c r="G5074" s="6" t="s">
        <v>10</v>
      </c>
      <c r="H5074" s="6" t="s">
        <v>13</v>
      </c>
      <c r="I5074" s="6">
        <f>TabJogos[[#This Row],[PontosTime1]]-TabJogos[[#This Row],[PontosTime2]]</f>
        <v>-3</v>
      </c>
    </row>
    <row r="5075" spans="1:9" ht="15" customHeight="1" x14ac:dyDescent="0.25">
      <c r="A5075" s="7">
        <v>5036</v>
      </c>
      <c r="B5075" s="1">
        <v>43859</v>
      </c>
      <c r="C5075" s="6" t="s">
        <v>11</v>
      </c>
      <c r="D5075" s="6" t="s">
        <v>13</v>
      </c>
      <c r="E5075" s="6">
        <v>3</v>
      </c>
      <c r="F5075" s="6">
        <v>1</v>
      </c>
      <c r="G5075" s="6" t="s">
        <v>18</v>
      </c>
      <c r="H5075" s="6" t="s">
        <v>10</v>
      </c>
      <c r="I5075" s="6">
        <f>TabJogos[[#This Row],[PontosTime1]]-TabJogos[[#This Row],[PontosTime2]]</f>
        <v>2</v>
      </c>
    </row>
    <row r="5076" spans="1:9" ht="15" customHeight="1" x14ac:dyDescent="0.25">
      <c r="A5076" s="7">
        <v>5037</v>
      </c>
      <c r="B5076" s="1">
        <v>43860</v>
      </c>
      <c r="C5076" s="6" t="s">
        <v>13</v>
      </c>
      <c r="D5076" s="6" t="s">
        <v>10</v>
      </c>
      <c r="E5076" s="6">
        <v>1</v>
      </c>
      <c r="F5076" s="6">
        <v>3</v>
      </c>
      <c r="G5076" s="6" t="s">
        <v>18</v>
      </c>
      <c r="H5076" s="6" t="s">
        <v>27</v>
      </c>
      <c r="I5076" s="6">
        <f>TabJogos[[#This Row],[PontosTime1]]-TabJogos[[#This Row],[PontosTime2]]</f>
        <v>-2</v>
      </c>
    </row>
    <row r="5077" spans="1:9" ht="15" customHeight="1" x14ac:dyDescent="0.25">
      <c r="A5077" s="7">
        <v>5038</v>
      </c>
      <c r="B5077" s="1">
        <v>43860</v>
      </c>
      <c r="C5077" s="6" t="s">
        <v>11</v>
      </c>
      <c r="D5077" s="6" t="s">
        <v>18</v>
      </c>
      <c r="E5077" s="6">
        <v>3</v>
      </c>
      <c r="F5077" s="6">
        <v>2</v>
      </c>
      <c r="G5077" s="6" t="s">
        <v>27</v>
      </c>
      <c r="H5077" s="6" t="s">
        <v>13</v>
      </c>
      <c r="I5077" s="6">
        <f>TabJogos[[#This Row],[PontosTime1]]-TabJogos[[#This Row],[PontosTime2]]</f>
        <v>1</v>
      </c>
    </row>
    <row r="5078" spans="1:9" ht="15" customHeight="1" x14ac:dyDescent="0.25">
      <c r="A5078" s="7">
        <v>5039</v>
      </c>
      <c r="B5078" s="1">
        <v>43860</v>
      </c>
      <c r="C5078" s="6" t="s">
        <v>10</v>
      </c>
      <c r="D5078" s="6" t="s">
        <v>18</v>
      </c>
      <c r="E5078" s="6">
        <v>1</v>
      </c>
      <c r="F5078" s="6">
        <v>3</v>
      </c>
      <c r="G5078" s="6" t="s">
        <v>27</v>
      </c>
      <c r="H5078" s="6" t="s">
        <v>11</v>
      </c>
      <c r="I5078" s="6">
        <f>TabJogos[[#This Row],[PontosTime1]]-TabJogos[[#This Row],[PontosTime2]]</f>
        <v>-2</v>
      </c>
    </row>
    <row r="5079" spans="1:9" ht="15" customHeight="1" x14ac:dyDescent="0.25">
      <c r="A5079" s="7">
        <v>5040</v>
      </c>
      <c r="B5079" s="1">
        <v>43860</v>
      </c>
      <c r="C5079" s="6" t="s">
        <v>11</v>
      </c>
      <c r="D5079" s="6" t="s">
        <v>13</v>
      </c>
      <c r="E5079" s="6">
        <v>3</v>
      </c>
      <c r="F5079" s="6">
        <v>1</v>
      </c>
      <c r="G5079" s="6" t="s">
        <v>41</v>
      </c>
      <c r="H5079" s="6" t="s">
        <v>27</v>
      </c>
      <c r="I5079" s="6">
        <f>TabJogos[[#This Row],[PontosTime1]]-TabJogos[[#This Row],[PontosTime2]]</f>
        <v>2</v>
      </c>
    </row>
    <row r="5080" spans="1:9" ht="15" customHeight="1" x14ac:dyDescent="0.25">
      <c r="A5080" s="7">
        <v>5041</v>
      </c>
      <c r="B5080" s="1">
        <v>43860</v>
      </c>
      <c r="C5080" s="6" t="s">
        <v>11</v>
      </c>
      <c r="D5080" s="6" t="s">
        <v>10</v>
      </c>
      <c r="E5080" s="6">
        <v>3</v>
      </c>
      <c r="F5080" s="6">
        <v>1</v>
      </c>
      <c r="G5080" s="6" t="s">
        <v>18</v>
      </c>
      <c r="H5080" s="6" t="s">
        <v>13</v>
      </c>
      <c r="I5080" s="6">
        <f>TabJogos[[#This Row],[PontosTime1]]-TabJogos[[#This Row],[PontosTime2]]</f>
        <v>2</v>
      </c>
    </row>
    <row r="5081" spans="1:9" ht="15" customHeight="1" x14ac:dyDescent="0.25">
      <c r="A5081" s="7">
        <v>5042</v>
      </c>
      <c r="B5081" s="1">
        <v>43860</v>
      </c>
      <c r="C5081" s="6" t="s">
        <v>11</v>
      </c>
      <c r="D5081" s="6" t="s">
        <v>41</v>
      </c>
      <c r="E5081" s="6">
        <v>2</v>
      </c>
      <c r="F5081" s="6">
        <v>4</v>
      </c>
      <c r="G5081" s="6" t="s">
        <v>10</v>
      </c>
      <c r="H5081" s="6" t="s">
        <v>27</v>
      </c>
      <c r="I5081" s="6">
        <f>TabJogos[[#This Row],[PontosTime1]]-TabJogos[[#This Row],[PontosTime2]]</f>
        <v>-2</v>
      </c>
    </row>
    <row r="5082" spans="1:9" ht="15" customHeight="1" x14ac:dyDescent="0.25">
      <c r="A5082" s="7">
        <v>5043</v>
      </c>
      <c r="B5082" s="1">
        <v>43860</v>
      </c>
      <c r="C5082" s="6" t="s">
        <v>27</v>
      </c>
      <c r="D5082" s="6" t="s">
        <v>18</v>
      </c>
      <c r="E5082" s="6">
        <v>3</v>
      </c>
      <c r="F5082" s="6">
        <v>0</v>
      </c>
      <c r="G5082" s="6" t="s">
        <v>13</v>
      </c>
      <c r="H5082" s="6" t="s">
        <v>10</v>
      </c>
      <c r="I5082" s="6">
        <f>TabJogos[[#This Row],[PontosTime1]]-TabJogos[[#This Row],[PontosTime2]]</f>
        <v>3</v>
      </c>
    </row>
    <row r="5083" spans="1:9" ht="15" customHeight="1" x14ac:dyDescent="0.25">
      <c r="A5083" s="7">
        <v>5044</v>
      </c>
      <c r="B5083" s="1">
        <v>43860</v>
      </c>
      <c r="C5083" s="6" t="s">
        <v>11</v>
      </c>
      <c r="D5083" s="6" t="s">
        <v>27</v>
      </c>
      <c r="E5083" s="6">
        <v>3</v>
      </c>
      <c r="F5083" s="6">
        <v>1</v>
      </c>
      <c r="G5083" s="6" t="s">
        <v>18</v>
      </c>
      <c r="H5083" s="6" t="s">
        <v>41</v>
      </c>
      <c r="I5083" s="6">
        <f>TabJogos[[#This Row],[PontosTime1]]-TabJogos[[#This Row],[PontosTime2]]</f>
        <v>2</v>
      </c>
    </row>
    <row r="5084" spans="1:9" ht="15" customHeight="1" x14ac:dyDescent="0.25">
      <c r="A5084" s="7">
        <v>5045</v>
      </c>
      <c r="B5084" s="1">
        <v>43860</v>
      </c>
      <c r="C5084" s="6" t="s">
        <v>11</v>
      </c>
      <c r="D5084" s="6" t="s">
        <v>41</v>
      </c>
      <c r="E5084" s="6">
        <v>3</v>
      </c>
      <c r="F5084" s="6">
        <v>1</v>
      </c>
      <c r="G5084" s="6" t="s">
        <v>13</v>
      </c>
      <c r="H5084" s="6" t="s">
        <v>27</v>
      </c>
      <c r="I5084" s="6">
        <f>TabJogos[[#This Row],[PontosTime1]]-TabJogos[[#This Row],[PontosTime2]]</f>
        <v>2</v>
      </c>
    </row>
    <row r="5085" spans="1:9" ht="15" customHeight="1" x14ac:dyDescent="0.25">
      <c r="A5085" s="7">
        <v>5046</v>
      </c>
      <c r="B5085" s="1">
        <v>43860</v>
      </c>
      <c r="C5085" s="6" t="s">
        <v>11</v>
      </c>
      <c r="D5085" s="6" t="s">
        <v>18</v>
      </c>
      <c r="E5085" s="6">
        <v>5</v>
      </c>
      <c r="F5085" s="6">
        <v>2</v>
      </c>
      <c r="G5085" s="6" t="s">
        <v>13</v>
      </c>
      <c r="H5085" s="6" t="s">
        <v>41</v>
      </c>
      <c r="I5085" s="6">
        <f>TabJogos[[#This Row],[PontosTime1]]-TabJogos[[#This Row],[PontosTime2]]</f>
        <v>3</v>
      </c>
    </row>
    <row r="5086" spans="1:9" ht="15" customHeight="1" x14ac:dyDescent="0.25">
      <c r="A5086" s="7">
        <v>5047</v>
      </c>
      <c r="B5086" s="1">
        <v>43860</v>
      </c>
      <c r="C5086" s="6" t="s">
        <v>11</v>
      </c>
      <c r="D5086" s="6" t="s">
        <v>27</v>
      </c>
      <c r="E5086" s="6">
        <v>3</v>
      </c>
      <c r="F5086" s="6">
        <v>2</v>
      </c>
      <c r="G5086" s="6" t="s">
        <v>18</v>
      </c>
      <c r="H5086" s="6" t="s">
        <v>41</v>
      </c>
      <c r="I5086" s="6">
        <f>TabJogos[[#This Row],[PontosTime1]]-TabJogos[[#This Row],[PontosTime2]]</f>
        <v>1</v>
      </c>
    </row>
    <row r="5087" spans="1:9" ht="15" customHeight="1" x14ac:dyDescent="0.25">
      <c r="A5087" s="7">
        <v>5048</v>
      </c>
      <c r="B5087" s="1">
        <v>43861</v>
      </c>
      <c r="C5087" s="6" t="s">
        <v>18</v>
      </c>
      <c r="D5087" s="6" t="s">
        <v>9</v>
      </c>
      <c r="E5087" s="6">
        <v>3</v>
      </c>
      <c r="F5087" s="6">
        <v>1</v>
      </c>
      <c r="G5087" s="6" t="s">
        <v>10</v>
      </c>
      <c r="H5087" s="6" t="s">
        <v>11</v>
      </c>
      <c r="I5087" s="6">
        <f>TabJogos[[#This Row],[PontosTime1]]-TabJogos[[#This Row],[PontosTime2]]</f>
        <v>2</v>
      </c>
    </row>
    <row r="5088" spans="1:9" ht="15" customHeight="1" x14ac:dyDescent="0.25">
      <c r="A5088" s="7">
        <v>5049</v>
      </c>
      <c r="B5088" s="1">
        <v>43861</v>
      </c>
      <c r="C5088" s="6" t="s">
        <v>27</v>
      </c>
      <c r="D5088" s="6" t="s">
        <v>9</v>
      </c>
      <c r="E5088" s="6">
        <v>3</v>
      </c>
      <c r="F5088" s="6">
        <v>0</v>
      </c>
      <c r="G5088" s="6" t="s">
        <v>13</v>
      </c>
      <c r="H5088" s="6" t="s">
        <v>18</v>
      </c>
      <c r="I5088" s="6">
        <f>TabJogos[[#This Row],[PontosTime1]]-TabJogos[[#This Row],[PontosTime2]]</f>
        <v>3</v>
      </c>
    </row>
    <row r="5089" spans="1:9" ht="15" customHeight="1" x14ac:dyDescent="0.25">
      <c r="A5089" s="7">
        <v>5050</v>
      </c>
      <c r="B5089" s="1">
        <v>43861</v>
      </c>
      <c r="C5089" s="6" t="s">
        <v>11</v>
      </c>
      <c r="D5089" s="6" t="s">
        <v>9</v>
      </c>
      <c r="E5089" s="6">
        <v>3</v>
      </c>
      <c r="F5089" s="6">
        <v>1</v>
      </c>
      <c r="G5089" s="6" t="s">
        <v>27</v>
      </c>
      <c r="H5089" s="6" t="s">
        <v>10</v>
      </c>
      <c r="I5089" s="6">
        <f>TabJogos[[#This Row],[PontosTime1]]-TabJogos[[#This Row],[PontosTime2]]</f>
        <v>2</v>
      </c>
    </row>
    <row r="5090" spans="1:9" ht="15" customHeight="1" x14ac:dyDescent="0.25">
      <c r="A5090" s="7">
        <v>5051</v>
      </c>
      <c r="B5090" s="1">
        <v>43861</v>
      </c>
      <c r="C5090" s="6" t="s">
        <v>11</v>
      </c>
      <c r="D5090" s="6" t="s">
        <v>18</v>
      </c>
      <c r="E5090" s="6">
        <v>0</v>
      </c>
      <c r="F5090" s="6">
        <v>3</v>
      </c>
      <c r="G5090" s="6" t="s">
        <v>9</v>
      </c>
      <c r="H5090" s="6" t="s">
        <v>13</v>
      </c>
      <c r="I5090" s="6">
        <f>TabJogos[[#This Row],[PontosTime1]]-TabJogos[[#This Row],[PontosTime2]]</f>
        <v>-3</v>
      </c>
    </row>
    <row r="5091" spans="1:9" ht="15" customHeight="1" x14ac:dyDescent="0.25">
      <c r="A5091" s="7">
        <v>5052</v>
      </c>
      <c r="B5091" s="1">
        <v>43861</v>
      </c>
      <c r="C5091" s="6" t="s">
        <v>27</v>
      </c>
      <c r="D5091" s="6" t="s">
        <v>13</v>
      </c>
      <c r="E5091" s="6">
        <v>0</v>
      </c>
      <c r="F5091" s="6">
        <v>4</v>
      </c>
      <c r="G5091" s="6" t="s">
        <v>9</v>
      </c>
      <c r="H5091" s="6" t="s">
        <v>10</v>
      </c>
      <c r="I5091" s="6">
        <f>TabJogos[[#This Row],[PontosTime1]]-TabJogos[[#This Row],[PontosTime2]]</f>
        <v>-4</v>
      </c>
    </row>
    <row r="5092" spans="1:9" ht="15" customHeight="1" x14ac:dyDescent="0.25">
      <c r="A5092" s="7">
        <v>5053</v>
      </c>
      <c r="B5092" s="1">
        <v>43861</v>
      </c>
      <c r="C5092" s="6" t="s">
        <v>18</v>
      </c>
      <c r="D5092" s="6" t="s">
        <v>10</v>
      </c>
      <c r="E5092" s="6">
        <v>3</v>
      </c>
      <c r="F5092" s="6">
        <v>2</v>
      </c>
      <c r="G5092" s="6" t="s">
        <v>11</v>
      </c>
      <c r="H5092" s="6" t="s">
        <v>9</v>
      </c>
      <c r="I5092" s="6">
        <f>TabJogos[[#This Row],[PontosTime1]]-TabJogos[[#This Row],[PontosTime2]]</f>
        <v>1</v>
      </c>
    </row>
    <row r="5093" spans="1:9" ht="15" customHeight="1" x14ac:dyDescent="0.25">
      <c r="A5093" s="7">
        <v>5054</v>
      </c>
      <c r="B5093" s="1">
        <v>43861</v>
      </c>
      <c r="C5093" s="6" t="s">
        <v>18</v>
      </c>
      <c r="D5093" s="6" t="s">
        <v>27</v>
      </c>
      <c r="E5093" s="6">
        <v>3</v>
      </c>
      <c r="F5093" s="6">
        <v>0</v>
      </c>
      <c r="G5093" s="6" t="s">
        <v>13</v>
      </c>
      <c r="H5093" s="6" t="s">
        <v>10</v>
      </c>
      <c r="I5093" s="6">
        <f>TabJogos[[#This Row],[PontosTime1]]-TabJogos[[#This Row],[PontosTime2]]</f>
        <v>3</v>
      </c>
    </row>
    <row r="5094" spans="1:9" ht="15" customHeight="1" x14ac:dyDescent="0.25">
      <c r="A5094" s="7">
        <v>5055</v>
      </c>
      <c r="B5094" s="1">
        <v>43861</v>
      </c>
      <c r="C5094" s="6" t="s">
        <v>18</v>
      </c>
      <c r="D5094" s="6" t="s">
        <v>9</v>
      </c>
      <c r="E5094" s="6">
        <v>1</v>
      </c>
      <c r="F5094" s="6">
        <v>3</v>
      </c>
      <c r="G5094" s="6" t="s">
        <v>11</v>
      </c>
      <c r="H5094" s="6" t="s">
        <v>27</v>
      </c>
      <c r="I5094" s="6">
        <f>TabJogos[[#This Row],[PontosTime1]]-TabJogos[[#This Row],[PontosTime2]]</f>
        <v>-2</v>
      </c>
    </row>
    <row r="5095" spans="1:9" ht="15" customHeight="1" x14ac:dyDescent="0.25">
      <c r="A5095" s="7">
        <v>5056</v>
      </c>
      <c r="B5095" s="1">
        <v>43861</v>
      </c>
      <c r="C5095" s="6" t="s">
        <v>11</v>
      </c>
      <c r="D5095" s="6" t="s">
        <v>13</v>
      </c>
      <c r="E5095" s="6">
        <v>4</v>
      </c>
      <c r="F5095" s="6">
        <v>1</v>
      </c>
      <c r="G5095" s="6" t="s">
        <v>10</v>
      </c>
      <c r="H5095" s="6" t="s">
        <v>27</v>
      </c>
      <c r="I5095" s="6">
        <f>TabJogos[[#This Row],[PontosTime1]]-TabJogos[[#This Row],[PontosTime2]]</f>
        <v>3</v>
      </c>
    </row>
    <row r="5096" spans="1:9" ht="15" customHeight="1" x14ac:dyDescent="0.25">
      <c r="A5096" s="7">
        <v>5057</v>
      </c>
      <c r="B5096" s="1">
        <v>43861</v>
      </c>
      <c r="C5096" s="6" t="s">
        <v>11</v>
      </c>
      <c r="D5096" s="6" t="s">
        <v>18</v>
      </c>
      <c r="E5096" s="6">
        <v>3</v>
      </c>
      <c r="F5096" s="6">
        <v>2</v>
      </c>
      <c r="G5096" s="6" t="s">
        <v>13</v>
      </c>
      <c r="H5096" s="6" t="s">
        <v>27</v>
      </c>
      <c r="I5096" s="6">
        <f>TabJogos[[#This Row],[PontosTime1]]-TabJogos[[#This Row],[PontosTime2]]</f>
        <v>1</v>
      </c>
    </row>
    <row r="5097" spans="1:9" ht="15" customHeight="1" x14ac:dyDescent="0.25">
      <c r="A5097" s="7">
        <v>5058</v>
      </c>
      <c r="B5097" s="1">
        <v>43861</v>
      </c>
      <c r="C5097" s="6" t="s">
        <v>11</v>
      </c>
      <c r="D5097" s="6" t="s">
        <v>27</v>
      </c>
      <c r="E5097" s="6">
        <v>3</v>
      </c>
      <c r="F5097" s="6">
        <v>2</v>
      </c>
      <c r="G5097" s="6" t="s">
        <v>13</v>
      </c>
      <c r="H5097" s="6" t="s">
        <v>18</v>
      </c>
      <c r="I5097" s="6">
        <f>TabJogos[[#This Row],[PontosTime1]]-TabJogos[[#This Row],[PontosTime2]]</f>
        <v>1</v>
      </c>
    </row>
    <row r="5098" spans="1:9" ht="15" customHeight="1" x14ac:dyDescent="0.25">
      <c r="A5098" s="7">
        <v>5059</v>
      </c>
      <c r="B5098" s="1">
        <v>43861</v>
      </c>
      <c r="C5098" s="6" t="s">
        <v>11</v>
      </c>
      <c r="D5098" s="6" t="s">
        <v>13</v>
      </c>
      <c r="E5098" s="6">
        <v>2</v>
      </c>
      <c r="F5098" s="6">
        <v>3</v>
      </c>
      <c r="G5098" s="6" t="s">
        <v>18</v>
      </c>
      <c r="H5098" s="6" t="s">
        <v>27</v>
      </c>
      <c r="I5098" s="6">
        <f>TabJogos[[#This Row],[PontosTime1]]-TabJogos[[#This Row],[PontosTime2]]</f>
        <v>-1</v>
      </c>
    </row>
    <row r="5099" spans="1:9" ht="15" customHeight="1" x14ac:dyDescent="0.25">
      <c r="A5099" s="7">
        <v>5060</v>
      </c>
      <c r="I5099" s="6"/>
    </row>
    <row r="5100" spans="1:9" ht="15" customHeight="1" x14ac:dyDescent="0.25">
      <c r="A5100" s="7">
        <v>5061</v>
      </c>
      <c r="I5100" s="6">
        <f>TabJogos[[#This Row],[PontosTime1]]-TabJogos[[#This Row],[PontosTime2]]</f>
        <v>0</v>
      </c>
    </row>
    <row r="5101" spans="1:9" ht="15" customHeight="1" x14ac:dyDescent="0.25">
      <c r="A5101" s="7">
        <v>5062</v>
      </c>
      <c r="I5101" s="6">
        <f>TabJogos[[#This Row],[PontosTime1]]-TabJogos[[#This Row],[PontosTime2]]</f>
        <v>0</v>
      </c>
    </row>
    <row r="5102" spans="1:9" ht="15" customHeight="1" x14ac:dyDescent="0.25">
      <c r="A5102" s="7">
        <v>5063</v>
      </c>
      <c r="I5102" s="6">
        <f>TabJogos[[#This Row],[PontosTime1]]-TabJogos[[#This Row],[PontosTime2]]</f>
        <v>0</v>
      </c>
    </row>
    <row r="5103" spans="1:9" ht="15" customHeight="1" x14ac:dyDescent="0.25">
      <c r="A5103" s="7">
        <v>5064</v>
      </c>
      <c r="I5103" s="6">
        <f>TabJogos[[#This Row],[PontosTime1]]-TabJogos[[#This Row],[PontosTime2]]</f>
        <v>0</v>
      </c>
    </row>
    <row r="5104" spans="1:9" ht="15" customHeight="1" x14ac:dyDescent="0.25">
      <c r="A5104" s="7">
        <v>5065</v>
      </c>
      <c r="I5104" s="6">
        <f>TabJogos[[#This Row],[PontosTime1]]-TabJogos[[#This Row],[PontosTime2]]</f>
        <v>0</v>
      </c>
    </row>
    <row r="5105" spans="1:9" ht="15" customHeight="1" x14ac:dyDescent="0.25">
      <c r="A5105" s="7">
        <v>5066</v>
      </c>
      <c r="I5105" s="6">
        <f>TabJogos[[#This Row],[PontosTime1]]-TabJogos[[#This Row],[PontosTime2]]</f>
        <v>0</v>
      </c>
    </row>
    <row r="5106" spans="1:9" ht="15" customHeight="1" x14ac:dyDescent="0.25">
      <c r="A5106" s="7">
        <v>5067</v>
      </c>
      <c r="I5106" s="6">
        <f>TabJogos[[#This Row],[PontosTime1]]-TabJogos[[#This Row],[PontosTime2]]</f>
        <v>0</v>
      </c>
    </row>
    <row r="5107" spans="1:9" ht="15" customHeight="1" x14ac:dyDescent="0.25">
      <c r="A5107" s="7">
        <v>5068</v>
      </c>
      <c r="I5107" s="6">
        <f>TabJogos[[#This Row],[PontosTime1]]-TabJogos[[#This Row],[PontosTime2]]</f>
        <v>0</v>
      </c>
    </row>
    <row r="5108" spans="1:9" ht="15" customHeight="1" x14ac:dyDescent="0.25">
      <c r="A5108" s="7">
        <v>5069</v>
      </c>
      <c r="I5108" s="6">
        <f>TabJogos[[#This Row],[PontosTime1]]-TabJogos[[#This Row],[PontosTime2]]</f>
        <v>0</v>
      </c>
    </row>
    <row r="5109" spans="1:9" ht="15" customHeight="1" x14ac:dyDescent="0.25">
      <c r="A5109" s="7">
        <v>5070</v>
      </c>
      <c r="I5109" s="6">
        <f>TabJogos[[#This Row],[PontosTime1]]-TabJogos[[#This Row],[PontosTime2]]</f>
        <v>0</v>
      </c>
    </row>
    <row r="5110" spans="1:9" ht="15" customHeight="1" x14ac:dyDescent="0.25">
      <c r="A5110" s="7">
        <v>5071</v>
      </c>
      <c r="I5110" s="6">
        <f>TabJogos[[#This Row],[PontosTime1]]-TabJogos[[#This Row],[PontosTime2]]</f>
        <v>0</v>
      </c>
    </row>
    <row r="5111" spans="1:9" ht="15" customHeight="1" x14ac:dyDescent="0.25">
      <c r="A5111" s="7">
        <v>5072</v>
      </c>
      <c r="I5111" s="6">
        <f>TabJogos[[#This Row],[PontosTime1]]-TabJogos[[#This Row],[PontosTime2]]</f>
        <v>0</v>
      </c>
    </row>
    <row r="5112" spans="1:9" ht="15" customHeight="1" x14ac:dyDescent="0.25">
      <c r="A5112" s="7">
        <v>5073</v>
      </c>
      <c r="I5112" s="6">
        <f>TabJogos[[#This Row],[PontosTime1]]-TabJogos[[#This Row],[PontosTime2]]</f>
        <v>0</v>
      </c>
    </row>
    <row r="5113" spans="1:9" ht="15" customHeight="1" x14ac:dyDescent="0.25">
      <c r="A5113" s="7">
        <v>5074</v>
      </c>
      <c r="I5113" s="6">
        <f>TabJogos[[#This Row],[PontosTime1]]-TabJogos[[#This Row],[PontosTime2]]</f>
        <v>0</v>
      </c>
    </row>
    <row r="5114" spans="1:9" ht="15" customHeight="1" x14ac:dyDescent="0.25">
      <c r="A5114" s="7">
        <v>5075</v>
      </c>
      <c r="I5114" s="6">
        <f>TabJogos[[#This Row],[PontosTime1]]-TabJogos[[#This Row],[PontosTime2]]</f>
        <v>0</v>
      </c>
    </row>
    <row r="5115" spans="1:9" ht="15" customHeight="1" x14ac:dyDescent="0.25">
      <c r="A5115" s="7">
        <v>5076</v>
      </c>
      <c r="I5115" s="6">
        <f>TabJogos[[#This Row],[PontosTime1]]-TabJogos[[#This Row],[PontosTime2]]</f>
        <v>0</v>
      </c>
    </row>
    <row r="5116" spans="1:9" ht="15" customHeight="1" x14ac:dyDescent="0.25">
      <c r="A5116" s="7">
        <v>5077</v>
      </c>
      <c r="I5116" s="6">
        <f>TabJogos[[#This Row],[PontosTime1]]-TabJogos[[#This Row],[PontosTime2]]</f>
        <v>0</v>
      </c>
    </row>
    <row r="5117" spans="1:9" ht="15" customHeight="1" x14ac:dyDescent="0.25">
      <c r="A5117" s="7">
        <v>5078</v>
      </c>
      <c r="I5117" s="6">
        <f>TabJogos[[#This Row],[PontosTime1]]-TabJogos[[#This Row],[PontosTime2]]</f>
        <v>0</v>
      </c>
    </row>
    <row r="5118" spans="1:9" ht="15" customHeight="1" x14ac:dyDescent="0.25">
      <c r="A5118" s="7">
        <v>5079</v>
      </c>
      <c r="I5118" s="6">
        <f>TabJogos[[#This Row],[PontosTime1]]-TabJogos[[#This Row],[PontosTime2]]</f>
        <v>0</v>
      </c>
    </row>
    <row r="5119" spans="1:9" ht="15" customHeight="1" x14ac:dyDescent="0.25">
      <c r="A5119" s="7">
        <v>5080</v>
      </c>
      <c r="I5119" s="6">
        <f>TabJogos[[#This Row],[PontosTime1]]-TabJogos[[#This Row],[PontosTime2]]</f>
        <v>0</v>
      </c>
    </row>
    <row r="5120" spans="1:9" ht="15" customHeight="1" x14ac:dyDescent="0.25">
      <c r="A5120" s="7">
        <v>5081</v>
      </c>
      <c r="I5120" s="6">
        <f>TabJogos[[#This Row],[PontosTime1]]-TabJogos[[#This Row],[PontosTime2]]</f>
        <v>0</v>
      </c>
    </row>
    <row r="5121" spans="1:9" ht="15" customHeight="1" x14ac:dyDescent="0.25">
      <c r="A5121" s="7">
        <v>5082</v>
      </c>
      <c r="I5121" s="6"/>
    </row>
    <row r="5122" spans="1:9" ht="15" customHeight="1" x14ac:dyDescent="0.25">
      <c r="A5122" s="7">
        <v>5083</v>
      </c>
      <c r="I5122" s="6"/>
    </row>
    <row r="5123" spans="1:9" ht="15" customHeight="1" x14ac:dyDescent="0.25">
      <c r="A5123" s="7">
        <v>5084</v>
      </c>
      <c r="I5123" s="6"/>
    </row>
    <row r="5124" spans="1:9" ht="15" customHeight="1" x14ac:dyDescent="0.25">
      <c r="A5124" s="7">
        <v>5085</v>
      </c>
      <c r="I5124" s="6"/>
    </row>
    <row r="5125" spans="1:9" ht="15" customHeight="1" x14ac:dyDescent="0.25">
      <c r="A5125" s="7">
        <v>5086</v>
      </c>
      <c r="I5125" s="6"/>
    </row>
    <row r="5126" spans="1:9" ht="15" customHeight="1" x14ac:dyDescent="0.25">
      <c r="A5126" s="7">
        <v>5087</v>
      </c>
      <c r="I5126" s="6"/>
    </row>
    <row r="5127" spans="1:9" ht="15" customHeight="1" x14ac:dyDescent="0.25">
      <c r="A5127" s="7">
        <v>5088</v>
      </c>
      <c r="I5127" s="6"/>
    </row>
    <row r="5128" spans="1:9" ht="15" customHeight="1" x14ac:dyDescent="0.25">
      <c r="A5128" s="7">
        <v>5089</v>
      </c>
      <c r="I5128" s="6"/>
    </row>
    <row r="5129" spans="1:9" ht="15" customHeight="1" x14ac:dyDescent="0.25">
      <c r="A5129" s="7">
        <v>5090</v>
      </c>
      <c r="I5129" s="6"/>
    </row>
    <row r="5130" spans="1:9" ht="15" customHeight="1" x14ac:dyDescent="0.25">
      <c r="A5130" s="7">
        <v>5091</v>
      </c>
      <c r="I5130" s="6"/>
    </row>
    <row r="5131" spans="1:9" ht="15" customHeight="1" x14ac:dyDescent="0.25">
      <c r="A5131" s="7">
        <v>5092</v>
      </c>
      <c r="I5131" s="6"/>
    </row>
    <row r="5132" spans="1:9" ht="15" customHeight="1" x14ac:dyDescent="0.25">
      <c r="A5132" s="7">
        <v>5093</v>
      </c>
      <c r="I5132" s="6"/>
    </row>
    <row r="5133" spans="1:9" ht="15" customHeight="1" x14ac:dyDescent="0.25">
      <c r="A5133" s="7">
        <v>5094</v>
      </c>
      <c r="I5133" s="6"/>
    </row>
    <row r="5134" spans="1:9" ht="15" customHeight="1" x14ac:dyDescent="0.25">
      <c r="I5134" s="6"/>
    </row>
    <row r="5135" spans="1:9" ht="15" customHeight="1" x14ac:dyDescent="0.25">
      <c r="I5135" s="6"/>
    </row>
    <row r="5136" spans="1:9" ht="15" customHeight="1" x14ac:dyDescent="0.25">
      <c r="I5136" s="6"/>
    </row>
    <row r="5137" spans="9:9" ht="15" customHeight="1" x14ac:dyDescent="0.25">
      <c r="I5137" s="6"/>
    </row>
    <row r="5138" spans="9:9" ht="15" customHeight="1" x14ac:dyDescent="0.25">
      <c r="I5138" s="6"/>
    </row>
    <row r="5139" spans="9:9" ht="15" customHeight="1" x14ac:dyDescent="0.25">
      <c r="I5139" s="6"/>
    </row>
    <row r="5140" spans="9:9" ht="15" customHeight="1" x14ac:dyDescent="0.25">
      <c r="I5140" s="6"/>
    </row>
    <row r="5141" spans="9:9" ht="15" customHeight="1" x14ac:dyDescent="0.25">
      <c r="I5141" s="6"/>
    </row>
    <row r="5142" spans="9:9" ht="15" customHeight="1" x14ac:dyDescent="0.25">
      <c r="I5142" s="6"/>
    </row>
    <row r="5143" spans="9:9" ht="15" customHeight="1" x14ac:dyDescent="0.25">
      <c r="I5143" s="6"/>
    </row>
    <row r="5144" spans="9:9" ht="15" customHeight="1" x14ac:dyDescent="0.25">
      <c r="I5144" s="6"/>
    </row>
    <row r="5145" spans="9:9" ht="15" customHeight="1" x14ac:dyDescent="0.25">
      <c r="I5145" s="6"/>
    </row>
    <row r="5146" spans="9:9" ht="15" customHeight="1" x14ac:dyDescent="0.25">
      <c r="I5146" s="6"/>
    </row>
    <row r="5147" spans="9:9" ht="15" customHeight="1" x14ac:dyDescent="0.25">
      <c r="I5147" s="6"/>
    </row>
    <row r="5148" spans="9:9" ht="15" customHeight="1" x14ac:dyDescent="0.25">
      <c r="I5148" s="6"/>
    </row>
    <row r="5149" spans="9:9" ht="15" customHeight="1" x14ac:dyDescent="0.25">
      <c r="I5149" s="6"/>
    </row>
    <row r="5150" spans="9:9" ht="15" customHeight="1" x14ac:dyDescent="0.25">
      <c r="I5150" s="6"/>
    </row>
    <row r="5151" spans="9:9" ht="15" customHeight="1" x14ac:dyDescent="0.25">
      <c r="I5151" s="6"/>
    </row>
    <row r="5152" spans="9:9" ht="15" customHeight="1" x14ac:dyDescent="0.25">
      <c r="I5152" s="6"/>
    </row>
    <row r="5153" spans="9:9" ht="15" customHeight="1" x14ac:dyDescent="0.25">
      <c r="I5153" s="6"/>
    </row>
    <row r="5154" spans="9:9" ht="15" customHeight="1" x14ac:dyDescent="0.25">
      <c r="I5154" s="6"/>
    </row>
    <row r="5155" spans="9:9" ht="15" customHeight="1" x14ac:dyDescent="0.25">
      <c r="I5155" s="6"/>
    </row>
    <row r="5156" spans="9:9" ht="15" customHeight="1" x14ac:dyDescent="0.25">
      <c r="I5156" s="6"/>
    </row>
    <row r="5157" spans="9:9" ht="15" customHeight="1" x14ac:dyDescent="0.25">
      <c r="I5157" s="6"/>
    </row>
    <row r="5158" spans="9:9" ht="15" customHeight="1" x14ac:dyDescent="0.25">
      <c r="I5158" s="6"/>
    </row>
    <row r="5159" spans="9:9" ht="15" customHeight="1" x14ac:dyDescent="0.25">
      <c r="I5159" s="6"/>
    </row>
    <row r="5160" spans="9:9" ht="15" customHeight="1" x14ac:dyDescent="0.25">
      <c r="I5160" s="6"/>
    </row>
    <row r="5161" spans="9:9" ht="15" customHeight="1" x14ac:dyDescent="0.25">
      <c r="I5161" s="6"/>
    </row>
    <row r="5162" spans="9:9" ht="15" customHeight="1" x14ac:dyDescent="0.25">
      <c r="I5162" s="6"/>
    </row>
    <row r="5163" spans="9:9" ht="15" customHeight="1" x14ac:dyDescent="0.25">
      <c r="I5163" s="6"/>
    </row>
    <row r="5164" spans="9:9" ht="15" customHeight="1" x14ac:dyDescent="0.25">
      <c r="I5164" s="6"/>
    </row>
    <row r="5165" spans="9:9" ht="15" customHeight="1" x14ac:dyDescent="0.25">
      <c r="I5165" s="6"/>
    </row>
    <row r="5166" spans="9:9" ht="15" customHeight="1" x14ac:dyDescent="0.25">
      <c r="I5166" s="6"/>
    </row>
    <row r="5167" spans="9:9" ht="15" customHeight="1" x14ac:dyDescent="0.25">
      <c r="I5167" s="6"/>
    </row>
    <row r="5168" spans="9:9" ht="15" customHeight="1" x14ac:dyDescent="0.25">
      <c r="I5168" s="6"/>
    </row>
    <row r="5169" spans="9:9" ht="15" customHeight="1" x14ac:dyDescent="0.25">
      <c r="I5169" s="6"/>
    </row>
    <row r="5170" spans="9:9" ht="15" customHeight="1" x14ac:dyDescent="0.25">
      <c r="I5170" s="6"/>
    </row>
    <row r="5171" spans="9:9" ht="15" customHeight="1" x14ac:dyDescent="0.25">
      <c r="I5171" s="6"/>
    </row>
    <row r="5172" spans="9:9" ht="15" customHeight="1" x14ac:dyDescent="0.25">
      <c r="I5172" s="6"/>
    </row>
    <row r="5173" spans="9:9" ht="15" customHeight="1" x14ac:dyDescent="0.25">
      <c r="I5173" s="6"/>
    </row>
    <row r="5174" spans="9:9" ht="15" customHeight="1" x14ac:dyDescent="0.25">
      <c r="I5174" s="6"/>
    </row>
    <row r="5175" spans="9:9" ht="15" customHeight="1" x14ac:dyDescent="0.25">
      <c r="I5175" s="6"/>
    </row>
    <row r="5176" spans="9:9" ht="15" customHeight="1" x14ac:dyDescent="0.25">
      <c r="I5176" s="6"/>
    </row>
    <row r="5177" spans="9:9" ht="15" customHeight="1" x14ac:dyDescent="0.25">
      <c r="I5177" s="6"/>
    </row>
    <row r="5178" spans="9:9" ht="15" customHeight="1" x14ac:dyDescent="0.25">
      <c r="I5178" s="6"/>
    </row>
    <row r="5179" spans="9:9" ht="15" customHeight="1" x14ac:dyDescent="0.25">
      <c r="I5179" s="6"/>
    </row>
    <row r="5180" spans="9:9" ht="15" customHeight="1" x14ac:dyDescent="0.25">
      <c r="I5180" s="6"/>
    </row>
    <row r="5181" spans="9:9" ht="15" customHeight="1" x14ac:dyDescent="0.25">
      <c r="I5181" s="6"/>
    </row>
    <row r="5182" spans="9:9" ht="15" customHeight="1" x14ac:dyDescent="0.25">
      <c r="I5182" s="6"/>
    </row>
    <row r="5183" spans="9:9" ht="15" customHeight="1" x14ac:dyDescent="0.25">
      <c r="I5183" s="6"/>
    </row>
    <row r="5184" spans="9:9" ht="15" customHeight="1" x14ac:dyDescent="0.25">
      <c r="I5184" s="6"/>
    </row>
    <row r="5185" spans="9:9" ht="15" customHeight="1" x14ac:dyDescent="0.25">
      <c r="I5185" s="6"/>
    </row>
    <row r="5186" spans="9:9" ht="15" customHeight="1" x14ac:dyDescent="0.25">
      <c r="I5186" s="6"/>
    </row>
    <row r="5187" spans="9:9" ht="15" customHeight="1" x14ac:dyDescent="0.25">
      <c r="I5187" s="6"/>
    </row>
    <row r="5188" spans="9:9" ht="15" customHeight="1" x14ac:dyDescent="0.25">
      <c r="I5188" s="6"/>
    </row>
    <row r="5189" spans="9:9" ht="15" customHeight="1" x14ac:dyDescent="0.25">
      <c r="I5189" s="6"/>
    </row>
    <row r="5190" spans="9:9" ht="15" customHeight="1" x14ac:dyDescent="0.25">
      <c r="I5190" s="6"/>
    </row>
    <row r="5191" spans="9:9" ht="15" customHeight="1" x14ac:dyDescent="0.25">
      <c r="I5191" s="6"/>
    </row>
    <row r="5192" spans="9:9" ht="15" customHeight="1" x14ac:dyDescent="0.25">
      <c r="I5192" s="6"/>
    </row>
    <row r="5193" spans="9:9" ht="15" customHeight="1" x14ac:dyDescent="0.25">
      <c r="I5193" s="6"/>
    </row>
    <row r="5194" spans="9:9" ht="15" customHeight="1" x14ac:dyDescent="0.25">
      <c r="I5194" s="6"/>
    </row>
    <row r="5195" spans="9:9" ht="15" customHeight="1" x14ac:dyDescent="0.25">
      <c r="I5195" s="6"/>
    </row>
    <row r="5196" spans="9:9" ht="15" customHeight="1" x14ac:dyDescent="0.25">
      <c r="I5196" s="6"/>
    </row>
    <row r="5197" spans="9:9" ht="15" customHeight="1" x14ac:dyDescent="0.25">
      <c r="I5197" s="6"/>
    </row>
    <row r="5198" spans="9:9" ht="15" customHeight="1" x14ac:dyDescent="0.25">
      <c r="I5198" s="6"/>
    </row>
    <row r="5199" spans="9:9" ht="15" customHeight="1" x14ac:dyDescent="0.25">
      <c r="I5199" s="6"/>
    </row>
    <row r="5200" spans="9:9" ht="15" customHeight="1" x14ac:dyDescent="0.25">
      <c r="I5200" s="6"/>
    </row>
    <row r="5201" spans="9:9" ht="15" customHeight="1" x14ac:dyDescent="0.25">
      <c r="I5201" s="6"/>
    </row>
    <row r="5202" spans="9:9" ht="15" customHeight="1" x14ac:dyDescent="0.25">
      <c r="I5202" s="6"/>
    </row>
    <row r="5203" spans="9:9" ht="15" customHeight="1" x14ac:dyDescent="0.25">
      <c r="I5203" s="6"/>
    </row>
    <row r="5204" spans="9:9" ht="15" customHeight="1" x14ac:dyDescent="0.25">
      <c r="I5204" s="6"/>
    </row>
    <row r="5205" spans="9:9" ht="15" customHeight="1" x14ac:dyDescent="0.25">
      <c r="I5205" s="6"/>
    </row>
    <row r="5206" spans="9:9" ht="15" customHeight="1" x14ac:dyDescent="0.25">
      <c r="I5206" s="6"/>
    </row>
    <row r="5207" spans="9:9" ht="15" customHeight="1" x14ac:dyDescent="0.25">
      <c r="I5207" s="6"/>
    </row>
    <row r="5208" spans="9:9" ht="15" customHeight="1" x14ac:dyDescent="0.25">
      <c r="I5208" s="6"/>
    </row>
    <row r="5209" spans="9:9" ht="15" customHeight="1" x14ac:dyDescent="0.25">
      <c r="I5209" s="6"/>
    </row>
    <row r="5210" spans="9:9" ht="15" customHeight="1" x14ac:dyDescent="0.25">
      <c r="I5210" s="6"/>
    </row>
    <row r="5211" spans="9:9" ht="15" customHeight="1" x14ac:dyDescent="0.25">
      <c r="I5211" s="6"/>
    </row>
    <row r="5212" spans="9:9" ht="15" customHeight="1" x14ac:dyDescent="0.25">
      <c r="I5212" s="6"/>
    </row>
    <row r="5213" spans="9:9" ht="15" customHeight="1" x14ac:dyDescent="0.25">
      <c r="I5213" s="6"/>
    </row>
    <row r="5214" spans="9:9" ht="15" customHeight="1" x14ac:dyDescent="0.25">
      <c r="I5214" s="6"/>
    </row>
    <row r="5215" spans="9:9" ht="15" customHeight="1" x14ac:dyDescent="0.25">
      <c r="I5215" s="6"/>
    </row>
    <row r="5216" spans="9:9" ht="15" customHeight="1" x14ac:dyDescent="0.25">
      <c r="I5216" s="6"/>
    </row>
    <row r="5217" spans="9:9" ht="15" customHeight="1" x14ac:dyDescent="0.25">
      <c r="I5217" s="6"/>
    </row>
    <row r="5218" spans="9:9" ht="15" customHeight="1" x14ac:dyDescent="0.25">
      <c r="I5218" s="6"/>
    </row>
    <row r="5219" spans="9:9" ht="15" customHeight="1" x14ac:dyDescent="0.25">
      <c r="I5219" s="6"/>
    </row>
    <row r="5220" spans="9:9" ht="15" customHeight="1" x14ac:dyDescent="0.25">
      <c r="I5220" s="6"/>
    </row>
    <row r="5221" spans="9:9" ht="15" customHeight="1" x14ac:dyDescent="0.25">
      <c r="I5221" s="6"/>
    </row>
    <row r="5222" spans="9:9" ht="15" customHeight="1" x14ac:dyDescent="0.25">
      <c r="I5222" s="6"/>
    </row>
    <row r="5223" spans="9:9" ht="15" customHeight="1" x14ac:dyDescent="0.25">
      <c r="I5223" s="6"/>
    </row>
    <row r="5224" spans="9:9" ht="15" customHeight="1" x14ac:dyDescent="0.25">
      <c r="I5224" s="6"/>
    </row>
    <row r="5225" spans="9:9" ht="15" customHeight="1" x14ac:dyDescent="0.25">
      <c r="I5225" s="6"/>
    </row>
    <row r="5226" spans="9:9" ht="15" customHeight="1" x14ac:dyDescent="0.25">
      <c r="I5226" s="6"/>
    </row>
    <row r="5227" spans="9:9" ht="15" customHeight="1" x14ac:dyDescent="0.25">
      <c r="I5227" s="6"/>
    </row>
    <row r="5228" spans="9:9" ht="15" customHeight="1" x14ac:dyDescent="0.25">
      <c r="I5228" s="6"/>
    </row>
    <row r="5229" spans="9:9" ht="15" customHeight="1" x14ac:dyDescent="0.25">
      <c r="I5229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cols>
    <col min="1" max="1" width="10.140625" bestFit="1" customWidth="1"/>
  </cols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tabSelected="1" workbookViewId="0">
      <pane ySplit="1" topLeftCell="A2" activePane="bottomLeft" state="frozenSplit"/>
      <selection activeCell="F1" sqref="F1 F1"/>
      <selection pane="bottomLeft" activeCell="B3" sqref="B3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9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9" s="5" customFormat="1" ht="12.75" customHeight="1" x14ac:dyDescent="0.25">
      <c r="A2" s="3" t="s">
        <v>29</v>
      </c>
      <c r="B2" s="3">
        <v>0</v>
      </c>
      <c r="C2" s="3">
        <v>0</v>
      </c>
      <c r="D2" s="3">
        <f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0</v>
      </c>
      <c r="E2" s="3">
        <f t="shared" ref="E2:E30" si="0">C2-D2</f>
        <v>0</v>
      </c>
      <c r="F2" s="17">
        <f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0</v>
      </c>
      <c r="G2" s="3">
        <f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0</v>
      </c>
      <c r="H2" s="4">
        <f t="shared" ref="H2:H30" si="1">IFERROR(C2/B2,-0.000001)</f>
        <v>-9.9999999999999995E-7</v>
      </c>
      <c r="I2" s="27">
        <f>IF(TabResultados3[[#This Row],[Jogos]]&lt;limite1,0,IF(TabResultados3[[#This Row],[Jogos]]&lt;=limite2,0.9+0.1*(TabResultados3[[#This Row],[Jogos]]-limite1)/limite1,1))</f>
        <v>0</v>
      </c>
      <c r="J2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M2" s="15"/>
      <c r="N2" s="15"/>
      <c r="P2" s="5" t="s">
        <v>67</v>
      </c>
      <c r="R2" s="5" t="s">
        <v>68</v>
      </c>
      <c r="S2" s="5">
        <v>20</v>
      </c>
    </row>
    <row r="3" spans="1:19" s="5" customFormat="1" ht="12.75" customHeight="1" x14ac:dyDescent="0.25">
      <c r="A3" s="3" t="s">
        <v>23</v>
      </c>
      <c r="B3" s="3">
        <f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0</v>
      </c>
      <c r="C3" s="3">
        <f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0</v>
      </c>
      <c r="D3" s="3">
        <f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0</v>
      </c>
      <c r="E3" s="3">
        <f t="shared" si="0"/>
        <v>0</v>
      </c>
      <c r="F3" s="17">
        <f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0</v>
      </c>
      <c r="G3" s="3">
        <f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0</v>
      </c>
      <c r="H3" s="4">
        <f t="shared" si="1"/>
        <v>-9.9999999999999995E-7</v>
      </c>
      <c r="I3" s="27">
        <f>IF(TabResultados3[[#This Row],[Jogos]]&lt;limite1,0,IF(TabResultados3[[#This Row],[Jogos]]&lt;=limite2,0.9+0.1*(TabResultados3[[#This Row],[Jogos]]-limite1)/limite1,1))</f>
        <v>0</v>
      </c>
      <c r="J3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L3" s="12" t="s">
        <v>53</v>
      </c>
      <c r="M3" s="14">
        <v>43831</v>
      </c>
      <c r="P3" s="5">
        <v>60</v>
      </c>
      <c r="R3" s="5" t="s">
        <v>69</v>
      </c>
      <c r="S3" s="5">
        <f>limite1+20</f>
        <v>40</v>
      </c>
    </row>
    <row r="4" spans="1:19" s="5" customFormat="1" ht="12.75" customHeight="1" x14ac:dyDescent="0.25">
      <c r="A4" s="3" t="s">
        <v>15</v>
      </c>
      <c r="B4" s="3">
        <f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si="0"/>
        <v>0</v>
      </c>
      <c r="F4" s="17">
        <f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si="1"/>
        <v>-9.9999999999999995E-7</v>
      </c>
      <c r="I4" s="27">
        <f>IF(TabResultados3[[#This Row],[Jogos]]&lt;limite1,0,IF(TabResultados3[[#This Row],[Jogos]]&lt;=limite2,0.9+0.1*(TabResultados3[[#This Row],[Jogos]]-limite1)/limite1,1))</f>
        <v>0</v>
      </c>
      <c r="J4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L4" s="12" t="s">
        <v>54</v>
      </c>
      <c r="M4" s="14">
        <v>43861</v>
      </c>
    </row>
    <row r="5" spans="1:19" s="5" customFormat="1" ht="12.75" customHeight="1" x14ac:dyDescent="0.25">
      <c r="A5" s="3" t="s">
        <v>32</v>
      </c>
      <c r="B5" s="3">
        <f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10</v>
      </c>
      <c r="C5" s="3">
        <f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</v>
      </c>
      <c r="D5" s="3">
        <f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7</v>
      </c>
      <c r="E5" s="3">
        <f t="shared" si="0"/>
        <v>-4</v>
      </c>
      <c r="F5" s="17">
        <f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</v>
      </c>
      <c r="G5" s="3">
        <f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-9</v>
      </c>
      <c r="H5" s="4">
        <f t="shared" si="1"/>
        <v>0.3</v>
      </c>
      <c r="I5" s="27">
        <f>IF(TabResultados3[[#This Row],[Jogos]]&lt;limite1,0,IF(TabResultados3[[#This Row],[Jogos]]&lt;=limite2,0.9+0.1*(TabResultados3[[#This Row],[Jogos]]-limite1)/limite1,1))</f>
        <v>0</v>
      </c>
      <c r="J5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5" s="28"/>
      <c r="M5" s="29"/>
      <c r="N5" s="29"/>
    </row>
    <row r="6" spans="1:19" s="5" customFormat="1" ht="12.75" customHeight="1" x14ac:dyDescent="0.25">
      <c r="A6" s="3" t="s">
        <v>27</v>
      </c>
      <c r="B6" s="3">
        <f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31</v>
      </c>
      <c r="C6" s="3">
        <f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22</v>
      </c>
      <c r="D6" s="3">
        <f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9</v>
      </c>
      <c r="E6" s="3">
        <f t="shared" si="0"/>
        <v>13</v>
      </c>
      <c r="F6" s="17">
        <f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</v>
      </c>
      <c r="G6" s="3">
        <f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28</v>
      </c>
      <c r="H6" s="4">
        <f t="shared" si="1"/>
        <v>0.70967741935483875</v>
      </c>
      <c r="I6" s="27">
        <f>IF(TabResultados3[[#This Row],[Jogos]]&lt;limite1,0,IF(TabResultados3[[#This Row],[Jogos]]&lt;=limite2,0.9+0.1*(TabResultados3[[#This Row],[Jogos]]-limite1)/limite1,1))</f>
        <v>0.95500000000000007</v>
      </c>
      <c r="J6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59.183333333333344</v>
      </c>
    </row>
    <row r="7" spans="1:19" s="5" customFormat="1" ht="12.75" customHeight="1" x14ac:dyDescent="0.25">
      <c r="A7" s="3" t="s">
        <v>11</v>
      </c>
      <c r="B7" s="3">
        <f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103</v>
      </c>
      <c r="C7" s="3">
        <f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64</v>
      </c>
      <c r="D7" s="3">
        <f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39</v>
      </c>
      <c r="E7" s="3">
        <f t="shared" si="0"/>
        <v>25</v>
      </c>
      <c r="F7" s="17">
        <f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17</v>
      </c>
      <c r="G7" s="3">
        <f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55</v>
      </c>
      <c r="H7" s="4">
        <f t="shared" si="1"/>
        <v>0.62135922330097082</v>
      </c>
      <c r="I7" s="27">
        <f>IF(TabResultados3[[#This Row],[Jogos]]&lt;limite1,0,IF(TabResultados3[[#This Row],[Jogos]]&lt;=limite2,0.9+0.1*(TabResultados3[[#This Row],[Jogos]]-limite1)/limite1,1))</f>
        <v>1</v>
      </c>
      <c r="J7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62.135922330097081</v>
      </c>
    </row>
    <row r="8" spans="1:19" s="5" customFormat="1" ht="12.75" customHeight="1" x14ac:dyDescent="0.25">
      <c r="A8" s="3" t="s">
        <v>17</v>
      </c>
      <c r="B8" s="3">
        <f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16</v>
      </c>
      <c r="C8" s="3">
        <f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</v>
      </c>
      <c r="D8" s="3">
        <f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</v>
      </c>
      <c r="E8" s="3">
        <f t="shared" si="0"/>
        <v>-2</v>
      </c>
      <c r="F8" s="17">
        <f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5</v>
      </c>
      <c r="G8" s="3">
        <f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8</v>
      </c>
      <c r="H8" s="4">
        <f t="shared" si="1"/>
        <v>0.4375</v>
      </c>
      <c r="I8" s="27">
        <f>IF(TabResultados3[[#This Row],[Jogos]]&lt;limite1,0,IF(TabResultados3[[#This Row],[Jogos]]&lt;=limite2,0.9+0.1*(TabResultados3[[#This Row],[Jogos]]-limite1)/limite1,1))</f>
        <v>0</v>
      </c>
      <c r="J8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9" spans="1:19" s="5" customFormat="1" ht="12.75" customHeight="1" x14ac:dyDescent="0.25">
      <c r="A9" s="3" t="s">
        <v>18</v>
      </c>
      <c r="B9" s="3">
        <f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104</v>
      </c>
      <c r="C9" s="3">
        <f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58</v>
      </c>
      <c r="D9" s="3">
        <f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46</v>
      </c>
      <c r="E9" s="3">
        <f t="shared" si="0"/>
        <v>12</v>
      </c>
      <c r="F9" s="17">
        <f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</v>
      </c>
      <c r="G9" s="3">
        <f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25</v>
      </c>
      <c r="H9" s="4">
        <f t="shared" si="1"/>
        <v>0.55769230769230771</v>
      </c>
      <c r="I9" s="27">
        <f>IF(TabResultados3[[#This Row],[Jogos]]&lt;limite1,0,IF(TabResultados3[[#This Row],[Jogos]]&lt;=limite2,0.9+0.1*(TabResultados3[[#This Row],[Jogos]]-limite1)/limite1,1))</f>
        <v>1</v>
      </c>
      <c r="J9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55.769230769230774</v>
      </c>
      <c r="K9" s="28"/>
      <c r="M9" s="29"/>
    </row>
    <row r="10" spans="1:19" s="5" customFormat="1" ht="12.75" customHeight="1" x14ac:dyDescent="0.25">
      <c r="A10" s="3" t="s">
        <v>16</v>
      </c>
      <c r="B10" s="3">
        <f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si="0"/>
        <v>0</v>
      </c>
      <c r="F10" s="17">
        <f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si="1"/>
        <v>-9.9999999999999995E-7</v>
      </c>
      <c r="I10" s="27">
        <f>IF(TabResultados3[[#This Row],[Jogos]]&lt;limite1,0,IF(TabResultados3[[#This Row],[Jogos]]&lt;=limite2,0.9+0.1*(TabResultados3[[#This Row],[Jogos]]-limite1)/limite1,1))</f>
        <v>0</v>
      </c>
      <c r="J10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10" s="28"/>
      <c r="M10" s="29"/>
    </row>
    <row r="11" spans="1:19" s="5" customFormat="1" ht="12.75" customHeight="1" x14ac:dyDescent="0.25">
      <c r="A11" s="3" t="s">
        <v>9</v>
      </c>
      <c r="B11" s="3">
        <f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55</v>
      </c>
      <c r="C11" s="3">
        <f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27</v>
      </c>
      <c r="D11" s="3">
        <f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28</v>
      </c>
      <c r="E11" s="3">
        <f t="shared" si="0"/>
        <v>-1</v>
      </c>
      <c r="F11" s="17">
        <f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13</v>
      </c>
      <c r="G11" s="3">
        <f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4</v>
      </c>
      <c r="H11" s="4">
        <f t="shared" si="1"/>
        <v>0.49090909090909091</v>
      </c>
      <c r="I11" s="27">
        <f>IF(TabResultados3[[#This Row],[Jogos]]&lt;limite1,0,IF(TabResultados3[[#This Row],[Jogos]]&lt;=limite2,0.9+0.1*(TabResultados3[[#This Row],[Jogos]]-limite1)/limite1,1))</f>
        <v>1</v>
      </c>
      <c r="J11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49.166666666666671</v>
      </c>
    </row>
    <row r="12" spans="1:19" s="5" customFormat="1" ht="12.75" customHeight="1" x14ac:dyDescent="0.25">
      <c r="A12" s="3" t="s">
        <v>41</v>
      </c>
      <c r="B12" s="3">
        <f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61</v>
      </c>
      <c r="C12" s="3">
        <f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19</v>
      </c>
      <c r="D12" s="3">
        <f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42</v>
      </c>
      <c r="E12" s="3">
        <f t="shared" si="0"/>
        <v>-23</v>
      </c>
      <c r="F12" s="17">
        <f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</v>
      </c>
      <c r="G12" s="3">
        <f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-58</v>
      </c>
      <c r="H12" s="4">
        <f t="shared" si="1"/>
        <v>0.31147540983606559</v>
      </c>
      <c r="I12" s="27">
        <f>IF(TabResultados3[[#This Row],[Jogos]]&lt;limite1,0,IF(TabResultados3[[#This Row],[Jogos]]&lt;=limite2,0.9+0.1*(TabResultados3[[#This Row],[Jogos]]-limite1)/limite1,1))</f>
        <v>1</v>
      </c>
      <c r="J12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31.147540983606557</v>
      </c>
      <c r="K12" s="28"/>
      <c r="M12" s="29"/>
    </row>
    <row r="13" spans="1:19" s="5" customFormat="1" ht="12.75" customHeight="1" x14ac:dyDescent="0.25">
      <c r="A13" s="3" t="s">
        <v>26</v>
      </c>
      <c r="B13" s="3">
        <f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0</v>
      </c>
      <c r="C13" s="3">
        <f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0</v>
      </c>
      <c r="D13" s="3">
        <f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0</v>
      </c>
      <c r="E13" s="3">
        <f t="shared" si="0"/>
        <v>0</v>
      </c>
      <c r="F13" s="17">
        <f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0</v>
      </c>
      <c r="H13" s="4">
        <f t="shared" si="1"/>
        <v>-9.9999999999999995E-7</v>
      </c>
      <c r="I13" s="27">
        <f>IF(TabResultados3[[#This Row],[Jogos]]&lt;limite1,0,IF(TabResultados3[[#This Row],[Jogos]]&lt;=limite2,0.9+0.1*(TabResultados3[[#This Row],[Jogos]]-limite1)/limite1,1))</f>
        <v>0</v>
      </c>
      <c r="J13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4" spans="1:19" s="5" customFormat="1" ht="12.75" customHeight="1" x14ac:dyDescent="0.25">
      <c r="A14" s="3" t="s">
        <v>10</v>
      </c>
      <c r="B14" s="3">
        <f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42</v>
      </c>
      <c r="C14" s="3">
        <f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15</v>
      </c>
      <c r="D14" s="3">
        <f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27</v>
      </c>
      <c r="E14" s="3">
        <f t="shared" si="0"/>
        <v>-12</v>
      </c>
      <c r="F14" s="17">
        <f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</v>
      </c>
      <c r="G14" s="3">
        <f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-34</v>
      </c>
      <c r="H14" s="4">
        <f t="shared" si="1"/>
        <v>0.35714285714285715</v>
      </c>
      <c r="I14" s="27">
        <f>IF(TabResultados3[[#This Row],[Jogos]]&lt;limite1,0,IF(TabResultados3[[#This Row],[Jogos]]&lt;=limite2,0.9+0.1*(TabResultados3[[#This Row],[Jogos]]-limite1)/limite1,1))</f>
        <v>1</v>
      </c>
      <c r="J14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40</v>
      </c>
    </row>
    <row r="15" spans="1:19" s="5" customFormat="1" ht="12.75" customHeight="1" x14ac:dyDescent="0.25">
      <c r="A15" s="3" t="s">
        <v>14</v>
      </c>
      <c r="B15" s="3">
        <f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si="0"/>
        <v>0</v>
      </c>
      <c r="F15" s="17">
        <f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si="1"/>
        <v>-9.9999999999999995E-7</v>
      </c>
      <c r="I15" s="27">
        <f>IF(TabResultados3[[#This Row],[Jogos]]&lt;limite1,0,IF(TabResultados3[[#This Row],[Jogos]]&lt;=limite2,0.9+0.1*(TabResultados3[[#This Row],[Jogos]]-limite1)/limite1,1))</f>
        <v>0</v>
      </c>
      <c r="J15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6" spans="1:19" s="5" customFormat="1" ht="12.75" customHeight="1" x14ac:dyDescent="0.25">
      <c r="A16" s="3" t="s">
        <v>28</v>
      </c>
      <c r="B16" s="3">
        <f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si="0"/>
        <v>0</v>
      </c>
      <c r="F16" s="17">
        <f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si="1"/>
        <v>-9.9999999999999995E-7</v>
      </c>
      <c r="I16" s="27">
        <f>IF(TabResultados3[[#This Row],[Jogos]]&lt;limite1,0,IF(TabResultados3[[#This Row],[Jogos]]&lt;=limite2,0.9+0.1*(TabResultados3[[#This Row],[Jogos]]-limite1)/limite1,1))</f>
        <v>0</v>
      </c>
      <c r="J16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7" spans="1:15" s="5" customFormat="1" ht="12.75" customHeight="1" x14ac:dyDescent="0.25">
      <c r="A17" s="3" t="s">
        <v>12</v>
      </c>
      <c r="B17" s="3">
        <f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19</v>
      </c>
      <c r="C17" s="3">
        <f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</v>
      </c>
      <c r="D17" s="3">
        <f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</v>
      </c>
      <c r="E17" s="3">
        <f t="shared" si="0"/>
        <v>-3</v>
      </c>
      <c r="F17" s="17">
        <f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</v>
      </c>
      <c r="G17" s="3">
        <f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-4</v>
      </c>
      <c r="H17" s="4">
        <f t="shared" si="1"/>
        <v>0.42105263157894735</v>
      </c>
      <c r="I17" s="27">
        <f>IF(TabResultados3[[#This Row],[Jogos]]&lt;limite1,0,IF(TabResultados3[[#This Row],[Jogos]]&lt;=limite2,0.9+0.1*(TabResultados3[[#This Row],[Jogos]]-limite1)/limite1,1))</f>
        <v>0</v>
      </c>
      <c r="J17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18" spans="1:15" s="5" customFormat="1" ht="12.75" customHeight="1" x14ac:dyDescent="0.25">
      <c r="A18" s="3" t="s">
        <v>13</v>
      </c>
      <c r="B18" s="3">
        <f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34</v>
      </c>
      <c r="C18" s="3">
        <f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15</v>
      </c>
      <c r="D18" s="3">
        <f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</v>
      </c>
      <c r="E18" s="3">
        <f t="shared" si="0"/>
        <v>-4</v>
      </c>
      <c r="F18" s="17">
        <f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4</v>
      </c>
      <c r="G18" s="3">
        <f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-12</v>
      </c>
      <c r="H18" s="4">
        <f t="shared" si="1"/>
        <v>0.44117647058823528</v>
      </c>
      <c r="I18" s="27">
        <f>IF(TabResultados3[[#This Row],[Jogos]]&lt;limite1,0,IF(TabResultados3[[#This Row],[Jogos]]&lt;=limite2,0.9+0.1*(TabResultados3[[#This Row],[Jogos]]-limite1)/limite1,1))</f>
        <v>0.97</v>
      </c>
      <c r="J18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45.916666666666664</v>
      </c>
    </row>
    <row r="19" spans="1:15" s="5" customFormat="1" ht="12.75" customHeight="1" x14ac:dyDescent="0.25">
      <c r="A19" s="3" t="s">
        <v>38</v>
      </c>
      <c r="B19" s="3">
        <f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0</v>
      </c>
      <c r="C19" s="3">
        <f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0</v>
      </c>
      <c r="E19" s="3">
        <f t="shared" si="0"/>
        <v>0</v>
      </c>
      <c r="F19" s="17">
        <f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0</v>
      </c>
      <c r="H19" s="4">
        <f t="shared" si="1"/>
        <v>-9.9999999999999995E-7</v>
      </c>
      <c r="I19" s="27">
        <f>IF(TabResultados3[[#This Row],[Jogos]]&lt;limite1,0,IF(TabResultados3[[#This Row],[Jogos]]&lt;=limite2,0.9+0.1*(TabResultados3[[#This Row],[Jogos]]-limite1)/limite1,1))</f>
        <v>0</v>
      </c>
      <c r="J19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20" spans="1:15" s="5" customFormat="1" ht="12.75" customHeight="1" x14ac:dyDescent="0.25">
      <c r="A20" s="3" t="s">
        <v>24</v>
      </c>
      <c r="B20" s="3">
        <f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si="0"/>
        <v>0</v>
      </c>
      <c r="F20" s="17">
        <f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si="1"/>
        <v>-9.9999999999999995E-7</v>
      </c>
      <c r="I20" s="27">
        <f>IF(TabResultados3[[#This Row],[Jogos]]&lt;limite1,0,IF(TabResultados3[[#This Row],[Jogos]]&lt;=limite2,0.9+0.1*(TabResultados3[[#This Row],[Jogos]]-limite1)/limite1,1))</f>
        <v>0</v>
      </c>
      <c r="J20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</row>
    <row r="21" spans="1:15" s="8" customFormat="1" ht="12.75" customHeight="1" x14ac:dyDescent="0.25">
      <c r="A21" s="3" t="s">
        <v>25</v>
      </c>
      <c r="B21" s="3">
        <f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si="0"/>
        <v>0</v>
      </c>
      <c r="F21" s="17">
        <f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si="1"/>
        <v>-9.9999999999999995E-7</v>
      </c>
      <c r="I21" s="27">
        <f>IF(TabResultados3[[#This Row],[Jogos]]&lt;limite1,0,IF(TabResultados3[[#This Row],[Jogos]]&lt;=limite2,0.9+0.1*(TabResultados3[[#This Row],[Jogos]]-limite1)/limite1,1))</f>
        <v>0</v>
      </c>
      <c r="J21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37</v>
      </c>
      <c r="B22" s="3">
        <f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si="0"/>
        <v>0</v>
      </c>
      <c r="F22" s="17">
        <f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si="1"/>
        <v>-9.9999999999999995E-7</v>
      </c>
      <c r="I22" s="27">
        <f>IF(TabResultados3[[#This Row],[Jogos]]&lt;limite1,0,IF(TabResultados3[[#This Row],[Jogos]]&lt;=limite2,0.9+0.1*(TabResultados3[[#This Row],[Jogos]]-limite1)/limite1,1))</f>
        <v>0</v>
      </c>
      <c r="J22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si="0"/>
        <v>0</v>
      </c>
      <c r="F23" s="17">
        <f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si="1"/>
        <v>-9.9999999999999995E-7</v>
      </c>
      <c r="I23" s="27">
        <f>IF(TabResultados3[[#This Row],[Jogos]]&lt;limite1,0,IF(TabResultados3[[#This Row],[Jogos]]&lt;=limite2,0.9+0.1*(TabResultados3[[#This Row],[Jogos]]-limite1)/limite1,1))</f>
        <v>0</v>
      </c>
      <c r="J23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21</v>
      </c>
      <c r="B24" s="3">
        <f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si="0"/>
        <v>0</v>
      </c>
      <c r="F24" s="17">
        <f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si="1"/>
        <v>-9.9999999999999995E-7</v>
      </c>
      <c r="I24" s="27">
        <f>IF(TabResultados3[[#This Row],[Jogos]]&lt;limite1,0,IF(TabResultados3[[#This Row],[Jogos]]&lt;=limite2,0.9+0.1*(TabResultados3[[#This Row],[Jogos]]-limite1)/limite1,1))</f>
        <v>0</v>
      </c>
      <c r="J24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33</v>
      </c>
      <c r="B25" s="3">
        <f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si="0"/>
        <v>0</v>
      </c>
      <c r="F25" s="17">
        <f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si="1"/>
        <v>-9.9999999999999995E-7</v>
      </c>
      <c r="I25" s="27">
        <f>IF(TabResultados3[[#This Row],[Jogos]]&lt;limite1,0,IF(TabResultados3[[#This Row],[Jogos]]&lt;=limite2,0.9+0.1*(TabResultados3[[#This Row],[Jogos]]-limite1)/limite1,1))</f>
        <v>0</v>
      </c>
      <c r="J25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30</v>
      </c>
      <c r="B26" s="3">
        <f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si="0"/>
        <v>0</v>
      </c>
      <c r="F26" s="17">
        <f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si="1"/>
        <v>-9.9999999999999995E-7</v>
      </c>
      <c r="I26" s="27">
        <f>IF(TabResultados3[[#This Row],[Jogos]]&lt;limite1,0,IF(TabResultados3[[#This Row],[Jogos]]&lt;=limite2,0.9+0.1*(TabResultados3[[#This Row],[Jogos]]-limite1)/limite1,1))</f>
        <v>0</v>
      </c>
      <c r="J26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22</v>
      </c>
      <c r="B27" s="3">
        <f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si="0"/>
        <v>0</v>
      </c>
      <c r="F27" s="17">
        <f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si="1"/>
        <v>-9.9999999999999995E-7</v>
      </c>
      <c r="I27" s="27">
        <f>IF(TabResultados3[[#This Row],[Jogos]]&lt;limite1,0,IF(TabResultados3[[#This Row],[Jogos]]&lt;=limite2,0.9+0.1*(TabResultados3[[#This Row],[Jogos]]-limite1)/limite1,1))</f>
        <v>0</v>
      </c>
      <c r="J27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31</v>
      </c>
      <c r="B28" s="3">
        <f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si="0"/>
        <v>0</v>
      </c>
      <c r="F28" s="17">
        <f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si="1"/>
        <v>-9.9999999999999995E-7</v>
      </c>
      <c r="I28" s="27">
        <f>IF(TabResultados3[[#This Row],[Jogos]]&lt;limite1,0,IF(TabResultados3[[#This Row],[Jogos]]&lt;=limite2,0.9+0.1*(TabResultados3[[#This Row],[Jogos]]-limite1)/limite1,1))</f>
        <v>0</v>
      </c>
      <c r="J28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19</v>
      </c>
      <c r="B29" s="3">
        <f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0</v>
      </c>
      <c r="C29" s="3">
        <f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0</v>
      </c>
      <c r="E29" s="3">
        <f t="shared" si="0"/>
        <v>0</v>
      </c>
      <c r="F29" s="17">
        <f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0</v>
      </c>
      <c r="H29" s="4">
        <f t="shared" si="1"/>
        <v>-9.9999999999999995E-7</v>
      </c>
      <c r="I29" s="27">
        <f>IF(TabResultados3[[#This Row],[Jogos]]&lt;limite1,0,IF(TabResultados3[[#This Row],[Jogos]]&lt;=limite2,0.9+0.1*(TabResultados3[[#This Row],[Jogos]]-limite1)/limite1,1))</f>
        <v>0</v>
      </c>
      <c r="J29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36</v>
      </c>
      <c r="B30" s="3">
        <f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0</v>
      </c>
      <c r="C30" s="3">
        <f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0</v>
      </c>
      <c r="E30" s="3">
        <f t="shared" si="0"/>
        <v>0</v>
      </c>
      <c r="F30" s="17">
        <f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0</v>
      </c>
      <c r="H30" s="4">
        <f t="shared" si="1"/>
        <v>-9.9999999999999995E-7</v>
      </c>
      <c r="I30" s="27">
        <f>IF(TabResultados3[[#This Row],[Jogos]]&lt;limite1,0,IF(TabResultados3[[#This Row],[Jogos]]&lt;=limite2,0.9+0.1*(TabResultados3[[#This Row],[Jogos]]-limite1)/limite1,1))</f>
        <v>0</v>
      </c>
      <c r="J30" s="22">
        <f>IF(TabResultados3[[#This Row],[Jogos]]&lt;20,0,(IF(TabResultados3[[#This Row],[Jogos]]&lt;=limite,(TabResultados3[[#This Row],[Jogos]]*TabResultados3[[#This Row],[Aprov]]*TabResultados3[[#This Row],[KJogos]]+(limite-TabResultados3[[#This Row],[Jogos]])*0.5)/(limite/100),TabResultados3[[#This Row],[Aprov]]*TabResultados3[[#This Row],[KJogos]]*100)))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Historico</vt:lpstr>
      <vt:lpstr>Planilha2</vt:lpstr>
      <vt:lpstr>Desempenho</vt:lpstr>
      <vt:lpstr>limite</vt:lpstr>
      <vt:lpstr>limite1</vt:lpstr>
      <vt:lpstr>limite2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2020-01-31T17:55:02Z</dcterms:modified>
  <cp:category/>
  <cp:contentStatus/>
</cp:coreProperties>
</file>
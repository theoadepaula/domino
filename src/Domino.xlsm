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4C7B3FA8-431C-42CC-847F-86325E80B32D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<sst xmlns="http://schemas.openxmlformats.org/spreadsheetml/2006/main" count="7156" uniqueCount="55">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</sst>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778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778"/>
  <sheetViews>
    <sheetView tabSelected="1" zoomScale="80" zoomScaleNormal="80" workbookViewId="0">
      <pane ySplit="1" topLeftCell="A1735" activePane="bottomLeft" state="frozenSplit"/>
      <selection activeCell="D1" sqref="D1 D1"/>
      <selection pane="bottomLeft" activeCell="A1778" sqref="A1778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59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26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33</v>
      </c>
      <c r="E2" s="3">
        <f t="shared" ref="E2:E28" ca="1" si="0">C2-D2</f>
        <v>-7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2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-24</v>
      </c>
      <c r="H2" s="4">
        <f t="shared" ref="H2:H28" ca="1" si="1">IFERROR(C2/B2,-0.000001)</f>
        <v>0.44067796610169491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44.067796610169488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45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28</v>
      </c>
      <c r="E3" s="3">
        <f t="shared" ca="1" si="0"/>
        <v>17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53</v>
      </c>
      <c r="H3" s="4">
        <f t="shared" ca="1" si="1"/>
        <v>0.61643835616438358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61.643835616438359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48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29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19</v>
      </c>
      <c r="E5" s="3">
        <f t="shared" ca="1" si="0"/>
        <v>10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3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20</v>
      </c>
      <c r="H5" s="4">
        <f t="shared" ca="1" si="1"/>
        <v>0.60416666666666663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60.416666666666664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</v>
      </c>
      <c r="E6" s="3">
        <f t="shared" ca="1" si="0"/>
        <v>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5</v>
      </c>
      <c r="H6" s="4">
        <f t="shared" ca="1" si="1"/>
        <v>0.5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22</v>
      </c>
      <c r="E7" s="3">
        <f t="shared" ca="1" si="0"/>
        <v>-6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-22</v>
      </c>
      <c r="H7" s="4">
        <f t="shared" ca="1" si="1"/>
        <v>0.42105263157894735</v>
      </c>
      <c r="I7" s="29">
        <f ca="1">IF(TabResultados3[[#This Row],[Jogos]]&lt;20,0,IF(TabResultados3[[#This Row],[Jogos]]&lt;=40,0.9+0.1*(TabResultados3[[#This Row],[Jogos]]-20)/20,1))</f>
        <v>0.99</v>
      </c>
      <c r="J7" s="22">
        <f ca="1">100*TabResultados3[[#This Row],[Aprov]]*TabResultados3[[#This Row],[KJogos]]</f>
        <v>41.684210526315788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19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14</v>
      </c>
      <c r="E8" s="3">
        <f t="shared" ca="1" si="0"/>
        <v>-9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-13</v>
      </c>
      <c r="H8" s="4">
        <f t="shared" ca="1" si="1"/>
        <v>0.26315789473684209</v>
      </c>
      <c r="I8" s="29">
        <f ca="1">IF(TabResultados3[[#This Row],[Jogos]]&lt;20,0,IF(TabResultados3[[#This Row],[Jogos]]&lt;=40,0.9+0.1*(TabResultados3[[#This Row],[Jogos]]-20)/20,1))</f>
        <v>0</v>
      </c>
      <c r="J8" s="22">
        <f ca="1">100*TabResultados3[[#This Row],[Aprov]]*TabResultados3[[#This Row],[KJogos]]</f>
        <v>0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16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11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-17</v>
      </c>
      <c r="H11" s="4">
        <f t="shared" ca="1" si="1"/>
        <v>0.3125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13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7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6</v>
      </c>
      <c r="E13" s="3">
        <f t="shared" ca="1" si="0"/>
        <v>1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1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10</v>
      </c>
      <c r="H13" s="4">
        <f t="shared" ca="1" si="1"/>
        <v>0.53846153846153844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16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7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9</v>
      </c>
      <c r="E14" s="3">
        <f t="shared" ca="1" si="0"/>
        <v>-2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-16</v>
      </c>
      <c r="H14" s="4">
        <f t="shared" ca="1" si="1"/>
        <v>0.4375</v>
      </c>
      <c r="I14" s="29">
        <f ca="1">IF(TabResultados3[[#This Row],[Jogos]]&lt;20,0,IF(TabResultados3[[#This Row],[Jogos]]&lt;=40,0.9+0.1*(TabResultados3[[#This Row],[Jogos]]-20)/20,1))</f>
        <v>0</v>
      </c>
      <c r="J14" s="22">
        <f ca="1">100*TabResultados3[[#This Row],[Aprov]]*TabResultados3[[#This Row],[KJogos]]</f>
        <v>0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20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12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8</v>
      </c>
      <c r="E19" s="3">
        <f t="shared" ca="1" si="0"/>
        <v>4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4</v>
      </c>
      <c r="H19" s="4">
        <f t="shared" ca="1" si="1"/>
        <v>0.6</v>
      </c>
      <c r="I19" s="29">
        <f ca="1">IF(TabResultados3[[#This Row],[Jogos]]&lt;20,0,IF(TabResultados3[[#This Row],[Jogos]]&lt;=40,0.9+0.1*(TabResultados3[[#This Row],[Jogos]]-20)/20,1))</f>
        <v>0.9</v>
      </c>
      <c r="J19" s="22">
        <f ca="1">100*TabResultados3[[#This Row],[Aprov]]*TabResultados3[[#This Row],[KJogos]]</f>
        <v>54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2018-09-13T17:46:17Z</dcterms:modified>
</cp:coreProperties>
</file>
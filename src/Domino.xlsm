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1C7DF9E4-1C8E-4F42-BC67-2422A42D3BF2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<sst xmlns="http://schemas.openxmlformats.org/spreadsheetml/2006/main" count="8676" uniqueCount="56">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</sst>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15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158"/>
  <sheetViews>
    <sheetView tabSelected="1" zoomScale="80" zoomScaleNormal="80" workbookViewId="0">
      <pane ySplit="1" topLeftCell="A2119" activePane="bottomLeft" state="frozenSplit"/>
      <selection activeCell="D1" sqref="D1 D1"/>
      <selection pane="bottomLeft" activeCell="I2158" sqref="I215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137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73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64</v>
      </c>
      <c r="E2" s="3">
        <f t="shared" ref="E2:E28" ca="1" si="0">C2-D2</f>
        <v>9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11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48</v>
      </c>
      <c r="H2" s="4">
        <f t="shared" ref="H2:H28" ca="1" si="1">IFERROR(C2/B2,-0.000001)</f>
        <v>0.53284671532846717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53.284671532846716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141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62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79</v>
      </c>
      <c r="E3" s="3">
        <f t="shared" ca="1" si="0"/>
        <v>-17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-76</v>
      </c>
      <c r="H3" s="4">
        <f t="shared" ca="1" si="1"/>
        <v>0.43971631205673761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43.971631205673759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54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66</v>
      </c>
      <c r="E5" s="3">
        <f t="shared" ca="1" si="0"/>
        <v>-12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-62</v>
      </c>
      <c r="H5" s="4">
        <f t="shared" ca="1" si="1"/>
        <v>0.45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45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49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27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-3</v>
      </c>
      <c r="H6" s="4">
        <f t="shared" ca="1" si="1"/>
        <v>0.44897959183673469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44.897959183673471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136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63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73</v>
      </c>
      <c r="E7" s="3">
        <f t="shared" ca="1" si="0"/>
        <v>-10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9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-48</v>
      </c>
      <c r="H7" s="4">
        <f t="shared" ca="1" si="1"/>
        <v>0.46323529411764708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46.32352941176471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57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23</v>
      </c>
      <c r="E8" s="3">
        <f t="shared" ca="1" si="0"/>
        <v>11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25</v>
      </c>
      <c r="H8" s="4">
        <f t="shared" ca="1" si="1"/>
        <v>0.59649122807017541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59.649122807017541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59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30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29</v>
      </c>
      <c r="E11" s="3">
        <f t="shared" ca="1" si="0"/>
        <v>1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6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27</v>
      </c>
      <c r="H11" s="4">
        <f t="shared" ca="1" si="1"/>
        <v>0.50847457627118642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50.847457627118644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21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13</v>
      </c>
      <c r="E13" s="3">
        <f t="shared" ca="1" si="0"/>
        <v>-5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-11</v>
      </c>
      <c r="H13" s="4">
        <f t="shared" ca="1" si="1"/>
        <v>0.38095238095238093</v>
      </c>
      <c r="I13" s="29">
        <f ca="1">IF(TabResultados3[[#This Row],[Jogos]]&lt;20,0,IF(TabResultados3[[#This Row],[Jogos]]&lt;=40,0.9+0.1*(TabResultados3[[#This Row],[Jogos]]-20)/20,1))</f>
        <v>0.90500000000000003</v>
      </c>
      <c r="J13" s="22">
        <f ca="1">100*TabResultados3[[#This Row],[Aprov]]*TabResultados3[[#This Row],[KJogos]]</f>
        <v>34.476190476190474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45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24</v>
      </c>
      <c r="E14" s="3">
        <f t="shared" ca="1" si="0"/>
        <v>21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76</v>
      </c>
      <c r="H14" s="4">
        <f t="shared" ca="1" si="1"/>
        <v>0.65217391304347827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65.217391304347828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119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65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54</v>
      </c>
      <c r="E19" s="3">
        <f t="shared" ca="1" si="0"/>
        <v>11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12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42</v>
      </c>
      <c r="H19" s="4">
        <f t="shared" ca="1" si="1"/>
        <v>0.54621848739495793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54.621848739495796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2018-10-22T18:21:13Z</dcterms:modified>
</cp:coreProperties>
</file>